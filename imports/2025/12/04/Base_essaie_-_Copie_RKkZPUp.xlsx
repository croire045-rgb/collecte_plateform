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ssou\Desktop\"/>
    </mc:Choice>
  </mc:AlternateContent>
  <bookViews>
    <workbookView xWindow="-105" yWindow="-105" windowWidth="23250" windowHeight="12570"/>
  </bookViews>
  <sheets>
    <sheet name="CREDIT Amortissable" sheetId="1" r:id="rId1"/>
    <sheet name="DECOUVERTS" sheetId="3" r:id="rId2"/>
    <sheet name="CAUTIONS" sheetId="4" r:id="rId3"/>
    <sheet name="Effets escomptés" sheetId="5" r:id="rId4"/>
    <sheet name="Affacturage" sheetId="6" r:id="rId5"/>
    <sheet name="Spot" sheetId="7" r:id="rId6"/>
  </sheets>
  <definedNames>
    <definedName name="_xlnm._FilterDatabase" localSheetId="4" hidden="1">Affacturage!$A$1:$O$330</definedName>
    <definedName name="_xlnm._FilterDatabase" localSheetId="2" hidden="1">CAUTIONS!$A$1:$P$65</definedName>
    <definedName name="_xlnm._FilterDatabase" localSheetId="0" hidden="1">'CREDIT Amortissable'!$A$1:$AC$818</definedName>
    <definedName name="_xlnm._FilterDatabase" localSheetId="1" hidden="1">DECOUVERTS!$A$1:$S$680</definedName>
    <definedName name="_xlnm._FilterDatabase" localSheetId="3" hidden="1">'Effets escomptés'!$A$1:$Q$28</definedName>
    <definedName name="_xlnm._FilterDatabase" localSheetId="5" hidden="1">Spot!$A$1:$AC$718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718" i="7" l="1"/>
  <c r="AB718" i="7" s="1"/>
  <c r="AC718" i="7" s="1"/>
  <c r="U717" i="7"/>
  <c r="AA717" i="7" s="1"/>
  <c r="AB717" i="7" s="1"/>
  <c r="AC717" i="7" s="1"/>
  <c r="U716" i="7"/>
  <c r="AA716" i="7" s="1"/>
  <c r="AB716" i="7" s="1"/>
  <c r="AC716" i="7" s="1"/>
  <c r="U715" i="7"/>
  <c r="AA715" i="7" s="1"/>
  <c r="AB715" i="7" s="1"/>
  <c r="AC715" i="7" s="1"/>
  <c r="U714" i="7"/>
  <c r="AA714" i="7" s="1"/>
  <c r="AB714" i="7" s="1"/>
  <c r="AC714" i="7" s="1"/>
  <c r="U713" i="7"/>
  <c r="AA713" i="7" s="1"/>
  <c r="AB713" i="7" s="1"/>
  <c r="AC713" i="7" s="1"/>
  <c r="U712" i="7"/>
  <c r="AA712" i="7" s="1"/>
  <c r="AB712" i="7" s="1"/>
  <c r="AC712" i="7" s="1"/>
  <c r="U711" i="7"/>
  <c r="AA711" i="7" s="1"/>
  <c r="AB711" i="7" s="1"/>
  <c r="AC711" i="7" s="1"/>
  <c r="U710" i="7"/>
  <c r="AA710" i="7" s="1"/>
  <c r="AB710" i="7" s="1"/>
  <c r="AC710" i="7" s="1"/>
  <c r="U709" i="7"/>
  <c r="AA709" i="7" s="1"/>
  <c r="AB709" i="7" s="1"/>
  <c r="AC709" i="7" s="1"/>
  <c r="U708" i="7"/>
  <c r="AA708" i="7" s="1"/>
  <c r="AB708" i="7" s="1"/>
  <c r="AC708" i="7" s="1"/>
  <c r="U707" i="7"/>
  <c r="AA707" i="7" s="1"/>
  <c r="AB707" i="7" s="1"/>
  <c r="AC707" i="7" s="1"/>
  <c r="U706" i="7"/>
  <c r="AA706" i="7" s="1"/>
  <c r="AB706" i="7" s="1"/>
  <c r="AC706" i="7" s="1"/>
  <c r="U705" i="7"/>
  <c r="AA705" i="7" s="1"/>
  <c r="AB705" i="7" s="1"/>
  <c r="AC705" i="7" s="1"/>
  <c r="U704" i="7"/>
  <c r="AA704" i="7" s="1"/>
  <c r="AB704" i="7" s="1"/>
  <c r="AC704" i="7" s="1"/>
  <c r="U703" i="7"/>
  <c r="AA703" i="7" s="1"/>
  <c r="AB703" i="7" s="1"/>
  <c r="AC703" i="7" s="1"/>
  <c r="U702" i="7"/>
  <c r="AA702" i="7" s="1"/>
  <c r="AB702" i="7" s="1"/>
  <c r="AC702" i="7" s="1"/>
  <c r="U701" i="7"/>
  <c r="AA701" i="7" s="1"/>
  <c r="AB701" i="7" s="1"/>
  <c r="AC701" i="7" s="1"/>
  <c r="U700" i="7"/>
  <c r="AA700" i="7" s="1"/>
  <c r="AB700" i="7" s="1"/>
  <c r="AC700" i="7" s="1"/>
  <c r="U699" i="7"/>
  <c r="AA699" i="7" s="1"/>
  <c r="AB699" i="7" s="1"/>
  <c r="AC699" i="7" s="1"/>
  <c r="U698" i="7"/>
  <c r="AA698" i="7" s="1"/>
  <c r="AB698" i="7" s="1"/>
  <c r="AC698" i="7" s="1"/>
  <c r="U697" i="7"/>
  <c r="AA697" i="7" s="1"/>
  <c r="AB697" i="7" s="1"/>
  <c r="AC697" i="7" s="1"/>
  <c r="U696" i="7"/>
  <c r="AA696" i="7" s="1"/>
  <c r="AB696" i="7" s="1"/>
  <c r="AC696" i="7" s="1"/>
  <c r="U695" i="7"/>
  <c r="AA695" i="7" s="1"/>
  <c r="AB695" i="7" s="1"/>
  <c r="AC695" i="7" s="1"/>
  <c r="U694" i="7"/>
  <c r="AA694" i="7" s="1"/>
  <c r="AB694" i="7" s="1"/>
  <c r="AC694" i="7" s="1"/>
  <c r="U693" i="7"/>
  <c r="AA693" i="7" s="1"/>
  <c r="AB693" i="7" s="1"/>
  <c r="AC693" i="7" s="1"/>
  <c r="U692" i="7"/>
  <c r="AA692" i="7" s="1"/>
  <c r="AB692" i="7" s="1"/>
  <c r="AC692" i="7" s="1"/>
  <c r="AA691" i="7"/>
  <c r="AB691" i="7" s="1"/>
  <c r="AC691" i="7" s="1"/>
  <c r="U690" i="7"/>
  <c r="AA690" i="7" s="1"/>
  <c r="AB690" i="7" s="1"/>
  <c r="AC690" i="7" s="1"/>
  <c r="U689" i="7"/>
  <c r="AA689" i="7" s="1"/>
  <c r="AB689" i="7" s="1"/>
  <c r="AC689" i="7" s="1"/>
  <c r="U688" i="7"/>
  <c r="AA688" i="7" s="1"/>
  <c r="AB688" i="7" s="1"/>
  <c r="AC688" i="7" s="1"/>
  <c r="U687" i="7"/>
  <c r="AA687" i="7" s="1"/>
  <c r="AB687" i="7" s="1"/>
  <c r="AC687" i="7" s="1"/>
  <c r="U686" i="7"/>
  <c r="AA686" i="7" s="1"/>
  <c r="AB686" i="7" s="1"/>
  <c r="AC686" i="7" s="1"/>
  <c r="U685" i="7"/>
  <c r="AA685" i="7" s="1"/>
  <c r="AB685" i="7" s="1"/>
  <c r="AC685" i="7" s="1"/>
  <c r="U684" i="7"/>
  <c r="AA684" i="7" s="1"/>
  <c r="AB684" i="7" s="1"/>
  <c r="AC684" i="7" s="1"/>
  <c r="U683" i="7"/>
  <c r="AA683" i="7" s="1"/>
  <c r="AB683" i="7" s="1"/>
  <c r="AC683" i="7" s="1"/>
  <c r="U682" i="7"/>
  <c r="AA682" i="7" s="1"/>
  <c r="AB682" i="7" s="1"/>
  <c r="AC682" i="7" s="1"/>
  <c r="U681" i="7"/>
  <c r="AA681" i="7" s="1"/>
  <c r="AB681" i="7" s="1"/>
  <c r="AC681" i="7" s="1"/>
  <c r="U680" i="7"/>
  <c r="AA680" i="7" s="1"/>
  <c r="AB680" i="7" s="1"/>
  <c r="AC680" i="7" s="1"/>
  <c r="U679" i="7"/>
  <c r="AA679" i="7" s="1"/>
  <c r="AB679" i="7" s="1"/>
  <c r="AC679" i="7" s="1"/>
  <c r="U678" i="7"/>
  <c r="AA678" i="7" s="1"/>
  <c r="AB678" i="7" s="1"/>
  <c r="AC678" i="7" s="1"/>
  <c r="AA677" i="7"/>
  <c r="AB677" i="7" s="1"/>
  <c r="AC677" i="7" s="1"/>
  <c r="U677" i="7"/>
  <c r="U676" i="7"/>
  <c r="AA676" i="7" s="1"/>
  <c r="AB676" i="7" s="1"/>
  <c r="AC676" i="7" s="1"/>
  <c r="U675" i="7"/>
  <c r="AA675" i="7" s="1"/>
  <c r="AB675" i="7" s="1"/>
  <c r="AC675" i="7" s="1"/>
  <c r="AA674" i="7"/>
  <c r="AB674" i="7" s="1"/>
  <c r="AC674" i="7" s="1"/>
  <c r="U674" i="7"/>
  <c r="AA673" i="7"/>
  <c r="AB673" i="7" s="1"/>
  <c r="AC673" i="7" s="1"/>
  <c r="U672" i="7"/>
  <c r="AA672" i="7" s="1"/>
  <c r="AB672" i="7" s="1"/>
  <c r="AC672" i="7" s="1"/>
  <c r="U671" i="7"/>
  <c r="AA671" i="7" s="1"/>
  <c r="AB671" i="7" s="1"/>
  <c r="AC671" i="7" s="1"/>
  <c r="U670" i="7"/>
  <c r="AA670" i="7" s="1"/>
  <c r="AB670" i="7" s="1"/>
  <c r="AC670" i="7" s="1"/>
  <c r="U669" i="7"/>
  <c r="AA669" i="7" s="1"/>
  <c r="AB669" i="7" s="1"/>
  <c r="AC669" i="7" s="1"/>
  <c r="U668" i="7"/>
  <c r="AA668" i="7" s="1"/>
  <c r="AB668" i="7" s="1"/>
  <c r="AC668" i="7" s="1"/>
  <c r="U667" i="7"/>
  <c r="AA667" i="7" s="1"/>
  <c r="AB667" i="7" s="1"/>
  <c r="AC667" i="7" s="1"/>
  <c r="U666" i="7"/>
  <c r="AA666" i="7" s="1"/>
  <c r="AB666" i="7" s="1"/>
  <c r="AC666" i="7" s="1"/>
  <c r="U665" i="7"/>
  <c r="AA665" i="7" s="1"/>
  <c r="AB665" i="7" s="1"/>
  <c r="AC665" i="7" s="1"/>
  <c r="U664" i="7"/>
  <c r="AA664" i="7" s="1"/>
  <c r="AB664" i="7" s="1"/>
  <c r="AC664" i="7" s="1"/>
  <c r="U663" i="7"/>
  <c r="AA663" i="7" s="1"/>
  <c r="AB663" i="7" s="1"/>
  <c r="AC663" i="7" s="1"/>
  <c r="AA662" i="7"/>
  <c r="AB662" i="7" s="1"/>
  <c r="AC662" i="7" s="1"/>
  <c r="U661" i="7"/>
  <c r="AA661" i="7" s="1"/>
  <c r="AB661" i="7" s="1"/>
  <c r="AC661" i="7" s="1"/>
  <c r="U660" i="7"/>
  <c r="AA660" i="7" s="1"/>
  <c r="AB660" i="7" s="1"/>
  <c r="AC660" i="7" s="1"/>
  <c r="U659" i="7"/>
  <c r="AA659" i="7" s="1"/>
  <c r="AB659" i="7" s="1"/>
  <c r="AC659" i="7" s="1"/>
  <c r="U658" i="7"/>
  <c r="AA658" i="7" s="1"/>
  <c r="AB658" i="7" s="1"/>
  <c r="AC658" i="7" s="1"/>
  <c r="AA657" i="7"/>
  <c r="AB657" i="7" s="1"/>
  <c r="AC657" i="7" s="1"/>
  <c r="U656" i="7"/>
  <c r="AA656" i="7" s="1"/>
  <c r="AB656" i="7" s="1"/>
  <c r="AC656" i="7" s="1"/>
  <c r="U655" i="7"/>
  <c r="AA655" i="7" s="1"/>
  <c r="AB655" i="7" s="1"/>
  <c r="AC655" i="7" s="1"/>
  <c r="U654" i="7"/>
  <c r="AA654" i="7" s="1"/>
  <c r="AB654" i="7" s="1"/>
  <c r="AC654" i="7" s="1"/>
  <c r="U653" i="7"/>
  <c r="AA653" i="7" s="1"/>
  <c r="AB653" i="7" s="1"/>
  <c r="AC653" i="7" s="1"/>
  <c r="U652" i="7"/>
  <c r="AA652" i="7" s="1"/>
  <c r="AB652" i="7" s="1"/>
  <c r="AC652" i="7" s="1"/>
  <c r="U651" i="7"/>
  <c r="AA651" i="7" s="1"/>
  <c r="AB651" i="7" s="1"/>
  <c r="AC651" i="7" s="1"/>
  <c r="U650" i="7"/>
  <c r="AA650" i="7" s="1"/>
  <c r="AB650" i="7" s="1"/>
  <c r="AC650" i="7" s="1"/>
  <c r="U649" i="7"/>
  <c r="AA649" i="7" s="1"/>
  <c r="AB649" i="7" s="1"/>
  <c r="AC649" i="7" s="1"/>
  <c r="U648" i="7"/>
  <c r="AA648" i="7" s="1"/>
  <c r="AB648" i="7" s="1"/>
  <c r="AC648" i="7" s="1"/>
  <c r="U647" i="7"/>
  <c r="AA647" i="7" s="1"/>
  <c r="AB647" i="7" s="1"/>
  <c r="AC647" i="7" s="1"/>
  <c r="U646" i="7"/>
  <c r="AA646" i="7" s="1"/>
  <c r="AB646" i="7" s="1"/>
  <c r="AC646" i="7" s="1"/>
  <c r="U645" i="7"/>
  <c r="AA645" i="7" s="1"/>
  <c r="AB645" i="7" s="1"/>
  <c r="AC645" i="7" s="1"/>
  <c r="U644" i="7"/>
  <c r="AA644" i="7" s="1"/>
  <c r="AB644" i="7" s="1"/>
  <c r="AC644" i="7" s="1"/>
  <c r="AA643" i="7"/>
  <c r="AB643" i="7" s="1"/>
  <c r="AC643" i="7" s="1"/>
  <c r="U642" i="7"/>
  <c r="AA642" i="7" s="1"/>
  <c r="AB642" i="7" s="1"/>
  <c r="AC642" i="7" s="1"/>
  <c r="U641" i="7"/>
  <c r="AA641" i="7" s="1"/>
  <c r="AB641" i="7" s="1"/>
  <c r="AC641" i="7" s="1"/>
  <c r="U640" i="7"/>
  <c r="AA640" i="7" s="1"/>
  <c r="AB640" i="7" s="1"/>
  <c r="AC640" i="7" s="1"/>
  <c r="U639" i="7"/>
  <c r="AA639" i="7" s="1"/>
  <c r="AB639" i="7" s="1"/>
  <c r="AC639" i="7" s="1"/>
  <c r="U638" i="7"/>
  <c r="AA638" i="7" s="1"/>
  <c r="AB638" i="7" s="1"/>
  <c r="AC638" i="7" s="1"/>
  <c r="U637" i="7"/>
  <c r="AA637" i="7" s="1"/>
  <c r="AB637" i="7" s="1"/>
  <c r="AC637" i="7" s="1"/>
  <c r="U636" i="7"/>
  <c r="AA636" i="7" s="1"/>
  <c r="AB636" i="7" s="1"/>
  <c r="AC636" i="7" s="1"/>
  <c r="U635" i="7"/>
  <c r="AA635" i="7" s="1"/>
  <c r="AB635" i="7" s="1"/>
  <c r="AC635" i="7" s="1"/>
  <c r="U634" i="7"/>
  <c r="AA634" i="7" s="1"/>
  <c r="AB634" i="7" s="1"/>
  <c r="AC634" i="7" s="1"/>
  <c r="AA633" i="7"/>
  <c r="AB633" i="7" s="1"/>
  <c r="AC633" i="7" s="1"/>
  <c r="U632" i="7"/>
  <c r="AA632" i="7" s="1"/>
  <c r="AB632" i="7" s="1"/>
  <c r="AC632" i="7" s="1"/>
  <c r="U631" i="7"/>
  <c r="AA631" i="7" s="1"/>
  <c r="AB631" i="7" s="1"/>
  <c r="AC631" i="7" s="1"/>
  <c r="U630" i="7"/>
  <c r="AA630" i="7" s="1"/>
  <c r="AB630" i="7" s="1"/>
  <c r="AC630" i="7" s="1"/>
  <c r="U629" i="7"/>
  <c r="AA629" i="7" s="1"/>
  <c r="AB629" i="7" s="1"/>
  <c r="AC629" i="7" s="1"/>
  <c r="U628" i="7"/>
  <c r="AA628" i="7" s="1"/>
  <c r="AB628" i="7" s="1"/>
  <c r="AC628" i="7" s="1"/>
  <c r="U627" i="7"/>
  <c r="AA627" i="7" s="1"/>
  <c r="AB627" i="7" s="1"/>
  <c r="AC627" i="7" s="1"/>
  <c r="U626" i="7"/>
  <c r="AA626" i="7" s="1"/>
  <c r="AB626" i="7" s="1"/>
  <c r="AC626" i="7" s="1"/>
  <c r="AA625" i="7"/>
  <c r="AB625" i="7" s="1"/>
  <c r="AC625" i="7" s="1"/>
  <c r="U624" i="7"/>
  <c r="AA624" i="7" s="1"/>
  <c r="AB624" i="7" s="1"/>
  <c r="AC624" i="7" s="1"/>
  <c r="U623" i="7"/>
  <c r="AA623" i="7" s="1"/>
  <c r="AB623" i="7" s="1"/>
  <c r="AC623" i="7" s="1"/>
  <c r="U622" i="7"/>
  <c r="AA622" i="7" s="1"/>
  <c r="AB622" i="7" s="1"/>
  <c r="AC622" i="7" s="1"/>
  <c r="U621" i="7"/>
  <c r="AA621" i="7" s="1"/>
  <c r="AB621" i="7" s="1"/>
  <c r="AC621" i="7" s="1"/>
  <c r="U620" i="7"/>
  <c r="AA620" i="7" s="1"/>
  <c r="AB620" i="7" s="1"/>
  <c r="AC620" i="7" s="1"/>
  <c r="U619" i="7"/>
  <c r="AA619" i="7" s="1"/>
  <c r="AB619" i="7" s="1"/>
  <c r="AC619" i="7" s="1"/>
  <c r="U618" i="7"/>
  <c r="AA618" i="7" s="1"/>
  <c r="AB618" i="7" s="1"/>
  <c r="AC618" i="7" s="1"/>
  <c r="AA617" i="7"/>
  <c r="AB617" i="7" s="1"/>
  <c r="AC617" i="7" s="1"/>
  <c r="U616" i="7"/>
  <c r="AA616" i="7" s="1"/>
  <c r="AB616" i="7" s="1"/>
  <c r="AC616" i="7" s="1"/>
  <c r="U615" i="7"/>
  <c r="AA615" i="7" s="1"/>
  <c r="AB615" i="7" s="1"/>
  <c r="AC615" i="7" s="1"/>
  <c r="U614" i="7"/>
  <c r="AA614" i="7" s="1"/>
  <c r="AB614" i="7" s="1"/>
  <c r="AC614" i="7" s="1"/>
  <c r="U613" i="7"/>
  <c r="AA613" i="7" s="1"/>
  <c r="AB613" i="7" s="1"/>
  <c r="AC613" i="7" s="1"/>
  <c r="U612" i="7"/>
  <c r="AA612" i="7" s="1"/>
  <c r="AB612" i="7" s="1"/>
  <c r="AC612" i="7" s="1"/>
  <c r="AA611" i="7"/>
  <c r="AB611" i="7" s="1"/>
  <c r="AC611" i="7" s="1"/>
  <c r="U610" i="7"/>
  <c r="AA610" i="7" s="1"/>
  <c r="AB610" i="7" s="1"/>
  <c r="AC610" i="7" s="1"/>
  <c r="U609" i="7"/>
  <c r="AA609" i="7" s="1"/>
  <c r="AB609" i="7" s="1"/>
  <c r="AC609" i="7" s="1"/>
  <c r="U608" i="7"/>
  <c r="AA608" i="7" s="1"/>
  <c r="AB608" i="7" s="1"/>
  <c r="AC608" i="7" s="1"/>
  <c r="U607" i="7"/>
  <c r="AA607" i="7" s="1"/>
  <c r="AB607" i="7" s="1"/>
  <c r="AC607" i="7" s="1"/>
  <c r="U606" i="7"/>
  <c r="AA606" i="7" s="1"/>
  <c r="AB606" i="7" s="1"/>
  <c r="AC606" i="7" s="1"/>
  <c r="AA605" i="7"/>
  <c r="AB605" i="7" s="1"/>
  <c r="AC605" i="7" s="1"/>
  <c r="U604" i="7"/>
  <c r="AA604" i="7" s="1"/>
  <c r="AB604" i="7" s="1"/>
  <c r="AC604" i="7" s="1"/>
  <c r="U603" i="7"/>
  <c r="AA603" i="7" s="1"/>
  <c r="AB603" i="7" s="1"/>
  <c r="AC603" i="7" s="1"/>
  <c r="U602" i="7"/>
  <c r="AA602" i="7" s="1"/>
  <c r="AB602" i="7" s="1"/>
  <c r="AC602" i="7" s="1"/>
  <c r="U601" i="7"/>
  <c r="AA601" i="7" s="1"/>
  <c r="AB601" i="7" s="1"/>
  <c r="AC601" i="7" s="1"/>
  <c r="U600" i="7"/>
  <c r="AA600" i="7" s="1"/>
  <c r="AB600" i="7" s="1"/>
  <c r="AC600" i="7" s="1"/>
  <c r="U599" i="7"/>
  <c r="AA599" i="7" s="1"/>
  <c r="AB599" i="7" s="1"/>
  <c r="AC599" i="7" s="1"/>
  <c r="U598" i="7"/>
  <c r="AA598" i="7" s="1"/>
  <c r="AB598" i="7" s="1"/>
  <c r="AC598" i="7" s="1"/>
  <c r="AA597" i="7"/>
  <c r="AB597" i="7" s="1"/>
  <c r="AC597" i="7" s="1"/>
  <c r="U596" i="7"/>
  <c r="AA596" i="7" s="1"/>
  <c r="AB596" i="7" s="1"/>
  <c r="AC596" i="7" s="1"/>
  <c r="U595" i="7"/>
  <c r="AA595" i="7" s="1"/>
  <c r="AB595" i="7" s="1"/>
  <c r="AC595" i="7" s="1"/>
  <c r="U594" i="7"/>
  <c r="AA594" i="7" s="1"/>
  <c r="AB594" i="7" s="1"/>
  <c r="AC594" i="7" s="1"/>
  <c r="U593" i="7"/>
  <c r="AA593" i="7" s="1"/>
  <c r="AB593" i="7" s="1"/>
  <c r="AC593" i="7" s="1"/>
  <c r="U592" i="7"/>
  <c r="AA592" i="7" s="1"/>
  <c r="AB592" i="7" s="1"/>
  <c r="AC592" i="7" s="1"/>
  <c r="AA591" i="7"/>
  <c r="AB591" i="7" s="1"/>
  <c r="AC591" i="7" s="1"/>
  <c r="AA590" i="7"/>
  <c r="AB590" i="7" s="1"/>
  <c r="AC590" i="7" s="1"/>
  <c r="U589" i="7"/>
  <c r="AA589" i="7" s="1"/>
  <c r="AB589" i="7" s="1"/>
  <c r="AC589" i="7" s="1"/>
  <c r="U588" i="7"/>
  <c r="AA588" i="7" s="1"/>
  <c r="AB588" i="7" s="1"/>
  <c r="AC588" i="7" s="1"/>
  <c r="U587" i="7"/>
  <c r="AA587" i="7" s="1"/>
  <c r="AB587" i="7" s="1"/>
  <c r="AC587" i="7" s="1"/>
  <c r="U586" i="7"/>
  <c r="AA586" i="7" s="1"/>
  <c r="AB586" i="7" s="1"/>
  <c r="AC586" i="7" s="1"/>
  <c r="U585" i="7"/>
  <c r="AA585" i="7" s="1"/>
  <c r="AB585" i="7" s="1"/>
  <c r="AC585" i="7" s="1"/>
  <c r="U584" i="7"/>
  <c r="AA584" i="7" s="1"/>
  <c r="AB584" i="7" s="1"/>
  <c r="AC584" i="7" s="1"/>
  <c r="AA583" i="7"/>
  <c r="AB583" i="7" s="1"/>
  <c r="AC583" i="7" s="1"/>
  <c r="U582" i="7"/>
  <c r="AA582" i="7" s="1"/>
  <c r="AB582" i="7" s="1"/>
  <c r="AC582" i="7" s="1"/>
  <c r="U581" i="7"/>
  <c r="AA581" i="7" s="1"/>
  <c r="AB581" i="7" s="1"/>
  <c r="AC581" i="7" s="1"/>
  <c r="U580" i="7"/>
  <c r="AA580" i="7" s="1"/>
  <c r="AB580" i="7" s="1"/>
  <c r="AC580" i="7" s="1"/>
  <c r="U579" i="7"/>
  <c r="AA579" i="7" s="1"/>
  <c r="AB579" i="7" s="1"/>
  <c r="AC579" i="7" s="1"/>
  <c r="U578" i="7"/>
  <c r="AA578" i="7" s="1"/>
  <c r="AB578" i="7" s="1"/>
  <c r="AC578" i="7" s="1"/>
  <c r="U577" i="7"/>
  <c r="AA577" i="7" s="1"/>
  <c r="AB577" i="7" s="1"/>
  <c r="AC577" i="7" s="1"/>
  <c r="U576" i="7"/>
  <c r="AA576" i="7" s="1"/>
  <c r="AB576" i="7" s="1"/>
  <c r="AC576" i="7" s="1"/>
  <c r="U575" i="7"/>
  <c r="AA575" i="7" s="1"/>
  <c r="AB575" i="7" s="1"/>
  <c r="AC575" i="7" s="1"/>
  <c r="U574" i="7"/>
  <c r="AA574" i="7" s="1"/>
  <c r="AB574" i="7" s="1"/>
  <c r="AC574" i="7" s="1"/>
  <c r="U573" i="7"/>
  <c r="AA573" i="7" s="1"/>
  <c r="AB573" i="7" s="1"/>
  <c r="AC573" i="7" s="1"/>
  <c r="U572" i="7"/>
  <c r="AA572" i="7" s="1"/>
  <c r="AB572" i="7" s="1"/>
  <c r="AC572" i="7" s="1"/>
  <c r="U571" i="7"/>
  <c r="AA571" i="7" s="1"/>
  <c r="AB571" i="7" s="1"/>
  <c r="AC571" i="7" s="1"/>
  <c r="U570" i="7"/>
  <c r="AA570" i="7" s="1"/>
  <c r="AB570" i="7" s="1"/>
  <c r="AC570" i="7" s="1"/>
  <c r="U569" i="7"/>
  <c r="AA569" i="7" s="1"/>
  <c r="AB569" i="7" s="1"/>
  <c r="AC569" i="7" s="1"/>
  <c r="U568" i="7"/>
  <c r="AA568" i="7" s="1"/>
  <c r="AB568" i="7" s="1"/>
  <c r="AC568" i="7" s="1"/>
  <c r="U567" i="7"/>
  <c r="AA567" i="7" s="1"/>
  <c r="AB567" i="7" s="1"/>
  <c r="AC567" i="7" s="1"/>
  <c r="U566" i="7"/>
  <c r="AA566" i="7" s="1"/>
  <c r="AB566" i="7" s="1"/>
  <c r="AC566" i="7" s="1"/>
  <c r="U565" i="7"/>
  <c r="AA565" i="7" s="1"/>
  <c r="AB565" i="7" s="1"/>
  <c r="AC565" i="7" s="1"/>
  <c r="U564" i="7"/>
  <c r="AA564" i="7" s="1"/>
  <c r="AB564" i="7" s="1"/>
  <c r="AC564" i="7" s="1"/>
  <c r="U563" i="7"/>
  <c r="AA563" i="7" s="1"/>
  <c r="AB563" i="7" s="1"/>
  <c r="AC563" i="7" s="1"/>
  <c r="U562" i="7"/>
  <c r="AA562" i="7" s="1"/>
  <c r="AB562" i="7" s="1"/>
  <c r="AC562" i="7" s="1"/>
  <c r="U561" i="7"/>
  <c r="AA561" i="7" s="1"/>
  <c r="AB561" i="7" s="1"/>
  <c r="AC561" i="7" s="1"/>
  <c r="U560" i="7"/>
  <c r="AA560" i="7" s="1"/>
  <c r="AB560" i="7" s="1"/>
  <c r="AC560" i="7" s="1"/>
  <c r="U559" i="7"/>
  <c r="AA559" i="7" s="1"/>
  <c r="AB559" i="7" s="1"/>
  <c r="AC559" i="7" s="1"/>
  <c r="U558" i="7"/>
  <c r="AA558" i="7" s="1"/>
  <c r="AB558" i="7" s="1"/>
  <c r="AC558" i="7" s="1"/>
  <c r="U557" i="7"/>
  <c r="AA557" i="7" s="1"/>
  <c r="AB557" i="7" s="1"/>
  <c r="AC557" i="7" s="1"/>
  <c r="U556" i="7"/>
  <c r="AA556" i="7" s="1"/>
  <c r="AB556" i="7" s="1"/>
  <c r="AC556" i="7" s="1"/>
  <c r="U555" i="7"/>
  <c r="AA555" i="7" s="1"/>
  <c r="AB555" i="7" s="1"/>
  <c r="AC555" i="7" s="1"/>
  <c r="U554" i="7"/>
  <c r="AA554" i="7" s="1"/>
  <c r="AB554" i="7" s="1"/>
  <c r="AC554" i="7" s="1"/>
  <c r="U553" i="7"/>
  <c r="AA553" i="7" s="1"/>
  <c r="AB553" i="7" s="1"/>
  <c r="AC553" i="7" s="1"/>
  <c r="U552" i="7"/>
  <c r="AA552" i="7" s="1"/>
  <c r="AB552" i="7" s="1"/>
  <c r="AC552" i="7" s="1"/>
  <c r="U551" i="7"/>
  <c r="AA551" i="7" s="1"/>
  <c r="AB551" i="7" s="1"/>
  <c r="AC551" i="7" s="1"/>
  <c r="U550" i="7"/>
  <c r="AA550" i="7" s="1"/>
  <c r="AB550" i="7" s="1"/>
  <c r="AC550" i="7" s="1"/>
  <c r="U549" i="7"/>
  <c r="AA549" i="7" s="1"/>
  <c r="AB549" i="7" s="1"/>
  <c r="AC549" i="7" s="1"/>
  <c r="U548" i="7"/>
  <c r="AA548" i="7" s="1"/>
  <c r="AB548" i="7" s="1"/>
  <c r="AC548" i="7" s="1"/>
  <c r="U547" i="7"/>
  <c r="AA547" i="7" s="1"/>
  <c r="AB547" i="7" s="1"/>
  <c r="AC547" i="7" s="1"/>
  <c r="U546" i="7"/>
  <c r="AA546" i="7" s="1"/>
  <c r="AB546" i="7" s="1"/>
  <c r="AC546" i="7" s="1"/>
  <c r="U545" i="7"/>
  <c r="AA545" i="7" s="1"/>
  <c r="AB545" i="7" s="1"/>
  <c r="AC545" i="7" s="1"/>
  <c r="U544" i="7"/>
  <c r="AA544" i="7" s="1"/>
  <c r="AB544" i="7" s="1"/>
  <c r="AC544" i="7" s="1"/>
  <c r="U543" i="7"/>
  <c r="AA543" i="7" s="1"/>
  <c r="AB543" i="7" s="1"/>
  <c r="AC543" i="7" s="1"/>
  <c r="U542" i="7"/>
  <c r="AA542" i="7" s="1"/>
  <c r="AB542" i="7" s="1"/>
  <c r="AC542" i="7" s="1"/>
  <c r="U541" i="7"/>
  <c r="AA541" i="7" s="1"/>
  <c r="AB541" i="7" s="1"/>
  <c r="AC541" i="7" s="1"/>
  <c r="U540" i="7"/>
  <c r="AA540" i="7" s="1"/>
  <c r="AB540" i="7" s="1"/>
  <c r="AC540" i="7" s="1"/>
  <c r="AA539" i="7"/>
  <c r="AB539" i="7" s="1"/>
  <c r="AC539" i="7" s="1"/>
  <c r="U538" i="7"/>
  <c r="AA538" i="7" s="1"/>
  <c r="AB538" i="7" s="1"/>
  <c r="AC538" i="7" s="1"/>
  <c r="U537" i="7"/>
  <c r="AA537" i="7" s="1"/>
  <c r="AB537" i="7" s="1"/>
  <c r="AC537" i="7" s="1"/>
  <c r="U536" i="7"/>
  <c r="AA536" i="7" s="1"/>
  <c r="AB536" i="7" s="1"/>
  <c r="AC536" i="7" s="1"/>
  <c r="U535" i="7"/>
  <c r="AA535" i="7" s="1"/>
  <c r="AB535" i="7" s="1"/>
  <c r="AC535" i="7" s="1"/>
  <c r="U534" i="7"/>
  <c r="AA534" i="7" s="1"/>
  <c r="AB534" i="7" s="1"/>
  <c r="AC534" i="7" s="1"/>
  <c r="U533" i="7"/>
  <c r="AA533" i="7" s="1"/>
  <c r="AB533" i="7" s="1"/>
  <c r="AC533" i="7" s="1"/>
  <c r="U532" i="7"/>
  <c r="AA532" i="7" s="1"/>
  <c r="AB532" i="7" s="1"/>
  <c r="AC532" i="7" s="1"/>
  <c r="U531" i="7"/>
  <c r="AA531" i="7" s="1"/>
  <c r="AB531" i="7" s="1"/>
  <c r="AC531" i="7" s="1"/>
  <c r="U530" i="7"/>
  <c r="AA530" i="7" s="1"/>
  <c r="AB530" i="7" s="1"/>
  <c r="AC530" i="7" s="1"/>
  <c r="U529" i="7"/>
  <c r="AA529" i="7" s="1"/>
  <c r="AB529" i="7" s="1"/>
  <c r="AC529" i="7" s="1"/>
  <c r="U528" i="7"/>
  <c r="AA528" i="7" s="1"/>
  <c r="AB528" i="7" s="1"/>
  <c r="AC528" i="7" s="1"/>
  <c r="U527" i="7"/>
  <c r="AA527" i="7" s="1"/>
  <c r="AB527" i="7" s="1"/>
  <c r="AC527" i="7" s="1"/>
  <c r="AA526" i="7"/>
  <c r="AB526" i="7" s="1"/>
  <c r="AC526" i="7" s="1"/>
  <c r="U525" i="7"/>
  <c r="AA525" i="7" s="1"/>
  <c r="AB525" i="7" s="1"/>
  <c r="AC525" i="7" s="1"/>
  <c r="U524" i="7"/>
  <c r="AA524" i="7" s="1"/>
  <c r="AB524" i="7" s="1"/>
  <c r="AC524" i="7" s="1"/>
  <c r="U523" i="7"/>
  <c r="AA523" i="7" s="1"/>
  <c r="AB523" i="7" s="1"/>
  <c r="AC523" i="7" s="1"/>
  <c r="U522" i="7"/>
  <c r="AA522" i="7" s="1"/>
  <c r="AB522" i="7" s="1"/>
  <c r="AC522" i="7" s="1"/>
  <c r="U521" i="7"/>
  <c r="AA521" i="7" s="1"/>
  <c r="AB521" i="7" s="1"/>
  <c r="AC521" i="7" s="1"/>
  <c r="U520" i="7"/>
  <c r="AA520" i="7" s="1"/>
  <c r="AB520" i="7" s="1"/>
  <c r="AC520" i="7" s="1"/>
  <c r="U519" i="7"/>
  <c r="AA519" i="7" s="1"/>
  <c r="AB519" i="7" s="1"/>
  <c r="AC519" i="7" s="1"/>
  <c r="U518" i="7"/>
  <c r="AA518" i="7" s="1"/>
  <c r="AB518" i="7" s="1"/>
  <c r="AC518" i="7" s="1"/>
  <c r="U517" i="7"/>
  <c r="AA517" i="7" s="1"/>
  <c r="AB517" i="7" s="1"/>
  <c r="AC517" i="7" s="1"/>
  <c r="U516" i="7"/>
  <c r="AA516" i="7" s="1"/>
  <c r="AB516" i="7" s="1"/>
  <c r="AC516" i="7" s="1"/>
  <c r="U515" i="7"/>
  <c r="AA515" i="7" s="1"/>
  <c r="AB515" i="7" s="1"/>
  <c r="AC515" i="7" s="1"/>
  <c r="U514" i="7"/>
  <c r="AA514" i="7" s="1"/>
  <c r="AB514" i="7" s="1"/>
  <c r="AC514" i="7" s="1"/>
  <c r="U513" i="7"/>
  <c r="AA513" i="7" s="1"/>
  <c r="AB513" i="7" s="1"/>
  <c r="AC513" i="7" s="1"/>
  <c r="U512" i="7"/>
  <c r="AA512" i="7" s="1"/>
  <c r="AB512" i="7" s="1"/>
  <c r="AC512" i="7" s="1"/>
  <c r="U511" i="7"/>
  <c r="AA511" i="7" s="1"/>
  <c r="AB511" i="7" s="1"/>
  <c r="AC511" i="7" s="1"/>
  <c r="U510" i="7"/>
  <c r="AA510" i="7" s="1"/>
  <c r="AB510" i="7" s="1"/>
  <c r="AC510" i="7" s="1"/>
  <c r="U509" i="7"/>
  <c r="AA509" i="7" s="1"/>
  <c r="AB509" i="7" s="1"/>
  <c r="AC509" i="7" s="1"/>
  <c r="U508" i="7"/>
  <c r="AA508" i="7" s="1"/>
  <c r="AB508" i="7" s="1"/>
  <c r="AC508" i="7" s="1"/>
  <c r="U507" i="7"/>
  <c r="AA507" i="7" s="1"/>
  <c r="AB507" i="7" s="1"/>
  <c r="AC507" i="7" s="1"/>
  <c r="U506" i="7"/>
  <c r="AA506" i="7" s="1"/>
  <c r="AB506" i="7" s="1"/>
  <c r="AC506" i="7" s="1"/>
  <c r="U505" i="7"/>
  <c r="AA505" i="7" s="1"/>
  <c r="AB505" i="7" s="1"/>
  <c r="AC505" i="7" s="1"/>
  <c r="U504" i="7"/>
  <c r="AA504" i="7" s="1"/>
  <c r="AB504" i="7" s="1"/>
  <c r="AC504" i="7" s="1"/>
  <c r="U503" i="7"/>
  <c r="AA503" i="7" s="1"/>
  <c r="AB503" i="7" s="1"/>
  <c r="AC503" i="7" s="1"/>
  <c r="U502" i="7"/>
  <c r="AA502" i="7" s="1"/>
  <c r="AB502" i="7" s="1"/>
  <c r="AC502" i="7" s="1"/>
  <c r="U501" i="7"/>
  <c r="AA501" i="7" s="1"/>
  <c r="AB501" i="7" s="1"/>
  <c r="AC501" i="7" s="1"/>
  <c r="U500" i="7"/>
  <c r="AA500" i="7" s="1"/>
  <c r="AB500" i="7" s="1"/>
  <c r="AC500" i="7" s="1"/>
  <c r="U499" i="7"/>
  <c r="AA499" i="7" s="1"/>
  <c r="AB499" i="7" s="1"/>
  <c r="AC499" i="7" s="1"/>
  <c r="U498" i="7"/>
  <c r="AA498" i="7" s="1"/>
  <c r="AB498" i="7" s="1"/>
  <c r="AC498" i="7" s="1"/>
  <c r="U497" i="7"/>
  <c r="AA497" i="7" s="1"/>
  <c r="AB497" i="7" s="1"/>
  <c r="AC497" i="7" s="1"/>
  <c r="U496" i="7"/>
  <c r="AA496" i="7" s="1"/>
  <c r="AB496" i="7" s="1"/>
  <c r="AC496" i="7" s="1"/>
  <c r="U495" i="7"/>
  <c r="AA495" i="7" s="1"/>
  <c r="AB495" i="7" s="1"/>
  <c r="AC495" i="7" s="1"/>
  <c r="U494" i="7"/>
  <c r="AA494" i="7" s="1"/>
  <c r="AB494" i="7" s="1"/>
  <c r="AC494" i="7" s="1"/>
  <c r="U493" i="7"/>
  <c r="AA493" i="7" s="1"/>
  <c r="AB493" i="7" s="1"/>
  <c r="AC493" i="7" s="1"/>
  <c r="U492" i="7"/>
  <c r="AA492" i="7" s="1"/>
  <c r="AB492" i="7" s="1"/>
  <c r="AC492" i="7" s="1"/>
  <c r="U491" i="7"/>
  <c r="AA491" i="7" s="1"/>
  <c r="AB491" i="7" s="1"/>
  <c r="AC491" i="7" s="1"/>
  <c r="U490" i="7"/>
  <c r="AA490" i="7" s="1"/>
  <c r="AB490" i="7" s="1"/>
  <c r="AC490" i="7" s="1"/>
  <c r="U489" i="7"/>
  <c r="AA489" i="7" s="1"/>
  <c r="AB489" i="7" s="1"/>
  <c r="AC489" i="7" s="1"/>
  <c r="U488" i="7"/>
  <c r="AA488" i="7" s="1"/>
  <c r="AB488" i="7" s="1"/>
  <c r="AC488" i="7" s="1"/>
  <c r="U487" i="7"/>
  <c r="AA487" i="7" s="1"/>
  <c r="AB487" i="7" s="1"/>
  <c r="AC487" i="7" s="1"/>
  <c r="U486" i="7"/>
  <c r="AA486" i="7" s="1"/>
  <c r="AB486" i="7" s="1"/>
  <c r="AC486" i="7" s="1"/>
  <c r="U485" i="7"/>
  <c r="AA485" i="7" s="1"/>
  <c r="AB485" i="7" s="1"/>
  <c r="AC485" i="7" s="1"/>
  <c r="U484" i="7"/>
  <c r="AA484" i="7" s="1"/>
  <c r="AB484" i="7" s="1"/>
  <c r="AC484" i="7" s="1"/>
  <c r="U483" i="7"/>
  <c r="AA483" i="7" s="1"/>
  <c r="AB483" i="7" s="1"/>
  <c r="AC483" i="7" s="1"/>
  <c r="U482" i="7"/>
  <c r="AA482" i="7" s="1"/>
  <c r="AB482" i="7" s="1"/>
  <c r="AC482" i="7" s="1"/>
  <c r="U481" i="7"/>
  <c r="AA481" i="7" s="1"/>
  <c r="AB481" i="7" s="1"/>
  <c r="AC481" i="7" s="1"/>
  <c r="U480" i="7"/>
  <c r="AA480" i="7" s="1"/>
  <c r="AB480" i="7" s="1"/>
  <c r="AC480" i="7" s="1"/>
  <c r="U479" i="7"/>
  <c r="AA479" i="7" s="1"/>
  <c r="AB479" i="7" s="1"/>
  <c r="AC479" i="7" s="1"/>
  <c r="U478" i="7"/>
  <c r="AA478" i="7" s="1"/>
  <c r="AB478" i="7" s="1"/>
  <c r="AC478" i="7" s="1"/>
  <c r="U477" i="7"/>
  <c r="AA477" i="7" s="1"/>
  <c r="AB477" i="7" s="1"/>
  <c r="AC477" i="7" s="1"/>
  <c r="U476" i="7"/>
  <c r="AA476" i="7" s="1"/>
  <c r="AB476" i="7" s="1"/>
  <c r="AC476" i="7" s="1"/>
  <c r="U475" i="7"/>
  <c r="AA475" i="7" s="1"/>
  <c r="AB475" i="7" s="1"/>
  <c r="AC475" i="7" s="1"/>
  <c r="U474" i="7"/>
  <c r="AA474" i="7" s="1"/>
  <c r="AB474" i="7" s="1"/>
  <c r="AC474" i="7" s="1"/>
  <c r="U473" i="7"/>
  <c r="AA473" i="7" s="1"/>
  <c r="AB473" i="7" s="1"/>
  <c r="AC473" i="7" s="1"/>
  <c r="U472" i="7"/>
  <c r="AA472" i="7" s="1"/>
  <c r="AB472" i="7" s="1"/>
  <c r="AC472" i="7" s="1"/>
  <c r="U471" i="7"/>
  <c r="AA471" i="7" s="1"/>
  <c r="AB471" i="7" s="1"/>
  <c r="AC471" i="7" s="1"/>
  <c r="U470" i="7"/>
  <c r="AA470" i="7" s="1"/>
  <c r="AB470" i="7" s="1"/>
  <c r="AC470" i="7" s="1"/>
  <c r="U469" i="7"/>
  <c r="AA469" i="7" s="1"/>
  <c r="AB469" i="7" s="1"/>
  <c r="AC469" i="7" s="1"/>
  <c r="U468" i="7"/>
  <c r="AA468" i="7" s="1"/>
  <c r="AB468" i="7" s="1"/>
  <c r="AC468" i="7" s="1"/>
  <c r="U467" i="7"/>
  <c r="AA467" i="7" s="1"/>
  <c r="AB467" i="7" s="1"/>
  <c r="AC467" i="7" s="1"/>
  <c r="U466" i="7"/>
  <c r="AA466" i="7" s="1"/>
  <c r="AB466" i="7" s="1"/>
  <c r="AC466" i="7" s="1"/>
  <c r="U465" i="7"/>
  <c r="AA465" i="7" s="1"/>
  <c r="AB465" i="7" s="1"/>
  <c r="AC465" i="7" s="1"/>
  <c r="U464" i="7"/>
  <c r="AA464" i="7" s="1"/>
  <c r="AB464" i="7" s="1"/>
  <c r="AC464" i="7" s="1"/>
  <c r="U463" i="7"/>
  <c r="AA463" i="7" s="1"/>
  <c r="AB463" i="7" s="1"/>
  <c r="AC463" i="7" s="1"/>
  <c r="U462" i="7"/>
  <c r="AA462" i="7" s="1"/>
  <c r="AB462" i="7" s="1"/>
  <c r="AC462" i="7" s="1"/>
  <c r="U461" i="7"/>
  <c r="AA461" i="7" s="1"/>
  <c r="AB461" i="7" s="1"/>
  <c r="AC461" i="7" s="1"/>
  <c r="U460" i="7"/>
  <c r="AA460" i="7" s="1"/>
  <c r="AB460" i="7" s="1"/>
  <c r="AC460" i="7" s="1"/>
  <c r="U459" i="7"/>
  <c r="AA459" i="7" s="1"/>
  <c r="AB459" i="7" s="1"/>
  <c r="AC459" i="7" s="1"/>
  <c r="U458" i="7"/>
  <c r="AA458" i="7" s="1"/>
  <c r="AB458" i="7" s="1"/>
  <c r="AC458" i="7" s="1"/>
  <c r="U457" i="7"/>
  <c r="AA457" i="7" s="1"/>
  <c r="AB457" i="7" s="1"/>
  <c r="AC457" i="7" s="1"/>
  <c r="U456" i="7"/>
  <c r="AA456" i="7" s="1"/>
  <c r="AB456" i="7" s="1"/>
  <c r="AC456" i="7" s="1"/>
  <c r="U455" i="7"/>
  <c r="AA455" i="7" s="1"/>
  <c r="AB455" i="7" s="1"/>
  <c r="AC455" i="7" s="1"/>
  <c r="U454" i="7"/>
  <c r="AA454" i="7" s="1"/>
  <c r="AB454" i="7" s="1"/>
  <c r="AC454" i="7" s="1"/>
  <c r="U453" i="7"/>
  <c r="AA453" i="7" s="1"/>
  <c r="AB453" i="7" s="1"/>
  <c r="AC453" i="7" s="1"/>
  <c r="U452" i="7"/>
  <c r="AA452" i="7" s="1"/>
  <c r="AB452" i="7" s="1"/>
  <c r="AC452" i="7" s="1"/>
  <c r="AA451" i="7"/>
  <c r="AB451" i="7" s="1"/>
  <c r="AC451" i="7" s="1"/>
  <c r="U450" i="7"/>
  <c r="AA450" i="7" s="1"/>
  <c r="AB450" i="7" s="1"/>
  <c r="AC450" i="7" s="1"/>
  <c r="U449" i="7"/>
  <c r="AA449" i="7" s="1"/>
  <c r="AB449" i="7" s="1"/>
  <c r="AC449" i="7" s="1"/>
  <c r="U448" i="7"/>
  <c r="AA448" i="7" s="1"/>
  <c r="AB448" i="7" s="1"/>
  <c r="AC448" i="7" s="1"/>
  <c r="U447" i="7"/>
  <c r="AA447" i="7" s="1"/>
  <c r="AB447" i="7" s="1"/>
  <c r="AC447" i="7" s="1"/>
  <c r="U446" i="7"/>
  <c r="AA446" i="7" s="1"/>
  <c r="AB446" i="7" s="1"/>
  <c r="AC446" i="7" s="1"/>
  <c r="U445" i="7"/>
  <c r="AA445" i="7" s="1"/>
  <c r="AB445" i="7" s="1"/>
  <c r="AC445" i="7" s="1"/>
  <c r="U444" i="7"/>
  <c r="AA444" i="7" s="1"/>
  <c r="AB444" i="7" s="1"/>
  <c r="AC444" i="7" s="1"/>
  <c r="U443" i="7"/>
  <c r="AA443" i="7" s="1"/>
  <c r="AB443" i="7" s="1"/>
  <c r="AC443" i="7" s="1"/>
  <c r="U442" i="7"/>
  <c r="AA442" i="7" s="1"/>
  <c r="AB442" i="7" s="1"/>
  <c r="AC442" i="7" s="1"/>
  <c r="AA441" i="7"/>
  <c r="AB441" i="7" s="1"/>
  <c r="AC441" i="7" s="1"/>
  <c r="U440" i="7"/>
  <c r="AA440" i="7" s="1"/>
  <c r="AB440" i="7" s="1"/>
  <c r="AC440" i="7" s="1"/>
  <c r="U439" i="7"/>
  <c r="AA439" i="7" s="1"/>
  <c r="AB439" i="7" s="1"/>
  <c r="AC439" i="7" s="1"/>
  <c r="U438" i="7"/>
  <c r="AA438" i="7" s="1"/>
  <c r="AB438" i="7" s="1"/>
  <c r="AC438" i="7" s="1"/>
  <c r="U437" i="7"/>
  <c r="AA437" i="7" s="1"/>
  <c r="AB437" i="7" s="1"/>
  <c r="AC437" i="7" s="1"/>
  <c r="U436" i="7"/>
  <c r="AA436" i="7" s="1"/>
  <c r="AB436" i="7" s="1"/>
  <c r="AC436" i="7" s="1"/>
  <c r="U435" i="7"/>
  <c r="AA435" i="7" s="1"/>
  <c r="AB435" i="7" s="1"/>
  <c r="AC435" i="7" s="1"/>
  <c r="U434" i="7"/>
  <c r="AA434" i="7" s="1"/>
  <c r="AB434" i="7" s="1"/>
  <c r="AC434" i="7" s="1"/>
  <c r="U433" i="7"/>
  <c r="AA433" i="7" s="1"/>
  <c r="AB433" i="7" s="1"/>
  <c r="AC433" i="7" s="1"/>
  <c r="U432" i="7"/>
  <c r="AA432" i="7" s="1"/>
  <c r="AB432" i="7" s="1"/>
  <c r="AC432" i="7" s="1"/>
  <c r="U431" i="7"/>
  <c r="AA431" i="7" s="1"/>
  <c r="AB431" i="7" s="1"/>
  <c r="AC431" i="7" s="1"/>
  <c r="U430" i="7"/>
  <c r="AA430" i="7" s="1"/>
  <c r="AB430" i="7" s="1"/>
  <c r="AC430" i="7" s="1"/>
  <c r="U429" i="7"/>
  <c r="AA429" i="7" s="1"/>
  <c r="AB429" i="7" s="1"/>
  <c r="AC429" i="7" s="1"/>
  <c r="U428" i="7"/>
  <c r="AA428" i="7" s="1"/>
  <c r="AB428" i="7" s="1"/>
  <c r="AC428" i="7" s="1"/>
  <c r="U427" i="7"/>
  <c r="AA427" i="7" s="1"/>
  <c r="AB427" i="7" s="1"/>
  <c r="AC427" i="7" s="1"/>
  <c r="U426" i="7"/>
  <c r="AA426" i="7" s="1"/>
  <c r="AB426" i="7" s="1"/>
  <c r="AC426" i="7" s="1"/>
  <c r="U425" i="7"/>
  <c r="AA425" i="7" s="1"/>
  <c r="AB425" i="7" s="1"/>
  <c r="AC425" i="7" s="1"/>
  <c r="U424" i="7"/>
  <c r="AA424" i="7" s="1"/>
  <c r="AB424" i="7" s="1"/>
  <c r="AC424" i="7" s="1"/>
  <c r="AA423" i="7"/>
  <c r="AB423" i="7" s="1"/>
  <c r="AC423" i="7" s="1"/>
  <c r="U422" i="7"/>
  <c r="AA422" i="7" s="1"/>
  <c r="AB422" i="7" s="1"/>
  <c r="AC422" i="7" s="1"/>
  <c r="U421" i="7"/>
  <c r="AA421" i="7" s="1"/>
  <c r="AB421" i="7" s="1"/>
  <c r="AC421" i="7" s="1"/>
  <c r="U420" i="7"/>
  <c r="AA420" i="7" s="1"/>
  <c r="AB420" i="7" s="1"/>
  <c r="AC420" i="7" s="1"/>
  <c r="U419" i="7"/>
  <c r="AA419" i="7" s="1"/>
  <c r="AB419" i="7" s="1"/>
  <c r="AC419" i="7" s="1"/>
  <c r="U418" i="7"/>
  <c r="AA418" i="7" s="1"/>
  <c r="AB418" i="7" s="1"/>
  <c r="AC418" i="7" s="1"/>
  <c r="U417" i="7"/>
  <c r="AA417" i="7" s="1"/>
  <c r="AB417" i="7" s="1"/>
  <c r="AC417" i="7" s="1"/>
  <c r="U416" i="7"/>
  <c r="AA416" i="7" s="1"/>
  <c r="AB416" i="7" s="1"/>
  <c r="AC416" i="7" s="1"/>
  <c r="U415" i="7"/>
  <c r="AA415" i="7" s="1"/>
  <c r="AB415" i="7" s="1"/>
  <c r="AC415" i="7" s="1"/>
  <c r="U414" i="7"/>
  <c r="AA414" i="7" s="1"/>
  <c r="AB414" i="7" s="1"/>
  <c r="AC414" i="7" s="1"/>
  <c r="U413" i="7"/>
  <c r="AA413" i="7" s="1"/>
  <c r="AB413" i="7" s="1"/>
  <c r="AC413" i="7" s="1"/>
  <c r="U412" i="7"/>
  <c r="AA412" i="7" s="1"/>
  <c r="AB412" i="7" s="1"/>
  <c r="AC412" i="7" s="1"/>
  <c r="U411" i="7"/>
  <c r="AA411" i="7" s="1"/>
  <c r="AB411" i="7" s="1"/>
  <c r="AC411" i="7" s="1"/>
  <c r="U410" i="7"/>
  <c r="AA410" i="7" s="1"/>
  <c r="AB410" i="7" s="1"/>
  <c r="AC410" i="7" s="1"/>
  <c r="U409" i="7"/>
  <c r="AA409" i="7" s="1"/>
  <c r="AB409" i="7" s="1"/>
  <c r="AC409" i="7" s="1"/>
  <c r="U408" i="7"/>
  <c r="AA408" i="7" s="1"/>
  <c r="AB408" i="7" s="1"/>
  <c r="AC408" i="7" s="1"/>
  <c r="AA407" i="7"/>
  <c r="AB407" i="7" s="1"/>
  <c r="AC407" i="7" s="1"/>
  <c r="U406" i="7"/>
  <c r="AA406" i="7" s="1"/>
  <c r="AB406" i="7" s="1"/>
  <c r="AC406" i="7" s="1"/>
  <c r="U405" i="7"/>
  <c r="AA405" i="7" s="1"/>
  <c r="AB405" i="7" s="1"/>
  <c r="AC405" i="7" s="1"/>
  <c r="U404" i="7"/>
  <c r="AA404" i="7" s="1"/>
  <c r="AB404" i="7" s="1"/>
  <c r="AC404" i="7" s="1"/>
  <c r="U403" i="7"/>
  <c r="AA403" i="7" s="1"/>
  <c r="AB403" i="7" s="1"/>
  <c r="AC403" i="7" s="1"/>
  <c r="U402" i="7"/>
  <c r="AA402" i="7" s="1"/>
  <c r="AB402" i="7" s="1"/>
  <c r="AC402" i="7" s="1"/>
  <c r="AA401" i="7"/>
  <c r="AB401" i="7" s="1"/>
  <c r="AC401" i="7" s="1"/>
  <c r="U400" i="7"/>
  <c r="AA400" i="7" s="1"/>
  <c r="AB400" i="7" s="1"/>
  <c r="AC400" i="7" s="1"/>
  <c r="U399" i="7"/>
  <c r="AA399" i="7" s="1"/>
  <c r="AB399" i="7" s="1"/>
  <c r="AC399" i="7" s="1"/>
  <c r="U398" i="7"/>
  <c r="AA398" i="7" s="1"/>
  <c r="AB398" i="7" s="1"/>
  <c r="AC398" i="7" s="1"/>
  <c r="U397" i="7"/>
  <c r="AA397" i="7" s="1"/>
  <c r="AB397" i="7" s="1"/>
  <c r="AC397" i="7" s="1"/>
  <c r="U396" i="7"/>
  <c r="AA396" i="7" s="1"/>
  <c r="AB396" i="7" s="1"/>
  <c r="AC396" i="7" s="1"/>
  <c r="U395" i="7"/>
  <c r="AA395" i="7" s="1"/>
  <c r="AB395" i="7" s="1"/>
  <c r="AC395" i="7" s="1"/>
  <c r="U394" i="7"/>
  <c r="AA394" i="7" s="1"/>
  <c r="AB394" i="7" s="1"/>
  <c r="AC394" i="7" s="1"/>
  <c r="U393" i="7"/>
  <c r="AA393" i="7" s="1"/>
  <c r="AB393" i="7" s="1"/>
  <c r="AC393" i="7" s="1"/>
  <c r="U392" i="7"/>
  <c r="AA392" i="7" s="1"/>
  <c r="AB392" i="7" s="1"/>
  <c r="AC392" i="7" s="1"/>
  <c r="AA391" i="7"/>
  <c r="AB391" i="7" s="1"/>
  <c r="AC391" i="7" s="1"/>
  <c r="U390" i="7"/>
  <c r="AA390" i="7" s="1"/>
  <c r="AB390" i="7" s="1"/>
  <c r="AC390" i="7" s="1"/>
  <c r="U389" i="7"/>
  <c r="AA389" i="7" s="1"/>
  <c r="AB389" i="7" s="1"/>
  <c r="AC389" i="7" s="1"/>
  <c r="AA388" i="7"/>
  <c r="AB388" i="7" s="1"/>
  <c r="AC388" i="7" s="1"/>
  <c r="U387" i="7"/>
  <c r="AA387" i="7" s="1"/>
  <c r="AB387" i="7" s="1"/>
  <c r="AC387" i="7" s="1"/>
  <c r="U386" i="7"/>
  <c r="AA386" i="7" s="1"/>
  <c r="AB386" i="7" s="1"/>
  <c r="AC386" i="7" s="1"/>
  <c r="AA385" i="7"/>
  <c r="AB385" i="7" s="1"/>
  <c r="AC385" i="7" s="1"/>
  <c r="U384" i="7"/>
  <c r="AA384" i="7" s="1"/>
  <c r="AB384" i="7" s="1"/>
  <c r="AC384" i="7" s="1"/>
  <c r="U383" i="7"/>
  <c r="AA383" i="7" s="1"/>
  <c r="AB383" i="7" s="1"/>
  <c r="AC383" i="7" s="1"/>
  <c r="U382" i="7"/>
  <c r="AA382" i="7" s="1"/>
  <c r="AB382" i="7" s="1"/>
  <c r="AC382" i="7" s="1"/>
  <c r="U381" i="7"/>
  <c r="AA381" i="7" s="1"/>
  <c r="AB381" i="7" s="1"/>
  <c r="AC381" i="7" s="1"/>
  <c r="AA380" i="7"/>
  <c r="AB380" i="7" s="1"/>
  <c r="AC380" i="7" s="1"/>
  <c r="AA379" i="7"/>
  <c r="AB379" i="7" s="1"/>
  <c r="AC379" i="7" s="1"/>
  <c r="AA378" i="7"/>
  <c r="AB378" i="7" s="1"/>
  <c r="AC378" i="7" s="1"/>
  <c r="U377" i="7"/>
  <c r="AA377" i="7" s="1"/>
  <c r="AB377" i="7" s="1"/>
  <c r="AC377" i="7" s="1"/>
  <c r="U376" i="7"/>
  <c r="AA376" i="7" s="1"/>
  <c r="AB376" i="7" s="1"/>
  <c r="AC376" i="7" s="1"/>
  <c r="U375" i="7"/>
  <c r="AA375" i="7" s="1"/>
  <c r="AB375" i="7" s="1"/>
  <c r="AC375" i="7" s="1"/>
  <c r="U374" i="7"/>
  <c r="AA374" i="7" s="1"/>
  <c r="AB374" i="7" s="1"/>
  <c r="AC374" i="7" s="1"/>
  <c r="U373" i="7"/>
  <c r="AA373" i="7" s="1"/>
  <c r="AB373" i="7" s="1"/>
  <c r="AC373" i="7" s="1"/>
  <c r="U372" i="7"/>
  <c r="AA372" i="7" s="1"/>
  <c r="AB372" i="7" s="1"/>
  <c r="AC372" i="7" s="1"/>
  <c r="U371" i="7"/>
  <c r="AA371" i="7" s="1"/>
  <c r="AB371" i="7" s="1"/>
  <c r="AC371" i="7" s="1"/>
  <c r="U370" i="7"/>
  <c r="AA370" i="7" s="1"/>
  <c r="AB370" i="7" s="1"/>
  <c r="AC370" i="7" s="1"/>
  <c r="U369" i="7"/>
  <c r="AA369" i="7" s="1"/>
  <c r="AB369" i="7" s="1"/>
  <c r="AC369" i="7" s="1"/>
  <c r="U368" i="7"/>
  <c r="AA368" i="7" s="1"/>
  <c r="AB368" i="7" s="1"/>
  <c r="AC368" i="7" s="1"/>
  <c r="U367" i="7"/>
  <c r="AA367" i="7" s="1"/>
  <c r="AB367" i="7" s="1"/>
  <c r="AC367" i="7" s="1"/>
  <c r="U366" i="7"/>
  <c r="AA366" i="7" s="1"/>
  <c r="AB366" i="7" s="1"/>
  <c r="AC366" i="7" s="1"/>
  <c r="U365" i="7"/>
  <c r="AA365" i="7" s="1"/>
  <c r="AB365" i="7" s="1"/>
  <c r="AC365" i="7" s="1"/>
  <c r="U364" i="7"/>
  <c r="AA364" i="7" s="1"/>
  <c r="AB364" i="7" s="1"/>
  <c r="AC364" i="7" s="1"/>
  <c r="AA363" i="7"/>
  <c r="AB363" i="7" s="1"/>
  <c r="AC363" i="7" s="1"/>
  <c r="U362" i="7"/>
  <c r="AA362" i="7" s="1"/>
  <c r="AB362" i="7" s="1"/>
  <c r="AC362" i="7" s="1"/>
  <c r="U361" i="7"/>
  <c r="AA361" i="7" s="1"/>
  <c r="AB361" i="7" s="1"/>
  <c r="AC361" i="7" s="1"/>
  <c r="U360" i="7"/>
  <c r="AA360" i="7" s="1"/>
  <c r="AB360" i="7" s="1"/>
  <c r="AC360" i="7" s="1"/>
  <c r="U359" i="7"/>
  <c r="AA359" i="7" s="1"/>
  <c r="AB359" i="7" s="1"/>
  <c r="AC359" i="7" s="1"/>
  <c r="U358" i="7"/>
  <c r="AA358" i="7" s="1"/>
  <c r="AB358" i="7" s="1"/>
  <c r="AC358" i="7" s="1"/>
  <c r="U357" i="7"/>
  <c r="AA357" i="7" s="1"/>
  <c r="AB357" i="7" s="1"/>
  <c r="AC357" i="7" s="1"/>
  <c r="U356" i="7"/>
  <c r="AA356" i="7" s="1"/>
  <c r="AB356" i="7" s="1"/>
  <c r="AC356" i="7" s="1"/>
  <c r="U355" i="7"/>
  <c r="AA355" i="7" s="1"/>
  <c r="AB355" i="7" s="1"/>
  <c r="AC355" i="7" s="1"/>
  <c r="U354" i="7"/>
  <c r="AA354" i="7" s="1"/>
  <c r="AB354" i="7" s="1"/>
  <c r="AC354" i="7" s="1"/>
  <c r="U353" i="7"/>
  <c r="AA353" i="7" s="1"/>
  <c r="AB353" i="7" s="1"/>
  <c r="AC353" i="7" s="1"/>
  <c r="U352" i="7"/>
  <c r="AA352" i="7" s="1"/>
  <c r="AB352" i="7" s="1"/>
  <c r="AC352" i="7" s="1"/>
  <c r="U351" i="7"/>
  <c r="AA351" i="7" s="1"/>
  <c r="AB351" i="7" s="1"/>
  <c r="AC351" i="7" s="1"/>
  <c r="U350" i="7"/>
  <c r="AA350" i="7" s="1"/>
  <c r="AB350" i="7" s="1"/>
  <c r="AC350" i="7" s="1"/>
  <c r="U349" i="7"/>
  <c r="AA349" i="7" s="1"/>
  <c r="AB349" i="7" s="1"/>
  <c r="AC349" i="7" s="1"/>
  <c r="U348" i="7"/>
  <c r="AA348" i="7" s="1"/>
  <c r="AB348" i="7" s="1"/>
  <c r="AC348" i="7" s="1"/>
  <c r="U347" i="7"/>
  <c r="AA347" i="7" s="1"/>
  <c r="AB347" i="7" s="1"/>
  <c r="AC347" i="7" s="1"/>
  <c r="U346" i="7"/>
  <c r="AA346" i="7" s="1"/>
  <c r="AB346" i="7" s="1"/>
  <c r="AC346" i="7" s="1"/>
  <c r="AA345" i="7"/>
  <c r="AB345" i="7" s="1"/>
  <c r="AC345" i="7" s="1"/>
  <c r="U344" i="7"/>
  <c r="AA344" i="7" s="1"/>
  <c r="AB344" i="7" s="1"/>
  <c r="AC344" i="7" s="1"/>
  <c r="U343" i="7"/>
  <c r="AA343" i="7" s="1"/>
  <c r="AB343" i="7" s="1"/>
  <c r="AC343" i="7" s="1"/>
  <c r="U342" i="7"/>
  <c r="AA342" i="7" s="1"/>
  <c r="AB342" i="7" s="1"/>
  <c r="AC342" i="7" s="1"/>
  <c r="U341" i="7"/>
  <c r="AA341" i="7" s="1"/>
  <c r="AB341" i="7" s="1"/>
  <c r="AC341" i="7" s="1"/>
  <c r="U340" i="7"/>
  <c r="AA340" i="7" s="1"/>
  <c r="AB340" i="7" s="1"/>
  <c r="AC340" i="7" s="1"/>
  <c r="AA339" i="7"/>
  <c r="AB339" i="7" s="1"/>
  <c r="AC339" i="7" s="1"/>
  <c r="U338" i="7"/>
  <c r="AA338" i="7" s="1"/>
  <c r="AB338" i="7" s="1"/>
  <c r="AC338" i="7" s="1"/>
  <c r="U337" i="7"/>
  <c r="AA337" i="7" s="1"/>
  <c r="AB337" i="7" s="1"/>
  <c r="AC337" i="7" s="1"/>
  <c r="U336" i="7"/>
  <c r="AA336" i="7" s="1"/>
  <c r="AB336" i="7" s="1"/>
  <c r="AC336" i="7" s="1"/>
  <c r="U335" i="7"/>
  <c r="AA335" i="7" s="1"/>
  <c r="AB335" i="7" s="1"/>
  <c r="AC335" i="7" s="1"/>
  <c r="U334" i="7"/>
  <c r="AA334" i="7" s="1"/>
  <c r="AB334" i="7" s="1"/>
  <c r="AC334" i="7" s="1"/>
  <c r="U333" i="7"/>
  <c r="AA333" i="7" s="1"/>
  <c r="AB333" i="7" s="1"/>
  <c r="AC333" i="7" s="1"/>
  <c r="U332" i="7"/>
  <c r="AA332" i="7" s="1"/>
  <c r="AB332" i="7" s="1"/>
  <c r="AC332" i="7" s="1"/>
  <c r="U331" i="7"/>
  <c r="AA331" i="7" s="1"/>
  <c r="AB331" i="7" s="1"/>
  <c r="AC331" i="7" s="1"/>
  <c r="U330" i="7"/>
  <c r="AA330" i="7" s="1"/>
  <c r="AB330" i="7" s="1"/>
  <c r="AC330" i="7" s="1"/>
  <c r="AA329" i="7"/>
  <c r="AB329" i="7" s="1"/>
  <c r="AC329" i="7" s="1"/>
  <c r="U328" i="7"/>
  <c r="AA328" i="7" s="1"/>
  <c r="AB328" i="7" s="1"/>
  <c r="AC328" i="7" s="1"/>
  <c r="U327" i="7"/>
  <c r="AA327" i="7" s="1"/>
  <c r="AB327" i="7" s="1"/>
  <c r="AC327" i="7" s="1"/>
  <c r="U326" i="7"/>
  <c r="AA326" i="7" s="1"/>
  <c r="AB326" i="7" s="1"/>
  <c r="AC326" i="7" s="1"/>
  <c r="U325" i="7"/>
  <c r="AA325" i="7" s="1"/>
  <c r="AB325" i="7" s="1"/>
  <c r="AC325" i="7" s="1"/>
  <c r="U324" i="7"/>
  <c r="AA324" i="7" s="1"/>
  <c r="AB324" i="7" s="1"/>
  <c r="AC324" i="7" s="1"/>
  <c r="U323" i="7"/>
  <c r="AA323" i="7" s="1"/>
  <c r="AB323" i="7" s="1"/>
  <c r="AC323" i="7" s="1"/>
  <c r="U322" i="7"/>
  <c r="AA322" i="7" s="1"/>
  <c r="AB322" i="7" s="1"/>
  <c r="AC322" i="7" s="1"/>
  <c r="U321" i="7"/>
  <c r="AA321" i="7" s="1"/>
  <c r="AB321" i="7" s="1"/>
  <c r="AC321" i="7" s="1"/>
  <c r="U320" i="7"/>
  <c r="AA320" i="7" s="1"/>
  <c r="AB320" i="7" s="1"/>
  <c r="AC320" i="7" s="1"/>
  <c r="U319" i="7"/>
  <c r="AA319" i="7" s="1"/>
  <c r="AB319" i="7" s="1"/>
  <c r="AC319" i="7" s="1"/>
  <c r="U318" i="7"/>
  <c r="AA318" i="7" s="1"/>
  <c r="AB318" i="7" s="1"/>
  <c r="AC318" i="7" s="1"/>
  <c r="U317" i="7"/>
  <c r="AA317" i="7" s="1"/>
  <c r="AB317" i="7" s="1"/>
  <c r="AC317" i="7" s="1"/>
  <c r="U316" i="7"/>
  <c r="AA316" i="7" s="1"/>
  <c r="AB316" i="7" s="1"/>
  <c r="AC316" i="7" s="1"/>
  <c r="U315" i="7"/>
  <c r="AA315" i="7" s="1"/>
  <c r="AB315" i="7" s="1"/>
  <c r="AC315" i="7" s="1"/>
  <c r="U314" i="7"/>
  <c r="AA314" i="7" s="1"/>
  <c r="AB314" i="7" s="1"/>
  <c r="AC314" i="7" s="1"/>
  <c r="AA313" i="7"/>
  <c r="AB313" i="7" s="1"/>
  <c r="AC313" i="7" s="1"/>
  <c r="U312" i="7"/>
  <c r="AA312" i="7" s="1"/>
  <c r="AB312" i="7" s="1"/>
  <c r="AC312" i="7" s="1"/>
  <c r="U311" i="7"/>
  <c r="AA311" i="7" s="1"/>
  <c r="AB311" i="7" s="1"/>
  <c r="AC311" i="7" s="1"/>
  <c r="AA310" i="7"/>
  <c r="AB310" i="7" s="1"/>
  <c r="AC310" i="7" s="1"/>
  <c r="U309" i="7"/>
  <c r="AA309" i="7" s="1"/>
  <c r="AB309" i="7" s="1"/>
  <c r="AC309" i="7" s="1"/>
  <c r="U308" i="7"/>
  <c r="AA308" i="7" s="1"/>
  <c r="AB308" i="7" s="1"/>
  <c r="AC308" i="7" s="1"/>
  <c r="U307" i="7"/>
  <c r="AA307" i="7" s="1"/>
  <c r="AB307" i="7" s="1"/>
  <c r="AC307" i="7" s="1"/>
  <c r="AA306" i="7"/>
  <c r="AB306" i="7" s="1"/>
  <c r="AC306" i="7" s="1"/>
  <c r="U305" i="7"/>
  <c r="AA305" i="7" s="1"/>
  <c r="AB305" i="7" s="1"/>
  <c r="AC305" i="7" s="1"/>
  <c r="U304" i="7"/>
  <c r="AA304" i="7" s="1"/>
  <c r="AB304" i="7" s="1"/>
  <c r="AC304" i="7" s="1"/>
  <c r="U303" i="7"/>
  <c r="AA303" i="7" s="1"/>
  <c r="AB303" i="7" s="1"/>
  <c r="AC303" i="7" s="1"/>
  <c r="U302" i="7"/>
  <c r="AA302" i="7" s="1"/>
  <c r="AB302" i="7" s="1"/>
  <c r="AC302" i="7" s="1"/>
  <c r="U301" i="7"/>
  <c r="AA301" i="7" s="1"/>
  <c r="AB301" i="7" s="1"/>
  <c r="AC301" i="7" s="1"/>
  <c r="U300" i="7"/>
  <c r="AA300" i="7" s="1"/>
  <c r="AB300" i="7" s="1"/>
  <c r="AC300" i="7" s="1"/>
  <c r="U299" i="7"/>
  <c r="AA299" i="7" s="1"/>
  <c r="AB299" i="7" s="1"/>
  <c r="AC299" i="7" s="1"/>
  <c r="U298" i="7"/>
  <c r="AA298" i="7" s="1"/>
  <c r="AB298" i="7" s="1"/>
  <c r="AC298" i="7" s="1"/>
  <c r="U297" i="7"/>
  <c r="AA297" i="7" s="1"/>
  <c r="AB297" i="7" s="1"/>
  <c r="AC297" i="7" s="1"/>
  <c r="U296" i="7"/>
  <c r="AA296" i="7" s="1"/>
  <c r="AB296" i="7" s="1"/>
  <c r="AC296" i="7" s="1"/>
  <c r="AA295" i="7"/>
  <c r="AB295" i="7" s="1"/>
  <c r="AC295" i="7" s="1"/>
  <c r="U294" i="7"/>
  <c r="AA294" i="7" s="1"/>
  <c r="AB294" i="7" s="1"/>
  <c r="AC294" i="7" s="1"/>
  <c r="U293" i="7"/>
  <c r="AA293" i="7" s="1"/>
  <c r="AB293" i="7" s="1"/>
  <c r="AC293" i="7" s="1"/>
  <c r="U292" i="7"/>
  <c r="AA292" i="7" s="1"/>
  <c r="AB292" i="7" s="1"/>
  <c r="AC292" i="7" s="1"/>
  <c r="AA291" i="7"/>
  <c r="AB291" i="7" s="1"/>
  <c r="AC291" i="7" s="1"/>
  <c r="U290" i="7"/>
  <c r="AA290" i="7" s="1"/>
  <c r="AB290" i="7" s="1"/>
  <c r="AC290" i="7" s="1"/>
  <c r="U289" i="7"/>
  <c r="AA289" i="7" s="1"/>
  <c r="AB289" i="7" s="1"/>
  <c r="AC289" i="7" s="1"/>
  <c r="U288" i="7"/>
  <c r="AA288" i="7" s="1"/>
  <c r="AB288" i="7" s="1"/>
  <c r="AC288" i="7" s="1"/>
  <c r="U287" i="7"/>
  <c r="AA287" i="7" s="1"/>
  <c r="AB287" i="7" s="1"/>
  <c r="AC287" i="7" s="1"/>
  <c r="U286" i="7"/>
  <c r="AA286" i="7" s="1"/>
  <c r="AB286" i="7" s="1"/>
  <c r="AC286" i="7" s="1"/>
  <c r="U285" i="7"/>
  <c r="AA285" i="7" s="1"/>
  <c r="AB285" i="7" s="1"/>
  <c r="AC285" i="7" s="1"/>
  <c r="AA284" i="7"/>
  <c r="AB284" i="7" s="1"/>
  <c r="AC284" i="7" s="1"/>
  <c r="U283" i="7"/>
  <c r="AA283" i="7" s="1"/>
  <c r="AB283" i="7" s="1"/>
  <c r="AC283" i="7" s="1"/>
  <c r="U282" i="7"/>
  <c r="AA282" i="7" s="1"/>
  <c r="AB282" i="7" s="1"/>
  <c r="AC282" i="7" s="1"/>
  <c r="U281" i="7"/>
  <c r="AA281" i="7" s="1"/>
  <c r="AB281" i="7" s="1"/>
  <c r="AC281" i="7" s="1"/>
  <c r="U280" i="7"/>
  <c r="AA280" i="7" s="1"/>
  <c r="AB280" i="7" s="1"/>
  <c r="AC280" i="7" s="1"/>
  <c r="U279" i="7"/>
  <c r="AA279" i="7" s="1"/>
  <c r="AB279" i="7" s="1"/>
  <c r="AC279" i="7" s="1"/>
  <c r="U278" i="7"/>
  <c r="AA278" i="7" s="1"/>
  <c r="AB278" i="7" s="1"/>
  <c r="AC278" i="7" s="1"/>
  <c r="AA277" i="7"/>
  <c r="AB277" i="7" s="1"/>
  <c r="AC277" i="7" s="1"/>
  <c r="AA276" i="7"/>
  <c r="AB276" i="7" s="1"/>
  <c r="AC276" i="7" s="1"/>
  <c r="U275" i="7"/>
  <c r="AA275" i="7" s="1"/>
  <c r="AB275" i="7" s="1"/>
  <c r="AC275" i="7" s="1"/>
  <c r="U274" i="7"/>
  <c r="AA274" i="7" s="1"/>
  <c r="AB274" i="7" s="1"/>
  <c r="AC274" i="7" s="1"/>
  <c r="U273" i="7"/>
  <c r="AA273" i="7" s="1"/>
  <c r="AB273" i="7" s="1"/>
  <c r="AC273" i="7" s="1"/>
  <c r="U272" i="7"/>
  <c r="AA272" i="7" s="1"/>
  <c r="AB272" i="7" s="1"/>
  <c r="AC272" i="7" s="1"/>
  <c r="U271" i="7"/>
  <c r="AA271" i="7" s="1"/>
  <c r="AB271" i="7" s="1"/>
  <c r="AC271" i="7" s="1"/>
  <c r="U270" i="7"/>
  <c r="AA270" i="7" s="1"/>
  <c r="AB270" i="7" s="1"/>
  <c r="AC270" i="7" s="1"/>
  <c r="U269" i="7"/>
  <c r="AA269" i="7" s="1"/>
  <c r="AB269" i="7" s="1"/>
  <c r="AC269" i="7" s="1"/>
  <c r="U268" i="7"/>
  <c r="AA268" i="7" s="1"/>
  <c r="AB268" i="7" s="1"/>
  <c r="AC268" i="7" s="1"/>
  <c r="U267" i="7"/>
  <c r="AA267" i="7" s="1"/>
  <c r="AB267" i="7" s="1"/>
  <c r="AC267" i="7" s="1"/>
  <c r="U266" i="7"/>
  <c r="AA266" i="7" s="1"/>
  <c r="AB266" i="7" s="1"/>
  <c r="AC266" i="7" s="1"/>
  <c r="U265" i="7"/>
  <c r="AA265" i="7" s="1"/>
  <c r="AB265" i="7" s="1"/>
  <c r="AC265" i="7" s="1"/>
  <c r="U264" i="7"/>
  <c r="AA264" i="7" s="1"/>
  <c r="AB264" i="7" s="1"/>
  <c r="AC264" i="7" s="1"/>
  <c r="U263" i="7"/>
  <c r="AA263" i="7" s="1"/>
  <c r="AB263" i="7" s="1"/>
  <c r="AC263" i="7" s="1"/>
  <c r="U262" i="7"/>
  <c r="AA262" i="7" s="1"/>
  <c r="AB262" i="7" s="1"/>
  <c r="AC262" i="7" s="1"/>
  <c r="U261" i="7"/>
  <c r="AA261" i="7" s="1"/>
  <c r="AB261" i="7" s="1"/>
  <c r="AC261" i="7" s="1"/>
  <c r="U260" i="7"/>
  <c r="AA260" i="7" s="1"/>
  <c r="AB260" i="7" s="1"/>
  <c r="AC260" i="7" s="1"/>
  <c r="AA259" i="7"/>
  <c r="AB259" i="7" s="1"/>
  <c r="AC259" i="7" s="1"/>
  <c r="U259" i="7"/>
  <c r="U258" i="7"/>
  <c r="AA258" i="7" s="1"/>
  <c r="AB258" i="7" s="1"/>
  <c r="AC258" i="7" s="1"/>
  <c r="AA257" i="7"/>
  <c r="AB257" i="7" s="1"/>
  <c r="AC257" i="7" s="1"/>
  <c r="AA256" i="7"/>
  <c r="AB256" i="7" s="1"/>
  <c r="AC256" i="7" s="1"/>
  <c r="U256" i="7"/>
  <c r="U255" i="7"/>
  <c r="AA255" i="7" s="1"/>
  <c r="AB255" i="7" s="1"/>
  <c r="AC255" i="7" s="1"/>
  <c r="U254" i="7"/>
  <c r="AA254" i="7" s="1"/>
  <c r="AB254" i="7" s="1"/>
  <c r="AC254" i="7" s="1"/>
  <c r="U253" i="7"/>
  <c r="AA253" i="7" s="1"/>
  <c r="AB253" i="7" s="1"/>
  <c r="AC253" i="7" s="1"/>
  <c r="U252" i="7"/>
  <c r="AA252" i="7" s="1"/>
  <c r="AB252" i="7" s="1"/>
  <c r="AC252" i="7" s="1"/>
  <c r="U251" i="7"/>
  <c r="AA251" i="7" s="1"/>
  <c r="AB251" i="7" s="1"/>
  <c r="AC251" i="7" s="1"/>
  <c r="U250" i="7"/>
  <c r="AA250" i="7" s="1"/>
  <c r="AB250" i="7" s="1"/>
  <c r="AC250" i="7" s="1"/>
  <c r="U249" i="7"/>
  <c r="AA249" i="7" s="1"/>
  <c r="AB249" i="7" s="1"/>
  <c r="AC249" i="7" s="1"/>
  <c r="U248" i="7"/>
  <c r="AA248" i="7" s="1"/>
  <c r="AB248" i="7" s="1"/>
  <c r="AC248" i="7" s="1"/>
  <c r="U247" i="7"/>
  <c r="AA247" i="7" s="1"/>
  <c r="AB247" i="7" s="1"/>
  <c r="AC247" i="7" s="1"/>
  <c r="U246" i="7"/>
  <c r="AA246" i="7" s="1"/>
  <c r="AB246" i="7" s="1"/>
  <c r="AC246" i="7" s="1"/>
  <c r="U245" i="7"/>
  <c r="AA245" i="7" s="1"/>
  <c r="AB245" i="7" s="1"/>
  <c r="AC245" i="7" s="1"/>
  <c r="U244" i="7"/>
  <c r="AA244" i="7" s="1"/>
  <c r="AB244" i="7" s="1"/>
  <c r="AC244" i="7" s="1"/>
  <c r="U243" i="7"/>
  <c r="AA243" i="7" s="1"/>
  <c r="AB243" i="7" s="1"/>
  <c r="AC243" i="7" s="1"/>
  <c r="AA242" i="7"/>
  <c r="AB242" i="7" s="1"/>
  <c r="AC242" i="7" s="1"/>
  <c r="U241" i="7"/>
  <c r="AA241" i="7" s="1"/>
  <c r="AB241" i="7" s="1"/>
  <c r="AC241" i="7" s="1"/>
  <c r="AA240" i="7"/>
  <c r="AB240" i="7" s="1"/>
  <c r="AC240" i="7" s="1"/>
  <c r="U239" i="7"/>
  <c r="AA239" i="7" s="1"/>
  <c r="AB239" i="7" s="1"/>
  <c r="AC239" i="7" s="1"/>
  <c r="U238" i="7"/>
  <c r="AA238" i="7" s="1"/>
  <c r="AB238" i="7" s="1"/>
  <c r="AC238" i="7" s="1"/>
  <c r="U237" i="7"/>
  <c r="AA237" i="7" s="1"/>
  <c r="AB237" i="7" s="1"/>
  <c r="AC237" i="7" s="1"/>
  <c r="U236" i="7"/>
  <c r="AA236" i="7" s="1"/>
  <c r="AB236" i="7" s="1"/>
  <c r="AC236" i="7" s="1"/>
  <c r="AA235" i="7"/>
  <c r="AB235" i="7" s="1"/>
  <c r="AC235" i="7" s="1"/>
  <c r="U235" i="7"/>
  <c r="U234" i="7"/>
  <c r="AA234" i="7" s="1"/>
  <c r="AB234" i="7" s="1"/>
  <c r="AC234" i="7" s="1"/>
  <c r="U233" i="7"/>
  <c r="AA233" i="7" s="1"/>
  <c r="AB233" i="7" s="1"/>
  <c r="AC233" i="7" s="1"/>
  <c r="U232" i="7"/>
  <c r="AA232" i="7" s="1"/>
  <c r="AB232" i="7" s="1"/>
  <c r="AC232" i="7" s="1"/>
  <c r="U231" i="7"/>
  <c r="AA231" i="7" s="1"/>
  <c r="AB231" i="7" s="1"/>
  <c r="AC231" i="7" s="1"/>
  <c r="U230" i="7"/>
  <c r="AA230" i="7" s="1"/>
  <c r="AB230" i="7" s="1"/>
  <c r="AC230" i="7" s="1"/>
  <c r="U229" i="7"/>
  <c r="AA229" i="7" s="1"/>
  <c r="AB229" i="7" s="1"/>
  <c r="AC229" i="7" s="1"/>
  <c r="U228" i="7"/>
  <c r="AA228" i="7" s="1"/>
  <c r="AB228" i="7" s="1"/>
  <c r="AC228" i="7" s="1"/>
  <c r="U227" i="7"/>
  <c r="AA227" i="7" s="1"/>
  <c r="AB227" i="7" s="1"/>
  <c r="AC227" i="7" s="1"/>
  <c r="U226" i="7"/>
  <c r="AA226" i="7" s="1"/>
  <c r="AB226" i="7" s="1"/>
  <c r="AC226" i="7" s="1"/>
  <c r="U225" i="7"/>
  <c r="AA225" i="7" s="1"/>
  <c r="AB225" i="7" s="1"/>
  <c r="AC225" i="7" s="1"/>
  <c r="U224" i="7"/>
  <c r="AA224" i="7" s="1"/>
  <c r="AB224" i="7" s="1"/>
  <c r="AC224" i="7" s="1"/>
  <c r="U223" i="7"/>
  <c r="AA223" i="7" s="1"/>
  <c r="AB223" i="7" s="1"/>
  <c r="AC223" i="7" s="1"/>
  <c r="U222" i="7"/>
  <c r="AA222" i="7" s="1"/>
  <c r="AB222" i="7" s="1"/>
  <c r="AC222" i="7" s="1"/>
  <c r="U221" i="7"/>
  <c r="AA221" i="7" s="1"/>
  <c r="AB221" i="7" s="1"/>
  <c r="AC221" i="7" s="1"/>
  <c r="AA220" i="7"/>
  <c r="AB220" i="7" s="1"/>
  <c r="AC220" i="7" s="1"/>
  <c r="U219" i="7"/>
  <c r="AA219" i="7" s="1"/>
  <c r="AB219" i="7" s="1"/>
  <c r="AC219" i="7" s="1"/>
  <c r="AA218" i="7"/>
  <c r="AB218" i="7" s="1"/>
  <c r="AC218" i="7" s="1"/>
  <c r="U217" i="7"/>
  <c r="AA217" i="7" s="1"/>
  <c r="AB217" i="7" s="1"/>
  <c r="AC217" i="7" s="1"/>
  <c r="U216" i="7"/>
  <c r="AA216" i="7" s="1"/>
  <c r="AB216" i="7" s="1"/>
  <c r="AC216" i="7" s="1"/>
  <c r="U215" i="7"/>
  <c r="AA215" i="7" s="1"/>
  <c r="AB215" i="7" s="1"/>
  <c r="AC215" i="7" s="1"/>
  <c r="U214" i="7"/>
  <c r="AA214" i="7" s="1"/>
  <c r="AB214" i="7" s="1"/>
  <c r="AC214" i="7" s="1"/>
  <c r="U213" i="7"/>
  <c r="AA213" i="7" s="1"/>
  <c r="AB213" i="7" s="1"/>
  <c r="AC213" i="7" s="1"/>
  <c r="U212" i="7"/>
  <c r="AA212" i="7" s="1"/>
  <c r="AB212" i="7" s="1"/>
  <c r="AC212" i="7" s="1"/>
  <c r="U211" i="7"/>
  <c r="AA211" i="7" s="1"/>
  <c r="AB211" i="7" s="1"/>
  <c r="AC211" i="7" s="1"/>
  <c r="U210" i="7"/>
  <c r="AA210" i="7" s="1"/>
  <c r="AB210" i="7" s="1"/>
  <c r="AC210" i="7" s="1"/>
  <c r="U209" i="7"/>
  <c r="AA209" i="7" s="1"/>
  <c r="AB209" i="7" s="1"/>
  <c r="AC209" i="7" s="1"/>
  <c r="U208" i="7"/>
  <c r="AA208" i="7" s="1"/>
  <c r="AB208" i="7" s="1"/>
  <c r="AC208" i="7" s="1"/>
  <c r="U207" i="7"/>
  <c r="AA207" i="7" s="1"/>
  <c r="AB207" i="7" s="1"/>
  <c r="AC207" i="7" s="1"/>
  <c r="AA206" i="7"/>
  <c r="AB206" i="7" s="1"/>
  <c r="AC206" i="7" s="1"/>
  <c r="U205" i="7"/>
  <c r="AA205" i="7" s="1"/>
  <c r="AB205" i="7" s="1"/>
  <c r="AC205" i="7" s="1"/>
  <c r="U204" i="7"/>
  <c r="AA204" i="7" s="1"/>
  <c r="AB204" i="7" s="1"/>
  <c r="AC204" i="7" s="1"/>
  <c r="U203" i="7"/>
  <c r="AA203" i="7" s="1"/>
  <c r="AB203" i="7" s="1"/>
  <c r="AC203" i="7" s="1"/>
  <c r="U202" i="7"/>
  <c r="AA202" i="7" s="1"/>
  <c r="AB202" i="7" s="1"/>
  <c r="AC202" i="7" s="1"/>
  <c r="U201" i="7"/>
  <c r="AA201" i="7" s="1"/>
  <c r="AB201" i="7" s="1"/>
  <c r="AC201" i="7" s="1"/>
  <c r="U200" i="7"/>
  <c r="AA200" i="7" s="1"/>
  <c r="AB200" i="7" s="1"/>
  <c r="AC200" i="7" s="1"/>
  <c r="U199" i="7"/>
  <c r="AA199" i="7" s="1"/>
  <c r="AB199" i="7" s="1"/>
  <c r="AC199" i="7" s="1"/>
  <c r="U198" i="7"/>
  <c r="AA198" i="7" s="1"/>
  <c r="AB198" i="7" s="1"/>
  <c r="AC198" i="7" s="1"/>
  <c r="U197" i="7"/>
  <c r="AA197" i="7" s="1"/>
  <c r="AB197" i="7" s="1"/>
  <c r="AC197" i="7" s="1"/>
  <c r="U196" i="7"/>
  <c r="AA196" i="7" s="1"/>
  <c r="AB196" i="7" s="1"/>
  <c r="AC196" i="7" s="1"/>
  <c r="U195" i="7"/>
  <c r="AA195" i="7" s="1"/>
  <c r="AB195" i="7" s="1"/>
  <c r="AC195" i="7" s="1"/>
  <c r="U194" i="7"/>
  <c r="AA194" i="7" s="1"/>
  <c r="AB194" i="7" s="1"/>
  <c r="AC194" i="7" s="1"/>
  <c r="U193" i="7"/>
  <c r="AA193" i="7" s="1"/>
  <c r="AB193" i="7" s="1"/>
  <c r="AC193" i="7" s="1"/>
  <c r="U192" i="7"/>
  <c r="AA192" i="7" s="1"/>
  <c r="AB192" i="7" s="1"/>
  <c r="AC192" i="7" s="1"/>
  <c r="AA191" i="7"/>
  <c r="AB191" i="7" s="1"/>
  <c r="AC191" i="7" s="1"/>
  <c r="U190" i="7"/>
  <c r="AA190" i="7" s="1"/>
  <c r="AB190" i="7" s="1"/>
  <c r="AC190" i="7" s="1"/>
  <c r="U189" i="7"/>
  <c r="AA189" i="7" s="1"/>
  <c r="AB189" i="7" s="1"/>
  <c r="AC189" i="7" s="1"/>
  <c r="U188" i="7"/>
  <c r="AA188" i="7" s="1"/>
  <c r="AB188" i="7" s="1"/>
  <c r="AC188" i="7" s="1"/>
  <c r="U187" i="7"/>
  <c r="AA187" i="7" s="1"/>
  <c r="AB187" i="7" s="1"/>
  <c r="AC187" i="7" s="1"/>
  <c r="U186" i="7"/>
  <c r="AA186" i="7" s="1"/>
  <c r="AB186" i="7" s="1"/>
  <c r="AC186" i="7" s="1"/>
  <c r="U185" i="7"/>
  <c r="AA185" i="7" s="1"/>
  <c r="AB185" i="7" s="1"/>
  <c r="AC185" i="7" s="1"/>
  <c r="U184" i="7"/>
  <c r="AA184" i="7" s="1"/>
  <c r="AB184" i="7" s="1"/>
  <c r="AC184" i="7" s="1"/>
  <c r="U183" i="7"/>
  <c r="AA183" i="7" s="1"/>
  <c r="AB183" i="7" s="1"/>
  <c r="AC183" i="7" s="1"/>
  <c r="U182" i="7"/>
  <c r="AA182" i="7" s="1"/>
  <c r="AB182" i="7" s="1"/>
  <c r="AC182" i="7" s="1"/>
  <c r="U181" i="7"/>
  <c r="AA181" i="7" s="1"/>
  <c r="AB181" i="7" s="1"/>
  <c r="AC181" i="7" s="1"/>
  <c r="U180" i="7"/>
  <c r="AA180" i="7" s="1"/>
  <c r="AB180" i="7" s="1"/>
  <c r="AC180" i="7" s="1"/>
  <c r="U179" i="7"/>
  <c r="AA179" i="7" s="1"/>
  <c r="AB179" i="7" s="1"/>
  <c r="AC179" i="7" s="1"/>
  <c r="U178" i="7"/>
  <c r="AA178" i="7" s="1"/>
  <c r="AB178" i="7" s="1"/>
  <c r="AC178" i="7" s="1"/>
  <c r="U177" i="7"/>
  <c r="AA177" i="7" s="1"/>
  <c r="AB177" i="7" s="1"/>
  <c r="AC177" i="7" s="1"/>
  <c r="AA176" i="7"/>
  <c r="AB176" i="7" s="1"/>
  <c r="AC176" i="7" s="1"/>
  <c r="U175" i="7"/>
  <c r="AA175" i="7" s="1"/>
  <c r="AB175" i="7" s="1"/>
  <c r="AC175" i="7" s="1"/>
  <c r="AA174" i="7"/>
  <c r="AB174" i="7" s="1"/>
  <c r="AC174" i="7" s="1"/>
  <c r="U173" i="7"/>
  <c r="AA173" i="7" s="1"/>
  <c r="AB173" i="7" s="1"/>
  <c r="AC173" i="7" s="1"/>
  <c r="U172" i="7"/>
  <c r="AA172" i="7" s="1"/>
  <c r="AB172" i="7" s="1"/>
  <c r="AC172" i="7" s="1"/>
  <c r="U171" i="7"/>
  <c r="AA171" i="7" s="1"/>
  <c r="AB171" i="7" s="1"/>
  <c r="AC171" i="7" s="1"/>
  <c r="U170" i="7"/>
  <c r="AA170" i="7" s="1"/>
  <c r="AB170" i="7" s="1"/>
  <c r="AC170" i="7" s="1"/>
  <c r="U169" i="7"/>
  <c r="AA169" i="7" s="1"/>
  <c r="AB169" i="7" s="1"/>
  <c r="AC169" i="7" s="1"/>
  <c r="U168" i="7"/>
  <c r="AA168" i="7" s="1"/>
  <c r="AB168" i="7" s="1"/>
  <c r="AC168" i="7" s="1"/>
  <c r="U167" i="7"/>
  <c r="AA167" i="7" s="1"/>
  <c r="AB167" i="7" s="1"/>
  <c r="AC167" i="7" s="1"/>
  <c r="U166" i="7"/>
  <c r="AA166" i="7" s="1"/>
  <c r="AB166" i="7" s="1"/>
  <c r="AC166" i="7" s="1"/>
  <c r="U165" i="7"/>
  <c r="AA165" i="7" s="1"/>
  <c r="AB165" i="7" s="1"/>
  <c r="AC165" i="7" s="1"/>
  <c r="U164" i="7"/>
  <c r="AA164" i="7" s="1"/>
  <c r="AB164" i="7" s="1"/>
  <c r="AC164" i="7" s="1"/>
  <c r="U163" i="7"/>
  <c r="AA163" i="7" s="1"/>
  <c r="AB163" i="7" s="1"/>
  <c r="AC163" i="7" s="1"/>
  <c r="U162" i="7"/>
  <c r="AA162" i="7" s="1"/>
  <c r="AB162" i="7" s="1"/>
  <c r="AC162" i="7" s="1"/>
  <c r="U161" i="7"/>
  <c r="AA161" i="7" s="1"/>
  <c r="AB161" i="7" s="1"/>
  <c r="AC161" i="7" s="1"/>
  <c r="AA160" i="7"/>
  <c r="AB160" i="7" s="1"/>
  <c r="AC160" i="7" s="1"/>
  <c r="U159" i="7"/>
  <c r="AA159" i="7" s="1"/>
  <c r="AB159" i="7" s="1"/>
  <c r="AC159" i="7" s="1"/>
  <c r="U158" i="7"/>
  <c r="AA158" i="7" s="1"/>
  <c r="AB158" i="7" s="1"/>
  <c r="AC158" i="7" s="1"/>
  <c r="U157" i="7"/>
  <c r="AA157" i="7" s="1"/>
  <c r="AB157" i="7" s="1"/>
  <c r="AC157" i="7" s="1"/>
  <c r="AA156" i="7"/>
  <c r="AB156" i="7" s="1"/>
  <c r="AC156" i="7" s="1"/>
  <c r="U155" i="7"/>
  <c r="AA155" i="7" s="1"/>
  <c r="AB155" i="7" s="1"/>
  <c r="AC155" i="7" s="1"/>
  <c r="U154" i="7"/>
  <c r="AA154" i="7" s="1"/>
  <c r="AB154" i="7" s="1"/>
  <c r="AC154" i="7" s="1"/>
  <c r="AA153" i="7"/>
  <c r="AB153" i="7" s="1"/>
  <c r="AC153" i="7" s="1"/>
  <c r="U152" i="7"/>
  <c r="AA152" i="7" s="1"/>
  <c r="AB152" i="7" s="1"/>
  <c r="AC152" i="7" s="1"/>
  <c r="U151" i="7"/>
  <c r="AA151" i="7" s="1"/>
  <c r="AB151" i="7" s="1"/>
  <c r="AC151" i="7" s="1"/>
  <c r="U150" i="7"/>
  <c r="AA150" i="7" s="1"/>
  <c r="AB150" i="7" s="1"/>
  <c r="AC150" i="7" s="1"/>
  <c r="U149" i="7"/>
  <c r="AA149" i="7" s="1"/>
  <c r="AB149" i="7" s="1"/>
  <c r="AC149" i="7" s="1"/>
  <c r="U148" i="7"/>
  <c r="AA148" i="7" s="1"/>
  <c r="AB148" i="7" s="1"/>
  <c r="AC148" i="7" s="1"/>
  <c r="U147" i="7"/>
  <c r="AA147" i="7" s="1"/>
  <c r="AB147" i="7" s="1"/>
  <c r="AC147" i="7" s="1"/>
  <c r="U146" i="7"/>
  <c r="AA146" i="7" s="1"/>
  <c r="AB146" i="7" s="1"/>
  <c r="AC146" i="7" s="1"/>
  <c r="U145" i="7"/>
  <c r="AA145" i="7" s="1"/>
  <c r="AB145" i="7" s="1"/>
  <c r="AC145" i="7" s="1"/>
  <c r="U144" i="7"/>
  <c r="AA144" i="7" s="1"/>
  <c r="AB144" i="7" s="1"/>
  <c r="AC144" i="7" s="1"/>
  <c r="U143" i="7"/>
  <c r="AA143" i="7" s="1"/>
  <c r="AB143" i="7" s="1"/>
  <c r="AC143" i="7" s="1"/>
  <c r="U142" i="7"/>
  <c r="AA142" i="7" s="1"/>
  <c r="AB142" i="7" s="1"/>
  <c r="AC142" i="7" s="1"/>
  <c r="U141" i="7"/>
  <c r="AA141" i="7" s="1"/>
  <c r="AB141" i="7" s="1"/>
  <c r="AC141" i="7" s="1"/>
  <c r="U140" i="7"/>
  <c r="AA140" i="7" s="1"/>
  <c r="AB140" i="7" s="1"/>
  <c r="AC140" i="7" s="1"/>
  <c r="AA139" i="7"/>
  <c r="AB139" i="7" s="1"/>
  <c r="AC139" i="7" s="1"/>
  <c r="U138" i="7"/>
  <c r="AA138" i="7" s="1"/>
  <c r="AB138" i="7" s="1"/>
  <c r="AC138" i="7" s="1"/>
  <c r="U137" i="7"/>
  <c r="AA137" i="7" s="1"/>
  <c r="AB137" i="7" s="1"/>
  <c r="AC137" i="7" s="1"/>
  <c r="U136" i="7"/>
  <c r="AA136" i="7" s="1"/>
  <c r="AB136" i="7" s="1"/>
  <c r="AC136" i="7" s="1"/>
  <c r="U135" i="7"/>
  <c r="AA135" i="7" s="1"/>
  <c r="AB135" i="7" s="1"/>
  <c r="AC135" i="7" s="1"/>
  <c r="U134" i="7"/>
  <c r="AA134" i="7" s="1"/>
  <c r="AB134" i="7" s="1"/>
  <c r="AC134" i="7" s="1"/>
  <c r="AA133" i="7"/>
  <c r="AB133" i="7" s="1"/>
  <c r="AC133" i="7" s="1"/>
  <c r="U132" i="7"/>
  <c r="AA132" i="7" s="1"/>
  <c r="AB132" i="7" s="1"/>
  <c r="AC132" i="7" s="1"/>
  <c r="U131" i="7"/>
  <c r="AA131" i="7" s="1"/>
  <c r="AB131" i="7" s="1"/>
  <c r="AC131" i="7" s="1"/>
  <c r="U130" i="7"/>
  <c r="AA130" i="7" s="1"/>
  <c r="AB130" i="7" s="1"/>
  <c r="AC130" i="7" s="1"/>
  <c r="U129" i="7"/>
  <c r="AA129" i="7" s="1"/>
  <c r="AB129" i="7" s="1"/>
  <c r="AC129" i="7" s="1"/>
  <c r="U128" i="7"/>
  <c r="AA128" i="7" s="1"/>
  <c r="AB128" i="7" s="1"/>
  <c r="AC128" i="7" s="1"/>
  <c r="U127" i="7"/>
  <c r="AA127" i="7" s="1"/>
  <c r="AB127" i="7" s="1"/>
  <c r="AC127" i="7" s="1"/>
  <c r="U126" i="7"/>
  <c r="AA126" i="7" s="1"/>
  <c r="AB126" i="7" s="1"/>
  <c r="AC126" i="7" s="1"/>
  <c r="U125" i="7"/>
  <c r="AA125" i="7" s="1"/>
  <c r="AB125" i="7" s="1"/>
  <c r="AC125" i="7" s="1"/>
  <c r="U124" i="7"/>
  <c r="AA124" i="7" s="1"/>
  <c r="AB124" i="7" s="1"/>
  <c r="AC124" i="7" s="1"/>
  <c r="U123" i="7"/>
  <c r="AA123" i="7" s="1"/>
  <c r="AB123" i="7" s="1"/>
  <c r="AC123" i="7" s="1"/>
  <c r="U122" i="7"/>
  <c r="AA122" i="7" s="1"/>
  <c r="AB122" i="7" s="1"/>
  <c r="AC122" i="7" s="1"/>
  <c r="U121" i="7"/>
  <c r="AA121" i="7" s="1"/>
  <c r="AB121" i="7" s="1"/>
  <c r="AC121" i="7" s="1"/>
  <c r="U120" i="7"/>
  <c r="AA120" i="7" s="1"/>
  <c r="AB120" i="7" s="1"/>
  <c r="AC120" i="7" s="1"/>
  <c r="U119" i="7"/>
  <c r="AA119" i="7" s="1"/>
  <c r="AB119" i="7" s="1"/>
  <c r="AC119" i="7" s="1"/>
  <c r="AA118" i="7"/>
  <c r="AB118" i="7" s="1"/>
  <c r="AC118" i="7" s="1"/>
  <c r="U117" i="7"/>
  <c r="AA117" i="7" s="1"/>
  <c r="AB117" i="7" s="1"/>
  <c r="AC117" i="7" s="1"/>
  <c r="U116" i="7"/>
  <c r="AA116" i="7" s="1"/>
  <c r="AB116" i="7" s="1"/>
  <c r="AC116" i="7" s="1"/>
  <c r="U115" i="7"/>
  <c r="AA115" i="7" s="1"/>
  <c r="AB115" i="7" s="1"/>
  <c r="AC115" i="7" s="1"/>
  <c r="U114" i="7"/>
  <c r="AA114" i="7" s="1"/>
  <c r="AB114" i="7" s="1"/>
  <c r="AC114" i="7" s="1"/>
  <c r="U113" i="7"/>
  <c r="AA113" i="7" s="1"/>
  <c r="AB113" i="7" s="1"/>
  <c r="AC113" i="7" s="1"/>
  <c r="U112" i="7"/>
  <c r="AA112" i="7" s="1"/>
  <c r="AB112" i="7" s="1"/>
  <c r="AC112" i="7" s="1"/>
  <c r="U111" i="7"/>
  <c r="AA111" i="7" s="1"/>
  <c r="AB111" i="7" s="1"/>
  <c r="AC111" i="7" s="1"/>
  <c r="U110" i="7"/>
  <c r="AA110" i="7" s="1"/>
  <c r="AB110" i="7" s="1"/>
  <c r="AC110" i="7" s="1"/>
  <c r="U109" i="7"/>
  <c r="AA109" i="7" s="1"/>
  <c r="AB109" i="7" s="1"/>
  <c r="AC109" i="7" s="1"/>
  <c r="U108" i="7"/>
  <c r="AA108" i="7" s="1"/>
  <c r="AB108" i="7" s="1"/>
  <c r="AC108" i="7" s="1"/>
  <c r="U107" i="7"/>
  <c r="AA107" i="7" s="1"/>
  <c r="AB107" i="7" s="1"/>
  <c r="AC107" i="7" s="1"/>
  <c r="U106" i="7"/>
  <c r="AA106" i="7" s="1"/>
  <c r="AB106" i="7" s="1"/>
  <c r="AC106" i="7" s="1"/>
  <c r="U105" i="7"/>
  <c r="AA105" i="7" s="1"/>
  <c r="AB105" i="7" s="1"/>
  <c r="AC105" i="7" s="1"/>
  <c r="U104" i="7"/>
  <c r="AA104" i="7" s="1"/>
  <c r="AB104" i="7" s="1"/>
  <c r="AC104" i="7" s="1"/>
  <c r="U103" i="7"/>
  <c r="AA103" i="7" s="1"/>
  <c r="AB103" i="7" s="1"/>
  <c r="AC103" i="7" s="1"/>
  <c r="U102" i="7"/>
  <c r="AA102" i="7" s="1"/>
  <c r="AB102" i="7" s="1"/>
  <c r="AC102" i="7" s="1"/>
  <c r="U101" i="7"/>
  <c r="AA101" i="7" s="1"/>
  <c r="AB101" i="7" s="1"/>
  <c r="AC101" i="7" s="1"/>
  <c r="U100" i="7"/>
  <c r="AA100" i="7" s="1"/>
  <c r="AB100" i="7" s="1"/>
  <c r="AC100" i="7" s="1"/>
  <c r="U99" i="7"/>
  <c r="AA99" i="7" s="1"/>
  <c r="AB99" i="7" s="1"/>
  <c r="AC99" i="7" s="1"/>
  <c r="U98" i="7"/>
  <c r="AA98" i="7" s="1"/>
  <c r="AB98" i="7" s="1"/>
  <c r="AC98" i="7" s="1"/>
  <c r="AA97" i="7"/>
  <c r="AB97" i="7" s="1"/>
  <c r="AC97" i="7" s="1"/>
  <c r="AA96" i="7"/>
  <c r="AB96" i="7" s="1"/>
  <c r="AC96" i="7" s="1"/>
  <c r="U95" i="7"/>
  <c r="AA95" i="7" s="1"/>
  <c r="AB95" i="7" s="1"/>
  <c r="AC95" i="7" s="1"/>
  <c r="U94" i="7"/>
  <c r="AA94" i="7" s="1"/>
  <c r="AB94" i="7" s="1"/>
  <c r="AC94" i="7" s="1"/>
  <c r="U93" i="7"/>
  <c r="AA93" i="7" s="1"/>
  <c r="AB93" i="7" s="1"/>
  <c r="AC93" i="7" s="1"/>
  <c r="U92" i="7"/>
  <c r="AA92" i="7" s="1"/>
  <c r="AB92" i="7" s="1"/>
  <c r="AC92" i="7" s="1"/>
  <c r="U91" i="7"/>
  <c r="AA91" i="7" s="1"/>
  <c r="AB91" i="7" s="1"/>
  <c r="AC91" i="7" s="1"/>
  <c r="U90" i="7"/>
  <c r="AA90" i="7" s="1"/>
  <c r="AB90" i="7" s="1"/>
  <c r="AC90" i="7" s="1"/>
  <c r="U89" i="7"/>
  <c r="AA89" i="7" s="1"/>
  <c r="AB89" i="7" s="1"/>
  <c r="AC89" i="7" s="1"/>
  <c r="U88" i="7"/>
  <c r="AA88" i="7" s="1"/>
  <c r="AB88" i="7" s="1"/>
  <c r="AC88" i="7" s="1"/>
  <c r="U87" i="7"/>
  <c r="AA87" i="7" s="1"/>
  <c r="AB87" i="7" s="1"/>
  <c r="AC87" i="7" s="1"/>
  <c r="U86" i="7"/>
  <c r="AA86" i="7" s="1"/>
  <c r="AB86" i="7" s="1"/>
  <c r="AC86" i="7" s="1"/>
  <c r="AA85" i="7"/>
  <c r="AB85" i="7" s="1"/>
  <c r="AC85" i="7" s="1"/>
  <c r="U85" i="7"/>
  <c r="U84" i="7"/>
  <c r="AA84" i="7" s="1"/>
  <c r="AB84" i="7" s="1"/>
  <c r="AC84" i="7" s="1"/>
  <c r="U83" i="7"/>
  <c r="AA83" i="7" s="1"/>
  <c r="AB83" i="7" s="1"/>
  <c r="AC83" i="7" s="1"/>
  <c r="U82" i="7"/>
  <c r="AA82" i="7" s="1"/>
  <c r="AB82" i="7" s="1"/>
  <c r="AC82" i="7" s="1"/>
  <c r="AA81" i="7"/>
  <c r="AB81" i="7" s="1"/>
  <c r="AC81" i="7" s="1"/>
  <c r="U80" i="7"/>
  <c r="AA80" i="7" s="1"/>
  <c r="AB80" i="7" s="1"/>
  <c r="AC80" i="7" s="1"/>
  <c r="U79" i="7"/>
  <c r="AA79" i="7" s="1"/>
  <c r="AB79" i="7" s="1"/>
  <c r="AC79" i="7" s="1"/>
  <c r="AB78" i="7"/>
  <c r="AC78" i="7" s="1"/>
  <c r="U78" i="7"/>
  <c r="AA78" i="7" s="1"/>
  <c r="U77" i="7"/>
  <c r="AA77" i="7" s="1"/>
  <c r="AB77" i="7" s="1"/>
  <c r="AC77" i="7" s="1"/>
  <c r="U76" i="7"/>
  <c r="AA76" i="7" s="1"/>
  <c r="AB76" i="7" s="1"/>
  <c r="AC76" i="7" s="1"/>
  <c r="U75" i="7"/>
  <c r="AA75" i="7" s="1"/>
  <c r="AB75" i="7" s="1"/>
  <c r="AC75" i="7" s="1"/>
  <c r="U74" i="7"/>
  <c r="AA74" i="7" s="1"/>
  <c r="AB74" i="7" s="1"/>
  <c r="AC74" i="7" s="1"/>
  <c r="U73" i="7"/>
  <c r="AA73" i="7" s="1"/>
  <c r="AB73" i="7" s="1"/>
  <c r="AC73" i="7" s="1"/>
  <c r="U72" i="7"/>
  <c r="AA72" i="7" s="1"/>
  <c r="AB72" i="7" s="1"/>
  <c r="AC72" i="7" s="1"/>
  <c r="U71" i="7"/>
  <c r="AA71" i="7" s="1"/>
  <c r="AB71" i="7" s="1"/>
  <c r="AC71" i="7" s="1"/>
  <c r="U70" i="7"/>
  <c r="AA70" i="7" s="1"/>
  <c r="AB70" i="7" s="1"/>
  <c r="AC70" i="7" s="1"/>
  <c r="U69" i="7"/>
  <c r="AA69" i="7" s="1"/>
  <c r="AB69" i="7" s="1"/>
  <c r="AC69" i="7" s="1"/>
  <c r="U68" i="7"/>
  <c r="AA68" i="7" s="1"/>
  <c r="AB68" i="7" s="1"/>
  <c r="AC68" i="7" s="1"/>
  <c r="U67" i="7"/>
  <c r="AA67" i="7" s="1"/>
  <c r="AB67" i="7" s="1"/>
  <c r="AC67" i="7" s="1"/>
  <c r="U66" i="7"/>
  <c r="AA66" i="7" s="1"/>
  <c r="AB66" i="7" s="1"/>
  <c r="AC66" i="7" s="1"/>
  <c r="U65" i="7"/>
  <c r="AA65" i="7" s="1"/>
  <c r="AB65" i="7" s="1"/>
  <c r="AC65" i="7" s="1"/>
  <c r="AA64" i="7"/>
  <c r="AB64" i="7" s="1"/>
  <c r="AC64" i="7" s="1"/>
  <c r="U63" i="7"/>
  <c r="AA63" i="7" s="1"/>
  <c r="AB63" i="7" s="1"/>
  <c r="AC63" i="7" s="1"/>
  <c r="U62" i="7"/>
  <c r="AA62" i="7" s="1"/>
  <c r="AB62" i="7" s="1"/>
  <c r="AC62" i="7" s="1"/>
  <c r="U61" i="7"/>
  <c r="AA61" i="7" s="1"/>
  <c r="AB61" i="7" s="1"/>
  <c r="AC61" i="7" s="1"/>
  <c r="U60" i="7"/>
  <c r="AA60" i="7" s="1"/>
  <c r="AB60" i="7" s="1"/>
  <c r="AC60" i="7" s="1"/>
  <c r="U59" i="7"/>
  <c r="AA59" i="7" s="1"/>
  <c r="AB59" i="7" s="1"/>
  <c r="AC59" i="7" s="1"/>
  <c r="U58" i="7"/>
  <c r="AA58" i="7" s="1"/>
  <c r="AB58" i="7" s="1"/>
  <c r="AC58" i="7" s="1"/>
  <c r="AA57" i="7"/>
  <c r="AB57" i="7" s="1"/>
  <c r="AC57" i="7" s="1"/>
  <c r="U57" i="7"/>
  <c r="AA56" i="7"/>
  <c r="AB56" i="7" s="1"/>
  <c r="AC56" i="7" s="1"/>
  <c r="U55" i="7"/>
  <c r="AA55" i="7" s="1"/>
  <c r="AB55" i="7" s="1"/>
  <c r="AC55" i="7" s="1"/>
  <c r="U54" i="7"/>
  <c r="AA54" i="7" s="1"/>
  <c r="AB54" i="7" s="1"/>
  <c r="AC54" i="7" s="1"/>
  <c r="U53" i="7"/>
  <c r="AA53" i="7" s="1"/>
  <c r="AB53" i="7" s="1"/>
  <c r="AC53" i="7" s="1"/>
  <c r="AA52" i="7"/>
  <c r="AB52" i="7" s="1"/>
  <c r="AC52" i="7" s="1"/>
  <c r="U51" i="7"/>
  <c r="AA51" i="7" s="1"/>
  <c r="AB51" i="7" s="1"/>
  <c r="AC51" i="7" s="1"/>
  <c r="AA50" i="7"/>
  <c r="AB50" i="7" s="1"/>
  <c r="AC50" i="7" s="1"/>
  <c r="U50" i="7"/>
  <c r="U49" i="7"/>
  <c r="AA49" i="7" s="1"/>
  <c r="AB49" i="7" s="1"/>
  <c r="AC49" i="7" s="1"/>
  <c r="U48" i="7"/>
  <c r="AA48" i="7" s="1"/>
  <c r="AB48" i="7" s="1"/>
  <c r="AC48" i="7" s="1"/>
  <c r="U47" i="7"/>
  <c r="AA47" i="7" s="1"/>
  <c r="AB47" i="7" s="1"/>
  <c r="AC47" i="7" s="1"/>
  <c r="AA46" i="7"/>
  <c r="AB46" i="7" s="1"/>
  <c r="AC46" i="7" s="1"/>
  <c r="U45" i="7"/>
  <c r="AA45" i="7" s="1"/>
  <c r="AB45" i="7" s="1"/>
  <c r="AC45" i="7" s="1"/>
  <c r="U44" i="7"/>
  <c r="AA44" i="7" s="1"/>
  <c r="AB44" i="7" s="1"/>
  <c r="AC44" i="7" s="1"/>
  <c r="U43" i="7"/>
  <c r="AA43" i="7" s="1"/>
  <c r="AB43" i="7" s="1"/>
  <c r="AC43" i="7" s="1"/>
  <c r="AA42" i="7"/>
  <c r="AB42" i="7" s="1"/>
  <c r="AC42" i="7" s="1"/>
  <c r="U41" i="7"/>
  <c r="AA41" i="7" s="1"/>
  <c r="AB41" i="7" s="1"/>
  <c r="AC41" i="7" s="1"/>
  <c r="U40" i="7"/>
  <c r="AA40" i="7" s="1"/>
  <c r="AB40" i="7" s="1"/>
  <c r="AC40" i="7" s="1"/>
  <c r="U39" i="7"/>
  <c r="AA39" i="7" s="1"/>
  <c r="AB39" i="7" s="1"/>
  <c r="AC39" i="7" s="1"/>
  <c r="U38" i="7"/>
  <c r="AA38" i="7" s="1"/>
  <c r="AB38" i="7" s="1"/>
  <c r="AC38" i="7" s="1"/>
  <c r="U37" i="7"/>
  <c r="AA37" i="7" s="1"/>
  <c r="AB37" i="7" s="1"/>
  <c r="AC37" i="7" s="1"/>
  <c r="AA36" i="7"/>
  <c r="AB36" i="7" s="1"/>
  <c r="AC36" i="7" s="1"/>
  <c r="U35" i="7"/>
  <c r="AA35" i="7" s="1"/>
  <c r="AB35" i="7" s="1"/>
  <c r="AC35" i="7" s="1"/>
  <c r="U34" i="7"/>
  <c r="AA34" i="7" s="1"/>
  <c r="AB34" i="7" s="1"/>
  <c r="AC34" i="7" s="1"/>
  <c r="U33" i="7"/>
  <c r="AA33" i="7" s="1"/>
  <c r="AB33" i="7" s="1"/>
  <c r="AC33" i="7" s="1"/>
  <c r="U32" i="7"/>
  <c r="AA32" i="7" s="1"/>
  <c r="AB32" i="7" s="1"/>
  <c r="AC32" i="7" s="1"/>
  <c r="U31" i="7"/>
  <c r="AA31" i="7" s="1"/>
  <c r="AB31" i="7" s="1"/>
  <c r="AC31" i="7" s="1"/>
  <c r="U30" i="7"/>
  <c r="AA30" i="7" s="1"/>
  <c r="AB30" i="7" s="1"/>
  <c r="AC30" i="7" s="1"/>
  <c r="U29" i="7"/>
  <c r="AA29" i="7" s="1"/>
  <c r="AB29" i="7" s="1"/>
  <c r="AC29" i="7" s="1"/>
  <c r="U28" i="7"/>
  <c r="AA28" i="7" s="1"/>
  <c r="AB28" i="7" s="1"/>
  <c r="AC28" i="7" s="1"/>
  <c r="U27" i="7"/>
  <c r="AA27" i="7" s="1"/>
  <c r="AB27" i="7" s="1"/>
  <c r="AC27" i="7" s="1"/>
  <c r="U26" i="7"/>
  <c r="AA26" i="7" s="1"/>
  <c r="AB26" i="7" s="1"/>
  <c r="AC26" i="7" s="1"/>
  <c r="U25" i="7"/>
  <c r="AA25" i="7" s="1"/>
  <c r="AB25" i="7" s="1"/>
  <c r="AC25" i="7" s="1"/>
  <c r="U24" i="7"/>
  <c r="AA24" i="7" s="1"/>
  <c r="AB24" i="7" s="1"/>
  <c r="AC24" i="7" s="1"/>
  <c r="U23" i="7"/>
  <c r="AA23" i="7" s="1"/>
  <c r="AB23" i="7" s="1"/>
  <c r="AC23" i="7" s="1"/>
  <c r="AA22" i="7"/>
  <c r="AB22" i="7" s="1"/>
  <c r="AC22" i="7" s="1"/>
  <c r="U21" i="7"/>
  <c r="AA21" i="7" s="1"/>
  <c r="AB21" i="7" s="1"/>
  <c r="AC21" i="7" s="1"/>
  <c r="U20" i="7"/>
  <c r="AA20" i="7" s="1"/>
  <c r="AB20" i="7" s="1"/>
  <c r="AC20" i="7" s="1"/>
  <c r="U19" i="7"/>
  <c r="AA19" i="7" s="1"/>
  <c r="AB19" i="7" s="1"/>
  <c r="AC19" i="7" s="1"/>
  <c r="U18" i="7"/>
  <c r="AA18" i="7" s="1"/>
  <c r="AB18" i="7" s="1"/>
  <c r="AC18" i="7" s="1"/>
  <c r="U17" i="7"/>
  <c r="AA17" i="7" s="1"/>
  <c r="AB17" i="7" s="1"/>
  <c r="AC17" i="7" s="1"/>
  <c r="U16" i="7"/>
  <c r="AA16" i="7" s="1"/>
  <c r="AB16" i="7" s="1"/>
  <c r="AC16" i="7" s="1"/>
  <c r="U15" i="7"/>
  <c r="AA15" i="7" s="1"/>
  <c r="AB15" i="7" s="1"/>
  <c r="AC15" i="7" s="1"/>
  <c r="U14" i="7"/>
  <c r="AA14" i="7" s="1"/>
  <c r="AB14" i="7" s="1"/>
  <c r="AC14" i="7" s="1"/>
  <c r="U13" i="7"/>
  <c r="AA13" i="7" s="1"/>
  <c r="AB13" i="7" s="1"/>
  <c r="AC13" i="7" s="1"/>
  <c r="U12" i="7"/>
  <c r="AA12" i="7" s="1"/>
  <c r="AB12" i="7" s="1"/>
  <c r="AC12" i="7" s="1"/>
  <c r="U11" i="7"/>
  <c r="AA11" i="7" s="1"/>
  <c r="AB11" i="7" s="1"/>
  <c r="AC11" i="7" s="1"/>
  <c r="U10" i="7"/>
  <c r="AA10" i="7" s="1"/>
  <c r="AB10" i="7" s="1"/>
  <c r="AC10" i="7" s="1"/>
  <c r="U9" i="7"/>
  <c r="AA9" i="7" s="1"/>
  <c r="AB9" i="7" s="1"/>
  <c r="AC9" i="7" s="1"/>
  <c r="U8" i="7"/>
  <c r="AA8" i="7" s="1"/>
  <c r="AB8" i="7" s="1"/>
  <c r="AC8" i="7" s="1"/>
  <c r="AA7" i="7"/>
  <c r="AB7" i="7" s="1"/>
  <c r="AC7" i="7" s="1"/>
  <c r="U7" i="7"/>
  <c r="U6" i="7"/>
  <c r="AA6" i="7" s="1"/>
  <c r="AB6" i="7" s="1"/>
  <c r="AC6" i="7" s="1"/>
  <c r="U5" i="7"/>
  <c r="AA5" i="7" s="1"/>
  <c r="AB5" i="7" s="1"/>
  <c r="AC5" i="7" s="1"/>
  <c r="U4" i="7"/>
  <c r="AA4" i="7" s="1"/>
  <c r="AB4" i="7" s="1"/>
  <c r="AC4" i="7" s="1"/>
  <c r="U3" i="7"/>
  <c r="AA3" i="7" s="1"/>
  <c r="AB3" i="7" s="1"/>
  <c r="AC3" i="7" s="1"/>
  <c r="U2" i="7"/>
  <c r="AA2" i="7" s="1"/>
  <c r="E2" i="6" l="1"/>
  <c r="K2" i="6"/>
  <c r="L2" i="6"/>
  <c r="M2" i="6"/>
  <c r="O2" i="6"/>
  <c r="E3" i="6"/>
  <c r="K3" i="6"/>
  <c r="L3" i="6"/>
  <c r="M3" i="6"/>
  <c r="O3" i="6"/>
  <c r="E4" i="6"/>
  <c r="K4" i="6"/>
  <c r="L4" i="6"/>
  <c r="M4" i="6"/>
  <c r="O4" i="6"/>
  <c r="E5" i="6"/>
  <c r="K5" i="6"/>
  <c r="L5" i="6"/>
  <c r="M5" i="6"/>
  <c r="O5" i="6"/>
  <c r="E6" i="6"/>
  <c r="K6" i="6"/>
  <c r="L6" i="6"/>
  <c r="M6" i="6"/>
  <c r="O6" i="6"/>
  <c r="E7" i="6"/>
  <c r="K7" i="6"/>
  <c r="L7" i="6"/>
  <c r="M7" i="6"/>
  <c r="O7" i="6"/>
  <c r="E8" i="6"/>
  <c r="K8" i="6"/>
  <c r="L8" i="6"/>
  <c r="M8" i="6"/>
  <c r="O8" i="6"/>
  <c r="E9" i="6"/>
  <c r="K9" i="6"/>
  <c r="L9" i="6"/>
  <c r="M9" i="6"/>
  <c r="O9" i="6"/>
  <c r="E10" i="6"/>
  <c r="K10" i="6"/>
  <c r="L10" i="6"/>
  <c r="M10" i="6"/>
  <c r="O10" i="6"/>
  <c r="E11" i="6"/>
  <c r="K11" i="6"/>
  <c r="L11" i="6"/>
  <c r="M11" i="6"/>
  <c r="O11" i="6"/>
  <c r="E12" i="6"/>
  <c r="K12" i="6"/>
  <c r="L12" i="6"/>
  <c r="M12" i="6"/>
  <c r="O12" i="6"/>
  <c r="E13" i="6"/>
  <c r="K13" i="6"/>
  <c r="L13" i="6"/>
  <c r="M13" i="6"/>
  <c r="O13" i="6"/>
  <c r="E14" i="6"/>
  <c r="K14" i="6"/>
  <c r="L14" i="6"/>
  <c r="M14" i="6"/>
  <c r="O14" i="6"/>
  <c r="E15" i="6"/>
  <c r="K15" i="6"/>
  <c r="L15" i="6"/>
  <c r="M15" i="6"/>
  <c r="O15" i="6"/>
  <c r="E16" i="6"/>
  <c r="K16" i="6"/>
  <c r="L16" i="6"/>
  <c r="M16" i="6"/>
  <c r="O16" i="6"/>
  <c r="E17" i="6"/>
  <c r="K17" i="6"/>
  <c r="L17" i="6"/>
  <c r="M17" i="6"/>
  <c r="O17" i="6"/>
  <c r="E18" i="6"/>
  <c r="K18" i="6"/>
  <c r="L18" i="6"/>
  <c r="M18" i="6"/>
  <c r="O18" i="6"/>
  <c r="E19" i="6"/>
  <c r="K19" i="6"/>
  <c r="L19" i="6"/>
  <c r="M19" i="6"/>
  <c r="O19" i="6"/>
  <c r="E20" i="6"/>
  <c r="K20" i="6"/>
  <c r="L20" i="6"/>
  <c r="M20" i="6"/>
  <c r="O20" i="6"/>
  <c r="E21" i="6"/>
  <c r="K21" i="6"/>
  <c r="L21" i="6"/>
  <c r="M21" i="6"/>
  <c r="O21" i="6"/>
  <c r="E22" i="6"/>
  <c r="K22" i="6"/>
  <c r="L22" i="6"/>
  <c r="M22" i="6"/>
  <c r="O22" i="6"/>
  <c r="E23" i="6"/>
  <c r="K23" i="6"/>
  <c r="L23" i="6"/>
  <c r="M23" i="6"/>
  <c r="O23" i="6"/>
  <c r="E24" i="6"/>
  <c r="K24" i="6"/>
  <c r="L24" i="6"/>
  <c r="M24" i="6"/>
  <c r="O24" i="6"/>
  <c r="E25" i="6"/>
  <c r="K25" i="6"/>
  <c r="L25" i="6"/>
  <c r="M25" i="6"/>
  <c r="O25" i="6"/>
  <c r="E26" i="6"/>
  <c r="K26" i="6"/>
  <c r="L26" i="6"/>
  <c r="M26" i="6"/>
  <c r="O26" i="6"/>
  <c r="E27" i="6"/>
  <c r="K27" i="6"/>
  <c r="L27" i="6"/>
  <c r="M27" i="6"/>
  <c r="O27" i="6"/>
  <c r="E28" i="6"/>
  <c r="K28" i="6"/>
  <c r="L28" i="6"/>
  <c r="M28" i="6"/>
  <c r="O28" i="6"/>
  <c r="E29" i="6"/>
  <c r="K29" i="6"/>
  <c r="L29" i="6"/>
  <c r="M29" i="6"/>
  <c r="O29" i="6"/>
  <c r="E30" i="6"/>
  <c r="K30" i="6"/>
  <c r="L30" i="6"/>
  <c r="M30" i="6"/>
  <c r="O30" i="6"/>
  <c r="E31" i="6"/>
  <c r="K31" i="6"/>
  <c r="L31" i="6"/>
  <c r="M31" i="6"/>
  <c r="O31" i="6"/>
  <c r="E32" i="6"/>
  <c r="K32" i="6"/>
  <c r="L32" i="6"/>
  <c r="M32" i="6"/>
  <c r="O32" i="6"/>
  <c r="E33" i="6"/>
  <c r="K33" i="6"/>
  <c r="L33" i="6"/>
  <c r="M33" i="6"/>
  <c r="O33" i="6"/>
  <c r="E34" i="6"/>
  <c r="K34" i="6"/>
  <c r="L34" i="6"/>
  <c r="M34" i="6"/>
  <c r="O34" i="6"/>
  <c r="E35" i="6"/>
  <c r="K35" i="6"/>
  <c r="L35" i="6"/>
  <c r="M35" i="6"/>
  <c r="O35" i="6"/>
  <c r="E36" i="6"/>
  <c r="K36" i="6"/>
  <c r="L36" i="6"/>
  <c r="M36" i="6"/>
  <c r="O36" i="6"/>
  <c r="E37" i="6"/>
  <c r="K37" i="6"/>
  <c r="L37" i="6"/>
  <c r="M37" i="6"/>
  <c r="O37" i="6"/>
  <c r="E38" i="6"/>
  <c r="K38" i="6"/>
  <c r="L38" i="6"/>
  <c r="M38" i="6"/>
  <c r="O38" i="6"/>
  <c r="E39" i="6"/>
  <c r="K39" i="6"/>
  <c r="L39" i="6"/>
  <c r="M39" i="6"/>
  <c r="O39" i="6"/>
  <c r="E40" i="6"/>
  <c r="K40" i="6"/>
  <c r="L40" i="6"/>
  <c r="M40" i="6"/>
  <c r="O40" i="6"/>
  <c r="E41" i="6"/>
  <c r="K41" i="6"/>
  <c r="L41" i="6"/>
  <c r="M41" i="6"/>
  <c r="O41" i="6"/>
  <c r="E42" i="6"/>
  <c r="K42" i="6"/>
  <c r="L42" i="6"/>
  <c r="M42" i="6"/>
  <c r="O42" i="6"/>
  <c r="E43" i="6"/>
  <c r="K43" i="6"/>
  <c r="L43" i="6"/>
  <c r="M43" i="6"/>
  <c r="O43" i="6"/>
  <c r="E44" i="6"/>
  <c r="K44" i="6"/>
  <c r="L44" i="6"/>
  <c r="M44" i="6"/>
  <c r="O44" i="6"/>
  <c r="E45" i="6"/>
  <c r="K45" i="6"/>
  <c r="L45" i="6"/>
  <c r="M45" i="6"/>
  <c r="O45" i="6"/>
  <c r="E46" i="6"/>
  <c r="K46" i="6"/>
  <c r="L46" i="6"/>
  <c r="M46" i="6"/>
  <c r="O46" i="6"/>
  <c r="E47" i="6"/>
  <c r="K47" i="6"/>
  <c r="L47" i="6"/>
  <c r="M47" i="6"/>
  <c r="O47" i="6"/>
  <c r="E48" i="6"/>
  <c r="K48" i="6"/>
  <c r="L48" i="6"/>
  <c r="M48" i="6"/>
  <c r="O48" i="6"/>
  <c r="E49" i="6"/>
  <c r="K49" i="6"/>
  <c r="L49" i="6"/>
  <c r="M49" i="6"/>
  <c r="O49" i="6"/>
  <c r="E50" i="6"/>
  <c r="K50" i="6"/>
  <c r="L50" i="6"/>
  <c r="M50" i="6"/>
  <c r="O50" i="6"/>
  <c r="E51" i="6"/>
  <c r="K51" i="6"/>
  <c r="L51" i="6"/>
  <c r="M51" i="6"/>
  <c r="O51" i="6"/>
  <c r="E52" i="6"/>
  <c r="K52" i="6"/>
  <c r="L52" i="6"/>
  <c r="M52" i="6"/>
  <c r="O52" i="6"/>
  <c r="E53" i="6"/>
  <c r="K53" i="6"/>
  <c r="L53" i="6"/>
  <c r="M53" i="6"/>
  <c r="O53" i="6"/>
  <c r="E54" i="6"/>
  <c r="K54" i="6"/>
  <c r="L54" i="6"/>
  <c r="M54" i="6"/>
  <c r="O54" i="6"/>
  <c r="E55" i="6"/>
  <c r="K55" i="6"/>
  <c r="L55" i="6"/>
  <c r="M55" i="6"/>
  <c r="O55" i="6"/>
  <c r="E56" i="6"/>
  <c r="K56" i="6"/>
  <c r="L56" i="6"/>
  <c r="M56" i="6"/>
  <c r="O56" i="6"/>
  <c r="E57" i="6"/>
  <c r="K57" i="6"/>
  <c r="L57" i="6"/>
  <c r="M57" i="6"/>
  <c r="O57" i="6"/>
  <c r="E58" i="6"/>
  <c r="K58" i="6"/>
  <c r="L58" i="6"/>
  <c r="M58" i="6"/>
  <c r="O58" i="6"/>
  <c r="E59" i="6"/>
  <c r="K59" i="6"/>
  <c r="L59" i="6"/>
  <c r="M59" i="6"/>
  <c r="O59" i="6"/>
  <c r="E60" i="6"/>
  <c r="K60" i="6"/>
  <c r="L60" i="6"/>
  <c r="M60" i="6"/>
  <c r="O60" i="6"/>
  <c r="E61" i="6"/>
  <c r="K61" i="6"/>
  <c r="L61" i="6"/>
  <c r="M61" i="6"/>
  <c r="O61" i="6"/>
  <c r="E62" i="6"/>
  <c r="K62" i="6"/>
  <c r="L62" i="6"/>
  <c r="M62" i="6"/>
  <c r="O62" i="6"/>
  <c r="E63" i="6"/>
  <c r="K63" i="6"/>
  <c r="L63" i="6"/>
  <c r="M63" i="6"/>
  <c r="O63" i="6"/>
  <c r="E64" i="6"/>
  <c r="K64" i="6"/>
  <c r="L64" i="6"/>
  <c r="M64" i="6"/>
  <c r="O64" i="6"/>
  <c r="E65" i="6"/>
  <c r="K65" i="6"/>
  <c r="L65" i="6"/>
  <c r="M65" i="6"/>
  <c r="O65" i="6"/>
  <c r="E66" i="6"/>
  <c r="K66" i="6"/>
  <c r="L66" i="6"/>
  <c r="M66" i="6"/>
  <c r="O66" i="6"/>
  <c r="E67" i="6"/>
  <c r="K67" i="6"/>
  <c r="L67" i="6"/>
  <c r="M67" i="6"/>
  <c r="O67" i="6"/>
  <c r="E68" i="6"/>
  <c r="K68" i="6"/>
  <c r="L68" i="6"/>
  <c r="M68" i="6"/>
  <c r="O68" i="6"/>
  <c r="E69" i="6"/>
  <c r="K69" i="6"/>
  <c r="L69" i="6"/>
  <c r="M69" i="6"/>
  <c r="O69" i="6"/>
  <c r="E70" i="6"/>
  <c r="K70" i="6"/>
  <c r="L70" i="6"/>
  <c r="M70" i="6"/>
  <c r="O70" i="6"/>
  <c r="E71" i="6"/>
  <c r="K71" i="6"/>
  <c r="L71" i="6"/>
  <c r="M71" i="6"/>
  <c r="O71" i="6"/>
  <c r="E72" i="6"/>
  <c r="K72" i="6"/>
  <c r="L72" i="6"/>
  <c r="M72" i="6"/>
  <c r="O72" i="6"/>
  <c r="E73" i="6"/>
  <c r="K73" i="6"/>
  <c r="L73" i="6"/>
  <c r="M73" i="6"/>
  <c r="O73" i="6"/>
  <c r="E74" i="6"/>
  <c r="K74" i="6"/>
  <c r="L74" i="6"/>
  <c r="M74" i="6"/>
  <c r="O74" i="6"/>
  <c r="E75" i="6"/>
  <c r="K75" i="6"/>
  <c r="L75" i="6"/>
  <c r="M75" i="6"/>
  <c r="O75" i="6"/>
  <c r="E76" i="6"/>
  <c r="K76" i="6"/>
  <c r="L76" i="6"/>
  <c r="M76" i="6"/>
  <c r="O76" i="6"/>
  <c r="E77" i="6"/>
  <c r="K77" i="6"/>
  <c r="L77" i="6"/>
  <c r="M77" i="6"/>
  <c r="O77" i="6"/>
  <c r="E78" i="6"/>
  <c r="K78" i="6"/>
  <c r="L78" i="6"/>
  <c r="M78" i="6"/>
  <c r="O78" i="6"/>
  <c r="E79" i="6"/>
  <c r="K79" i="6"/>
  <c r="L79" i="6"/>
  <c r="M79" i="6"/>
  <c r="O79" i="6"/>
  <c r="E80" i="6"/>
  <c r="K80" i="6"/>
  <c r="L80" i="6"/>
  <c r="M80" i="6"/>
  <c r="O80" i="6"/>
  <c r="E81" i="6"/>
  <c r="K81" i="6"/>
  <c r="L81" i="6"/>
  <c r="M81" i="6"/>
  <c r="O81" i="6"/>
  <c r="E82" i="6"/>
  <c r="K82" i="6"/>
  <c r="L82" i="6"/>
  <c r="M82" i="6"/>
  <c r="O82" i="6"/>
  <c r="E83" i="6"/>
  <c r="K83" i="6"/>
  <c r="L83" i="6"/>
  <c r="M83" i="6"/>
  <c r="O83" i="6"/>
  <c r="E84" i="6"/>
  <c r="K84" i="6"/>
  <c r="L84" i="6"/>
  <c r="M84" i="6"/>
  <c r="O84" i="6"/>
  <c r="E85" i="6"/>
  <c r="K85" i="6"/>
  <c r="L85" i="6"/>
  <c r="M85" i="6"/>
  <c r="O85" i="6"/>
  <c r="E86" i="6"/>
  <c r="K86" i="6"/>
  <c r="L86" i="6"/>
  <c r="M86" i="6"/>
  <c r="O86" i="6"/>
  <c r="E87" i="6"/>
  <c r="K87" i="6"/>
  <c r="L87" i="6"/>
  <c r="M87" i="6"/>
  <c r="O87" i="6"/>
  <c r="E88" i="6"/>
  <c r="K88" i="6"/>
  <c r="L88" i="6"/>
  <c r="M88" i="6"/>
  <c r="O88" i="6"/>
  <c r="E89" i="6"/>
  <c r="K89" i="6"/>
  <c r="L89" i="6"/>
  <c r="M89" i="6"/>
  <c r="O89" i="6"/>
  <c r="E90" i="6"/>
  <c r="K90" i="6"/>
  <c r="L90" i="6"/>
  <c r="M90" i="6"/>
  <c r="O90" i="6"/>
  <c r="E91" i="6"/>
  <c r="K91" i="6"/>
  <c r="L91" i="6"/>
  <c r="M91" i="6"/>
  <c r="O91" i="6"/>
  <c r="E92" i="6"/>
  <c r="K92" i="6"/>
  <c r="L92" i="6"/>
  <c r="M92" i="6"/>
  <c r="O92" i="6"/>
  <c r="E93" i="6"/>
  <c r="K93" i="6"/>
  <c r="L93" i="6"/>
  <c r="M93" i="6"/>
  <c r="O93" i="6"/>
  <c r="E94" i="6"/>
  <c r="K94" i="6"/>
  <c r="L94" i="6"/>
  <c r="M94" i="6"/>
  <c r="O94" i="6"/>
  <c r="E95" i="6"/>
  <c r="K95" i="6"/>
  <c r="L95" i="6"/>
  <c r="M95" i="6"/>
  <c r="O95" i="6"/>
  <c r="E96" i="6"/>
  <c r="K96" i="6"/>
  <c r="L96" i="6"/>
  <c r="M96" i="6"/>
  <c r="O96" i="6"/>
  <c r="E97" i="6"/>
  <c r="K97" i="6"/>
  <c r="L97" i="6"/>
  <c r="M97" i="6"/>
  <c r="O97" i="6"/>
  <c r="E98" i="6"/>
  <c r="K98" i="6"/>
  <c r="L98" i="6"/>
  <c r="M98" i="6"/>
  <c r="O98" i="6"/>
  <c r="E99" i="6"/>
  <c r="K99" i="6"/>
  <c r="L99" i="6"/>
  <c r="M99" i="6"/>
  <c r="O99" i="6"/>
  <c r="E100" i="6"/>
  <c r="K100" i="6"/>
  <c r="L100" i="6"/>
  <c r="M100" i="6"/>
  <c r="O100" i="6"/>
  <c r="E101" i="6"/>
  <c r="K101" i="6"/>
  <c r="L101" i="6"/>
  <c r="M101" i="6"/>
  <c r="O101" i="6"/>
  <c r="E102" i="6"/>
  <c r="K102" i="6"/>
  <c r="L102" i="6"/>
  <c r="M102" i="6"/>
  <c r="O102" i="6"/>
  <c r="E103" i="6"/>
  <c r="K103" i="6"/>
  <c r="L103" i="6"/>
  <c r="M103" i="6"/>
  <c r="O103" i="6"/>
  <c r="E104" i="6"/>
  <c r="K104" i="6"/>
  <c r="L104" i="6"/>
  <c r="M104" i="6"/>
  <c r="O104" i="6"/>
  <c r="E105" i="6"/>
  <c r="K105" i="6"/>
  <c r="L105" i="6"/>
  <c r="M105" i="6"/>
  <c r="O105" i="6"/>
  <c r="E106" i="6"/>
  <c r="K106" i="6"/>
  <c r="L106" i="6"/>
  <c r="M106" i="6"/>
  <c r="O106" i="6"/>
  <c r="E107" i="6"/>
  <c r="K107" i="6"/>
  <c r="L107" i="6"/>
  <c r="M107" i="6"/>
  <c r="O107" i="6"/>
  <c r="E108" i="6"/>
  <c r="K108" i="6"/>
  <c r="L108" i="6"/>
  <c r="M108" i="6"/>
  <c r="O108" i="6"/>
  <c r="E109" i="6"/>
  <c r="K109" i="6"/>
  <c r="L109" i="6"/>
  <c r="M109" i="6"/>
  <c r="O109" i="6"/>
  <c r="E110" i="6"/>
  <c r="K110" i="6"/>
  <c r="L110" i="6"/>
  <c r="M110" i="6"/>
  <c r="O110" i="6"/>
  <c r="E111" i="6"/>
  <c r="K111" i="6"/>
  <c r="L111" i="6"/>
  <c r="M111" i="6"/>
  <c r="O111" i="6"/>
  <c r="E112" i="6"/>
  <c r="K112" i="6"/>
  <c r="L112" i="6"/>
  <c r="M112" i="6"/>
  <c r="O112" i="6"/>
  <c r="E113" i="6"/>
  <c r="K113" i="6"/>
  <c r="L113" i="6"/>
  <c r="M113" i="6"/>
  <c r="O113" i="6"/>
  <c r="E114" i="6"/>
  <c r="K114" i="6"/>
  <c r="L114" i="6"/>
  <c r="M114" i="6"/>
  <c r="O114" i="6"/>
  <c r="E115" i="6"/>
  <c r="K115" i="6"/>
  <c r="L115" i="6"/>
  <c r="M115" i="6"/>
  <c r="O115" i="6"/>
  <c r="E116" i="6"/>
  <c r="K116" i="6"/>
  <c r="L116" i="6"/>
  <c r="M116" i="6"/>
  <c r="O116" i="6"/>
  <c r="E117" i="6"/>
  <c r="K117" i="6"/>
  <c r="L117" i="6"/>
  <c r="M117" i="6"/>
  <c r="O117" i="6"/>
  <c r="E118" i="6"/>
  <c r="K118" i="6"/>
  <c r="L118" i="6"/>
  <c r="M118" i="6"/>
  <c r="O118" i="6"/>
  <c r="E119" i="6"/>
  <c r="K119" i="6"/>
  <c r="L119" i="6"/>
  <c r="M119" i="6"/>
  <c r="O119" i="6"/>
  <c r="E120" i="6"/>
  <c r="K120" i="6"/>
  <c r="L120" i="6"/>
  <c r="M120" i="6"/>
  <c r="O120" i="6"/>
  <c r="E121" i="6"/>
  <c r="K121" i="6"/>
  <c r="L121" i="6"/>
  <c r="M121" i="6"/>
  <c r="O121" i="6"/>
  <c r="E122" i="6"/>
  <c r="K122" i="6"/>
  <c r="L122" i="6"/>
  <c r="M122" i="6"/>
  <c r="O122" i="6"/>
  <c r="E123" i="6"/>
  <c r="K123" i="6"/>
  <c r="L123" i="6"/>
  <c r="M123" i="6"/>
  <c r="O123" i="6"/>
  <c r="E124" i="6"/>
  <c r="K124" i="6"/>
  <c r="L124" i="6"/>
  <c r="M124" i="6"/>
  <c r="O124" i="6"/>
  <c r="E125" i="6"/>
  <c r="K125" i="6"/>
  <c r="L125" i="6"/>
  <c r="M125" i="6"/>
  <c r="O125" i="6"/>
  <c r="E126" i="6"/>
  <c r="K126" i="6"/>
  <c r="L126" i="6"/>
  <c r="M126" i="6"/>
  <c r="O126" i="6"/>
  <c r="E127" i="6"/>
  <c r="K127" i="6"/>
  <c r="L127" i="6"/>
  <c r="M127" i="6"/>
  <c r="O127" i="6"/>
  <c r="E128" i="6"/>
  <c r="K128" i="6"/>
  <c r="L128" i="6"/>
  <c r="M128" i="6"/>
  <c r="O128" i="6"/>
  <c r="E129" i="6"/>
  <c r="K129" i="6"/>
  <c r="L129" i="6"/>
  <c r="M129" i="6"/>
  <c r="O129" i="6"/>
  <c r="E130" i="6"/>
  <c r="K130" i="6"/>
  <c r="L130" i="6"/>
  <c r="M130" i="6"/>
  <c r="O130" i="6"/>
  <c r="E131" i="6"/>
  <c r="K131" i="6"/>
  <c r="L131" i="6"/>
  <c r="M131" i="6"/>
  <c r="O131" i="6"/>
  <c r="E132" i="6"/>
  <c r="K132" i="6"/>
  <c r="L132" i="6"/>
  <c r="M132" i="6"/>
  <c r="O132" i="6"/>
  <c r="E133" i="6"/>
  <c r="K133" i="6"/>
  <c r="L133" i="6"/>
  <c r="M133" i="6"/>
  <c r="O133" i="6"/>
  <c r="E134" i="6"/>
  <c r="K134" i="6"/>
  <c r="L134" i="6"/>
  <c r="M134" i="6"/>
  <c r="O134" i="6"/>
  <c r="E135" i="6"/>
  <c r="K135" i="6"/>
  <c r="L135" i="6"/>
  <c r="M135" i="6"/>
  <c r="O135" i="6"/>
  <c r="E136" i="6"/>
  <c r="K136" i="6"/>
  <c r="L136" i="6"/>
  <c r="M136" i="6"/>
  <c r="O136" i="6"/>
  <c r="E137" i="6"/>
  <c r="K137" i="6"/>
  <c r="L137" i="6"/>
  <c r="M137" i="6"/>
  <c r="O137" i="6"/>
  <c r="E138" i="6"/>
  <c r="K138" i="6"/>
  <c r="L138" i="6"/>
  <c r="M138" i="6"/>
  <c r="O138" i="6"/>
  <c r="E139" i="6"/>
  <c r="K139" i="6"/>
  <c r="L139" i="6"/>
  <c r="M139" i="6"/>
  <c r="O139" i="6"/>
  <c r="E140" i="6"/>
  <c r="K140" i="6"/>
  <c r="L140" i="6"/>
  <c r="M140" i="6"/>
  <c r="O140" i="6"/>
  <c r="E141" i="6"/>
  <c r="K141" i="6"/>
  <c r="L141" i="6"/>
  <c r="M141" i="6"/>
  <c r="O141" i="6"/>
  <c r="E142" i="6"/>
  <c r="K142" i="6"/>
  <c r="L142" i="6"/>
  <c r="M142" i="6"/>
  <c r="O142" i="6"/>
  <c r="E143" i="6"/>
  <c r="K143" i="6"/>
  <c r="L143" i="6"/>
  <c r="M143" i="6"/>
  <c r="O143" i="6"/>
  <c r="E144" i="6"/>
  <c r="K144" i="6"/>
  <c r="L144" i="6"/>
  <c r="M144" i="6"/>
  <c r="O144" i="6"/>
  <c r="E145" i="6"/>
  <c r="K145" i="6"/>
  <c r="L145" i="6"/>
  <c r="M145" i="6"/>
  <c r="O145" i="6"/>
  <c r="E146" i="6"/>
  <c r="K146" i="6"/>
  <c r="L146" i="6"/>
  <c r="M146" i="6"/>
  <c r="O146" i="6"/>
  <c r="E147" i="6"/>
  <c r="K147" i="6"/>
  <c r="L147" i="6"/>
  <c r="M147" i="6"/>
  <c r="O147" i="6"/>
  <c r="E148" i="6"/>
  <c r="K148" i="6"/>
  <c r="L148" i="6"/>
  <c r="M148" i="6"/>
  <c r="O148" i="6"/>
  <c r="E149" i="6"/>
  <c r="K149" i="6"/>
  <c r="L149" i="6"/>
  <c r="M149" i="6"/>
  <c r="O149" i="6"/>
  <c r="E150" i="6"/>
  <c r="K150" i="6"/>
  <c r="L150" i="6"/>
  <c r="M150" i="6"/>
  <c r="O150" i="6"/>
  <c r="E151" i="6"/>
  <c r="K151" i="6"/>
  <c r="L151" i="6"/>
  <c r="M151" i="6"/>
  <c r="O151" i="6"/>
  <c r="E152" i="6"/>
  <c r="K152" i="6"/>
  <c r="L152" i="6"/>
  <c r="M152" i="6"/>
  <c r="O152" i="6"/>
  <c r="E153" i="6"/>
  <c r="K153" i="6"/>
  <c r="L153" i="6"/>
  <c r="M153" i="6"/>
  <c r="O153" i="6"/>
  <c r="E154" i="6"/>
  <c r="K154" i="6"/>
  <c r="L154" i="6"/>
  <c r="M154" i="6"/>
  <c r="O154" i="6"/>
  <c r="E155" i="6"/>
  <c r="K155" i="6"/>
  <c r="L155" i="6"/>
  <c r="M155" i="6"/>
  <c r="O155" i="6"/>
  <c r="E156" i="6"/>
  <c r="K156" i="6"/>
  <c r="L156" i="6"/>
  <c r="M156" i="6"/>
  <c r="O156" i="6"/>
  <c r="E157" i="6"/>
  <c r="K157" i="6"/>
  <c r="L157" i="6"/>
  <c r="M157" i="6"/>
  <c r="O157" i="6"/>
  <c r="E158" i="6"/>
  <c r="K158" i="6"/>
  <c r="L158" i="6"/>
  <c r="M158" i="6"/>
  <c r="O158" i="6"/>
  <c r="E159" i="6"/>
  <c r="K159" i="6"/>
  <c r="L159" i="6"/>
  <c r="M159" i="6"/>
  <c r="O159" i="6"/>
  <c r="E160" i="6"/>
  <c r="K160" i="6"/>
  <c r="L160" i="6"/>
  <c r="M160" i="6"/>
  <c r="O160" i="6"/>
  <c r="E161" i="6"/>
  <c r="K161" i="6"/>
  <c r="L161" i="6"/>
  <c r="M161" i="6"/>
  <c r="O161" i="6"/>
  <c r="E162" i="6"/>
  <c r="K162" i="6"/>
  <c r="L162" i="6"/>
  <c r="M162" i="6"/>
  <c r="O162" i="6"/>
  <c r="E163" i="6"/>
  <c r="K163" i="6"/>
  <c r="L163" i="6"/>
  <c r="M163" i="6"/>
  <c r="O163" i="6"/>
  <c r="E164" i="6"/>
  <c r="K164" i="6"/>
  <c r="L164" i="6"/>
  <c r="M164" i="6"/>
  <c r="O164" i="6"/>
  <c r="E165" i="6"/>
  <c r="K165" i="6"/>
  <c r="L165" i="6"/>
  <c r="M165" i="6"/>
  <c r="O165" i="6"/>
  <c r="E166" i="6"/>
  <c r="K166" i="6"/>
  <c r="L166" i="6"/>
  <c r="M166" i="6"/>
  <c r="O166" i="6"/>
  <c r="E167" i="6"/>
  <c r="K167" i="6"/>
  <c r="L167" i="6"/>
  <c r="M167" i="6"/>
  <c r="O167" i="6"/>
  <c r="E168" i="6"/>
  <c r="K168" i="6"/>
  <c r="L168" i="6"/>
  <c r="M168" i="6"/>
  <c r="O168" i="6"/>
  <c r="E169" i="6"/>
  <c r="K169" i="6"/>
  <c r="L169" i="6"/>
  <c r="M169" i="6"/>
  <c r="O169" i="6"/>
  <c r="E170" i="6"/>
  <c r="K170" i="6"/>
  <c r="L170" i="6"/>
  <c r="M170" i="6"/>
  <c r="O170" i="6"/>
  <c r="E171" i="6"/>
  <c r="K171" i="6"/>
  <c r="L171" i="6"/>
  <c r="M171" i="6"/>
  <c r="O171" i="6"/>
  <c r="E172" i="6"/>
  <c r="K172" i="6"/>
  <c r="L172" i="6"/>
  <c r="M172" i="6"/>
  <c r="O172" i="6"/>
  <c r="E173" i="6"/>
  <c r="K173" i="6"/>
  <c r="L173" i="6"/>
  <c r="M173" i="6"/>
  <c r="O173" i="6"/>
  <c r="E174" i="6"/>
  <c r="K174" i="6"/>
  <c r="L174" i="6"/>
  <c r="M174" i="6"/>
  <c r="O174" i="6"/>
  <c r="E175" i="6"/>
  <c r="K175" i="6"/>
  <c r="L175" i="6"/>
  <c r="M175" i="6"/>
  <c r="O175" i="6"/>
  <c r="E176" i="6"/>
  <c r="K176" i="6"/>
  <c r="L176" i="6"/>
  <c r="M176" i="6"/>
  <c r="O176" i="6"/>
  <c r="E177" i="6"/>
  <c r="K177" i="6"/>
  <c r="L177" i="6"/>
  <c r="M177" i="6"/>
  <c r="O177" i="6"/>
  <c r="E178" i="6"/>
  <c r="K178" i="6"/>
  <c r="L178" i="6"/>
  <c r="M178" i="6"/>
  <c r="O178" i="6"/>
  <c r="E179" i="6"/>
  <c r="K179" i="6"/>
  <c r="L179" i="6"/>
  <c r="M179" i="6"/>
  <c r="O179" i="6"/>
  <c r="E180" i="6"/>
  <c r="K180" i="6"/>
  <c r="L180" i="6"/>
  <c r="M180" i="6"/>
  <c r="O180" i="6"/>
  <c r="E181" i="6"/>
  <c r="K181" i="6"/>
  <c r="L181" i="6"/>
  <c r="M181" i="6"/>
  <c r="O181" i="6"/>
  <c r="E182" i="6"/>
  <c r="K182" i="6"/>
  <c r="L182" i="6"/>
  <c r="M182" i="6"/>
  <c r="O182" i="6"/>
  <c r="E183" i="6"/>
  <c r="K183" i="6"/>
  <c r="L183" i="6"/>
  <c r="M183" i="6"/>
  <c r="O183" i="6"/>
  <c r="E184" i="6"/>
  <c r="K184" i="6"/>
  <c r="L184" i="6"/>
  <c r="M184" i="6"/>
  <c r="O184" i="6"/>
  <c r="E185" i="6"/>
  <c r="K185" i="6"/>
  <c r="L185" i="6"/>
  <c r="M185" i="6"/>
  <c r="O185" i="6"/>
  <c r="E186" i="6"/>
  <c r="K186" i="6"/>
  <c r="L186" i="6"/>
  <c r="M186" i="6"/>
  <c r="O186" i="6"/>
  <c r="E187" i="6"/>
  <c r="K187" i="6"/>
  <c r="L187" i="6"/>
  <c r="M187" i="6"/>
  <c r="O187" i="6"/>
  <c r="E188" i="6"/>
  <c r="K188" i="6"/>
  <c r="L188" i="6"/>
  <c r="M188" i="6"/>
  <c r="O188" i="6"/>
  <c r="E189" i="6"/>
  <c r="K189" i="6"/>
  <c r="L189" i="6"/>
  <c r="M189" i="6"/>
  <c r="O189" i="6"/>
  <c r="E190" i="6"/>
  <c r="K190" i="6"/>
  <c r="L190" i="6"/>
  <c r="M190" i="6"/>
  <c r="O190" i="6"/>
  <c r="E191" i="6"/>
  <c r="K191" i="6"/>
  <c r="L191" i="6"/>
  <c r="M191" i="6"/>
  <c r="O191" i="6"/>
  <c r="E192" i="6"/>
  <c r="K192" i="6"/>
  <c r="L192" i="6"/>
  <c r="M192" i="6"/>
  <c r="O192" i="6"/>
  <c r="E193" i="6"/>
  <c r="K193" i="6"/>
  <c r="L193" i="6"/>
  <c r="M193" i="6"/>
  <c r="O193" i="6"/>
  <c r="E194" i="6"/>
  <c r="K194" i="6"/>
  <c r="L194" i="6"/>
  <c r="M194" i="6"/>
  <c r="O194" i="6"/>
  <c r="E195" i="6"/>
  <c r="K195" i="6"/>
  <c r="L195" i="6"/>
  <c r="M195" i="6"/>
  <c r="O195" i="6"/>
  <c r="E196" i="6"/>
  <c r="K196" i="6"/>
  <c r="L196" i="6"/>
  <c r="M196" i="6"/>
  <c r="O196" i="6"/>
  <c r="E197" i="6"/>
  <c r="K197" i="6"/>
  <c r="L197" i="6"/>
  <c r="M197" i="6"/>
  <c r="O197" i="6"/>
  <c r="E198" i="6"/>
  <c r="K198" i="6"/>
  <c r="L198" i="6"/>
  <c r="M198" i="6"/>
  <c r="O198" i="6"/>
  <c r="E199" i="6"/>
  <c r="K199" i="6"/>
  <c r="L199" i="6"/>
  <c r="M199" i="6"/>
  <c r="O199" i="6"/>
  <c r="E200" i="6"/>
  <c r="K200" i="6"/>
  <c r="L200" i="6"/>
  <c r="M200" i="6"/>
  <c r="O200" i="6"/>
  <c r="E201" i="6"/>
  <c r="K201" i="6"/>
  <c r="L201" i="6"/>
  <c r="M201" i="6"/>
  <c r="O201" i="6"/>
  <c r="E202" i="6"/>
  <c r="K202" i="6"/>
  <c r="L202" i="6"/>
  <c r="M202" i="6"/>
  <c r="O202" i="6"/>
  <c r="E203" i="6"/>
  <c r="K203" i="6"/>
  <c r="L203" i="6"/>
  <c r="M203" i="6"/>
  <c r="O203" i="6"/>
  <c r="E204" i="6"/>
  <c r="K204" i="6"/>
  <c r="L204" i="6"/>
  <c r="M204" i="6"/>
  <c r="O204" i="6"/>
  <c r="E205" i="6"/>
  <c r="K205" i="6"/>
  <c r="L205" i="6"/>
  <c r="M205" i="6"/>
  <c r="O205" i="6"/>
  <c r="E206" i="6"/>
  <c r="K206" i="6"/>
  <c r="L206" i="6"/>
  <c r="M206" i="6"/>
  <c r="O206" i="6"/>
  <c r="E207" i="6"/>
  <c r="K207" i="6"/>
  <c r="L207" i="6"/>
  <c r="M207" i="6"/>
  <c r="O207" i="6"/>
  <c r="E208" i="6"/>
  <c r="K208" i="6"/>
  <c r="L208" i="6"/>
  <c r="M208" i="6"/>
  <c r="O208" i="6"/>
  <c r="E209" i="6"/>
  <c r="K209" i="6"/>
  <c r="L209" i="6"/>
  <c r="M209" i="6"/>
  <c r="O209" i="6"/>
  <c r="E210" i="6"/>
  <c r="K210" i="6"/>
  <c r="L210" i="6"/>
  <c r="M210" i="6"/>
  <c r="O210" i="6"/>
  <c r="E211" i="6"/>
  <c r="K211" i="6"/>
  <c r="L211" i="6"/>
  <c r="M211" i="6"/>
  <c r="O211" i="6"/>
  <c r="E212" i="6"/>
  <c r="K212" i="6"/>
  <c r="L212" i="6"/>
  <c r="M212" i="6"/>
  <c r="O212" i="6"/>
  <c r="E213" i="6"/>
  <c r="K213" i="6"/>
  <c r="L213" i="6"/>
  <c r="M213" i="6"/>
  <c r="O213" i="6"/>
  <c r="E214" i="6"/>
  <c r="K214" i="6"/>
  <c r="L214" i="6"/>
  <c r="M214" i="6"/>
  <c r="O214" i="6"/>
  <c r="E215" i="6"/>
  <c r="K215" i="6"/>
  <c r="L215" i="6"/>
  <c r="M215" i="6"/>
  <c r="O215" i="6"/>
  <c r="E216" i="6"/>
  <c r="K216" i="6"/>
  <c r="L216" i="6"/>
  <c r="M216" i="6"/>
  <c r="O216" i="6"/>
  <c r="E217" i="6"/>
  <c r="K217" i="6"/>
  <c r="L217" i="6"/>
  <c r="M217" i="6"/>
  <c r="O217" i="6"/>
  <c r="E218" i="6"/>
  <c r="K218" i="6"/>
  <c r="L218" i="6"/>
  <c r="M218" i="6"/>
  <c r="O218" i="6"/>
  <c r="E219" i="6"/>
  <c r="K219" i="6"/>
  <c r="L219" i="6"/>
  <c r="M219" i="6"/>
  <c r="O219" i="6"/>
  <c r="E220" i="6"/>
  <c r="K220" i="6"/>
  <c r="L220" i="6"/>
  <c r="M220" i="6"/>
  <c r="O220" i="6"/>
  <c r="E221" i="6"/>
  <c r="K221" i="6"/>
  <c r="L221" i="6"/>
  <c r="M221" i="6"/>
  <c r="O221" i="6"/>
  <c r="E222" i="6"/>
  <c r="K222" i="6"/>
  <c r="L222" i="6"/>
  <c r="M222" i="6"/>
  <c r="O222" i="6"/>
  <c r="E223" i="6"/>
  <c r="K223" i="6"/>
  <c r="L223" i="6"/>
  <c r="M223" i="6"/>
  <c r="O223" i="6"/>
  <c r="E224" i="6"/>
  <c r="K224" i="6"/>
  <c r="L224" i="6"/>
  <c r="M224" i="6"/>
  <c r="O224" i="6"/>
  <c r="E225" i="6"/>
  <c r="K225" i="6"/>
  <c r="L225" i="6"/>
  <c r="M225" i="6"/>
  <c r="O225" i="6"/>
  <c r="E226" i="6"/>
  <c r="K226" i="6"/>
  <c r="L226" i="6"/>
  <c r="M226" i="6"/>
  <c r="O226" i="6"/>
  <c r="E227" i="6"/>
  <c r="K227" i="6"/>
  <c r="L227" i="6"/>
  <c r="M227" i="6"/>
  <c r="O227" i="6"/>
  <c r="E228" i="6"/>
  <c r="K228" i="6"/>
  <c r="L228" i="6"/>
  <c r="M228" i="6"/>
  <c r="O228" i="6"/>
  <c r="E229" i="6"/>
  <c r="K229" i="6"/>
  <c r="L229" i="6"/>
  <c r="M229" i="6"/>
  <c r="O229" i="6"/>
  <c r="E230" i="6"/>
  <c r="K230" i="6"/>
  <c r="L230" i="6"/>
  <c r="M230" i="6"/>
  <c r="O230" i="6"/>
  <c r="E231" i="6"/>
  <c r="K231" i="6"/>
  <c r="L231" i="6"/>
  <c r="M231" i="6"/>
  <c r="O231" i="6"/>
  <c r="E232" i="6"/>
  <c r="K232" i="6"/>
  <c r="L232" i="6"/>
  <c r="M232" i="6"/>
  <c r="O232" i="6"/>
  <c r="E233" i="6"/>
  <c r="K233" i="6"/>
  <c r="L233" i="6"/>
  <c r="M233" i="6"/>
  <c r="O233" i="6"/>
  <c r="E234" i="6"/>
  <c r="K234" i="6"/>
  <c r="L234" i="6"/>
  <c r="M234" i="6"/>
  <c r="O234" i="6"/>
  <c r="E235" i="6"/>
  <c r="K235" i="6"/>
  <c r="L235" i="6"/>
  <c r="M235" i="6"/>
  <c r="O235" i="6"/>
  <c r="E236" i="6"/>
  <c r="K236" i="6"/>
  <c r="L236" i="6"/>
  <c r="M236" i="6"/>
  <c r="O236" i="6"/>
  <c r="E237" i="6"/>
  <c r="K237" i="6"/>
  <c r="L237" i="6"/>
  <c r="M237" i="6"/>
  <c r="O237" i="6"/>
  <c r="E238" i="6"/>
  <c r="K238" i="6"/>
  <c r="L238" i="6"/>
  <c r="M238" i="6"/>
  <c r="O238" i="6"/>
  <c r="E239" i="6"/>
  <c r="K239" i="6"/>
  <c r="L239" i="6"/>
  <c r="M239" i="6"/>
  <c r="O239" i="6"/>
  <c r="E240" i="6"/>
  <c r="K240" i="6"/>
  <c r="L240" i="6"/>
  <c r="M240" i="6"/>
  <c r="O240" i="6"/>
  <c r="E241" i="6"/>
  <c r="K241" i="6"/>
  <c r="L241" i="6"/>
  <c r="M241" i="6"/>
  <c r="O241" i="6"/>
  <c r="E242" i="6"/>
  <c r="K242" i="6"/>
  <c r="L242" i="6"/>
  <c r="M242" i="6"/>
  <c r="O242" i="6"/>
  <c r="E243" i="6"/>
  <c r="K243" i="6"/>
  <c r="L243" i="6"/>
  <c r="M243" i="6"/>
  <c r="O243" i="6"/>
  <c r="E244" i="6"/>
  <c r="K244" i="6"/>
  <c r="L244" i="6"/>
  <c r="M244" i="6"/>
  <c r="O244" i="6"/>
  <c r="E245" i="6"/>
  <c r="K245" i="6"/>
  <c r="L245" i="6"/>
  <c r="M245" i="6"/>
  <c r="O245" i="6"/>
  <c r="E246" i="6"/>
  <c r="K246" i="6"/>
  <c r="L246" i="6"/>
  <c r="M246" i="6"/>
  <c r="O246" i="6"/>
  <c r="E247" i="6"/>
  <c r="K247" i="6"/>
  <c r="L247" i="6"/>
  <c r="M247" i="6"/>
  <c r="O247" i="6"/>
  <c r="E248" i="6"/>
  <c r="K248" i="6"/>
  <c r="L248" i="6"/>
  <c r="M248" i="6"/>
  <c r="O248" i="6"/>
  <c r="E249" i="6"/>
  <c r="K249" i="6"/>
  <c r="L249" i="6"/>
  <c r="M249" i="6"/>
  <c r="O249" i="6"/>
  <c r="E250" i="6"/>
  <c r="K250" i="6"/>
  <c r="L250" i="6"/>
  <c r="M250" i="6"/>
  <c r="O250" i="6"/>
  <c r="E251" i="6"/>
  <c r="K251" i="6"/>
  <c r="L251" i="6"/>
  <c r="M251" i="6"/>
  <c r="O251" i="6"/>
  <c r="E252" i="6"/>
  <c r="K252" i="6"/>
  <c r="L252" i="6"/>
  <c r="M252" i="6"/>
  <c r="O252" i="6"/>
  <c r="E253" i="6"/>
  <c r="K253" i="6"/>
  <c r="L253" i="6"/>
  <c r="M253" i="6"/>
  <c r="O253" i="6"/>
  <c r="E254" i="6"/>
  <c r="K254" i="6"/>
  <c r="L254" i="6"/>
  <c r="M254" i="6"/>
  <c r="O254" i="6"/>
  <c r="E255" i="6"/>
  <c r="K255" i="6"/>
  <c r="L255" i="6"/>
  <c r="M255" i="6"/>
  <c r="O255" i="6"/>
  <c r="E256" i="6"/>
  <c r="K256" i="6"/>
  <c r="L256" i="6"/>
  <c r="M256" i="6"/>
  <c r="O256" i="6"/>
  <c r="E257" i="6"/>
  <c r="K257" i="6"/>
  <c r="L257" i="6"/>
  <c r="M257" i="6"/>
  <c r="O257" i="6"/>
  <c r="E258" i="6"/>
  <c r="K258" i="6"/>
  <c r="L258" i="6"/>
  <c r="M258" i="6"/>
  <c r="O258" i="6"/>
  <c r="E259" i="6"/>
  <c r="K259" i="6"/>
  <c r="L259" i="6"/>
  <c r="M259" i="6"/>
  <c r="O259" i="6"/>
  <c r="E260" i="6"/>
  <c r="K260" i="6"/>
  <c r="L260" i="6"/>
  <c r="M260" i="6"/>
  <c r="O260" i="6"/>
  <c r="E261" i="6"/>
  <c r="K261" i="6"/>
  <c r="L261" i="6"/>
  <c r="M261" i="6"/>
  <c r="O261" i="6"/>
  <c r="E262" i="6"/>
  <c r="K262" i="6"/>
  <c r="L262" i="6"/>
  <c r="M262" i="6"/>
  <c r="O262" i="6"/>
  <c r="E263" i="6"/>
  <c r="K263" i="6"/>
  <c r="L263" i="6"/>
  <c r="M263" i="6"/>
  <c r="O263" i="6"/>
  <c r="E264" i="6"/>
  <c r="K264" i="6"/>
  <c r="L264" i="6"/>
  <c r="M264" i="6"/>
  <c r="O264" i="6"/>
  <c r="E265" i="6"/>
  <c r="K265" i="6"/>
  <c r="L265" i="6"/>
  <c r="M265" i="6"/>
  <c r="O265" i="6"/>
  <c r="E266" i="6"/>
  <c r="K266" i="6"/>
  <c r="L266" i="6"/>
  <c r="M266" i="6"/>
  <c r="O266" i="6"/>
  <c r="E267" i="6"/>
  <c r="K267" i="6"/>
  <c r="L267" i="6"/>
  <c r="M267" i="6"/>
  <c r="O267" i="6"/>
  <c r="E268" i="6"/>
  <c r="K268" i="6"/>
  <c r="L268" i="6"/>
  <c r="M268" i="6"/>
  <c r="O268" i="6"/>
  <c r="E269" i="6"/>
  <c r="K269" i="6"/>
  <c r="L269" i="6"/>
  <c r="M269" i="6"/>
  <c r="O269" i="6"/>
  <c r="E270" i="6"/>
  <c r="K270" i="6"/>
  <c r="L270" i="6"/>
  <c r="M270" i="6"/>
  <c r="O270" i="6"/>
  <c r="E271" i="6"/>
  <c r="K271" i="6"/>
  <c r="L271" i="6"/>
  <c r="M271" i="6"/>
  <c r="O271" i="6"/>
  <c r="E272" i="6"/>
  <c r="K272" i="6"/>
  <c r="L272" i="6"/>
  <c r="M272" i="6"/>
  <c r="O272" i="6"/>
  <c r="E273" i="6"/>
  <c r="K273" i="6"/>
  <c r="L273" i="6"/>
  <c r="M273" i="6"/>
  <c r="O273" i="6"/>
  <c r="E274" i="6"/>
  <c r="K274" i="6"/>
  <c r="L274" i="6"/>
  <c r="M274" i="6"/>
  <c r="O274" i="6"/>
  <c r="E275" i="6"/>
  <c r="K275" i="6"/>
  <c r="L275" i="6"/>
  <c r="M275" i="6"/>
  <c r="O275" i="6"/>
  <c r="E276" i="6"/>
  <c r="K276" i="6"/>
  <c r="L276" i="6"/>
  <c r="M276" i="6"/>
  <c r="O276" i="6"/>
  <c r="E277" i="6"/>
  <c r="K277" i="6"/>
  <c r="L277" i="6"/>
  <c r="M277" i="6"/>
  <c r="O277" i="6"/>
  <c r="E278" i="6"/>
  <c r="K278" i="6"/>
  <c r="L278" i="6"/>
  <c r="M278" i="6"/>
  <c r="O278" i="6"/>
  <c r="E279" i="6"/>
  <c r="K279" i="6"/>
  <c r="L279" i="6"/>
  <c r="M279" i="6"/>
  <c r="O279" i="6"/>
  <c r="E280" i="6"/>
  <c r="K280" i="6"/>
  <c r="L280" i="6"/>
  <c r="M280" i="6"/>
  <c r="O280" i="6"/>
  <c r="E281" i="6"/>
  <c r="K281" i="6"/>
  <c r="L281" i="6"/>
  <c r="M281" i="6"/>
  <c r="O281" i="6"/>
  <c r="E282" i="6"/>
  <c r="K282" i="6"/>
  <c r="L282" i="6"/>
  <c r="M282" i="6"/>
  <c r="O282" i="6"/>
  <c r="E283" i="6"/>
  <c r="K283" i="6"/>
  <c r="L283" i="6"/>
  <c r="M283" i="6"/>
  <c r="O283" i="6"/>
  <c r="E284" i="6"/>
  <c r="K284" i="6"/>
  <c r="L284" i="6"/>
  <c r="M284" i="6"/>
  <c r="O284" i="6"/>
  <c r="E285" i="6"/>
  <c r="K285" i="6"/>
  <c r="L285" i="6"/>
  <c r="M285" i="6"/>
  <c r="O285" i="6"/>
  <c r="E286" i="6"/>
  <c r="K286" i="6"/>
  <c r="L286" i="6"/>
  <c r="M286" i="6"/>
  <c r="O286" i="6"/>
  <c r="E287" i="6"/>
  <c r="K287" i="6"/>
  <c r="L287" i="6"/>
  <c r="M287" i="6"/>
  <c r="O287" i="6"/>
  <c r="E288" i="6"/>
  <c r="K288" i="6"/>
  <c r="L288" i="6"/>
  <c r="M288" i="6"/>
  <c r="O288" i="6"/>
  <c r="E289" i="6"/>
  <c r="K289" i="6"/>
  <c r="L289" i="6"/>
  <c r="M289" i="6"/>
  <c r="O289" i="6"/>
  <c r="E290" i="6"/>
  <c r="K290" i="6"/>
  <c r="L290" i="6"/>
  <c r="M290" i="6"/>
  <c r="O290" i="6"/>
  <c r="E291" i="6"/>
  <c r="K291" i="6"/>
  <c r="L291" i="6"/>
  <c r="M291" i="6"/>
  <c r="O291" i="6"/>
  <c r="E292" i="6"/>
  <c r="K292" i="6"/>
  <c r="L292" i="6"/>
  <c r="M292" i="6"/>
  <c r="O292" i="6"/>
  <c r="E293" i="6"/>
  <c r="K293" i="6"/>
  <c r="L293" i="6"/>
  <c r="M293" i="6"/>
  <c r="O293" i="6"/>
  <c r="E294" i="6"/>
  <c r="K294" i="6"/>
  <c r="L294" i="6"/>
  <c r="M294" i="6"/>
  <c r="O294" i="6"/>
  <c r="E295" i="6"/>
  <c r="K295" i="6"/>
  <c r="L295" i="6"/>
  <c r="M295" i="6"/>
  <c r="O295" i="6"/>
  <c r="E296" i="6"/>
  <c r="K296" i="6"/>
  <c r="L296" i="6"/>
  <c r="M296" i="6"/>
  <c r="O296" i="6"/>
  <c r="E297" i="6"/>
  <c r="K297" i="6"/>
  <c r="L297" i="6"/>
  <c r="M297" i="6"/>
  <c r="O297" i="6"/>
  <c r="E298" i="6"/>
  <c r="K298" i="6"/>
  <c r="L298" i="6"/>
  <c r="M298" i="6"/>
  <c r="O298" i="6"/>
  <c r="E299" i="6"/>
  <c r="K299" i="6"/>
  <c r="L299" i="6"/>
  <c r="M299" i="6"/>
  <c r="O299" i="6"/>
  <c r="E300" i="6"/>
  <c r="K300" i="6"/>
  <c r="L300" i="6"/>
  <c r="M300" i="6"/>
  <c r="O300" i="6"/>
  <c r="E301" i="6"/>
  <c r="K301" i="6"/>
  <c r="L301" i="6"/>
  <c r="M301" i="6"/>
  <c r="O301" i="6"/>
  <c r="E302" i="6"/>
  <c r="K302" i="6"/>
  <c r="L302" i="6"/>
  <c r="M302" i="6"/>
  <c r="O302" i="6"/>
  <c r="E303" i="6"/>
  <c r="K303" i="6"/>
  <c r="L303" i="6"/>
  <c r="M303" i="6"/>
  <c r="O303" i="6"/>
  <c r="E304" i="6"/>
  <c r="K304" i="6"/>
  <c r="L304" i="6"/>
  <c r="M304" i="6"/>
  <c r="O304" i="6"/>
  <c r="E305" i="6"/>
  <c r="K305" i="6"/>
  <c r="L305" i="6"/>
  <c r="M305" i="6"/>
  <c r="O305" i="6"/>
  <c r="E306" i="6"/>
  <c r="K306" i="6"/>
  <c r="L306" i="6"/>
  <c r="M306" i="6"/>
  <c r="O306" i="6"/>
  <c r="E307" i="6"/>
  <c r="K307" i="6"/>
  <c r="L307" i="6"/>
  <c r="M307" i="6"/>
  <c r="O307" i="6"/>
  <c r="E308" i="6"/>
  <c r="K308" i="6"/>
  <c r="L308" i="6"/>
  <c r="M308" i="6"/>
  <c r="O308" i="6"/>
  <c r="E309" i="6"/>
  <c r="K309" i="6"/>
  <c r="L309" i="6"/>
  <c r="M309" i="6"/>
  <c r="O309" i="6"/>
  <c r="E310" i="6"/>
  <c r="K310" i="6"/>
  <c r="L310" i="6"/>
  <c r="M310" i="6"/>
  <c r="O310" i="6"/>
  <c r="E311" i="6"/>
  <c r="K311" i="6"/>
  <c r="L311" i="6"/>
  <c r="M311" i="6"/>
  <c r="O311" i="6"/>
  <c r="E312" i="6"/>
  <c r="K312" i="6"/>
  <c r="L312" i="6"/>
  <c r="M312" i="6"/>
  <c r="O312" i="6"/>
  <c r="E313" i="6"/>
  <c r="K313" i="6"/>
  <c r="L313" i="6"/>
  <c r="M313" i="6"/>
  <c r="O313" i="6"/>
  <c r="E314" i="6"/>
  <c r="K314" i="6"/>
  <c r="L314" i="6"/>
  <c r="M314" i="6"/>
  <c r="O314" i="6"/>
  <c r="E315" i="6"/>
  <c r="K315" i="6"/>
  <c r="L315" i="6"/>
  <c r="M315" i="6"/>
  <c r="O315" i="6"/>
  <c r="E316" i="6"/>
  <c r="K316" i="6"/>
  <c r="L316" i="6"/>
  <c r="M316" i="6"/>
  <c r="O316" i="6"/>
  <c r="E317" i="6"/>
  <c r="K317" i="6"/>
  <c r="L317" i="6"/>
  <c r="M317" i="6"/>
  <c r="O317" i="6"/>
  <c r="E318" i="6"/>
  <c r="K318" i="6"/>
  <c r="L318" i="6"/>
  <c r="M318" i="6"/>
  <c r="O318" i="6"/>
  <c r="E319" i="6"/>
  <c r="K319" i="6"/>
  <c r="L319" i="6"/>
  <c r="M319" i="6"/>
  <c r="O319" i="6"/>
  <c r="E320" i="6"/>
  <c r="K320" i="6"/>
  <c r="L320" i="6"/>
  <c r="M320" i="6"/>
  <c r="O320" i="6"/>
  <c r="E321" i="6"/>
  <c r="K321" i="6"/>
  <c r="L321" i="6"/>
  <c r="M321" i="6"/>
  <c r="O321" i="6"/>
  <c r="E322" i="6"/>
  <c r="K322" i="6"/>
  <c r="L322" i="6"/>
  <c r="M322" i="6"/>
  <c r="O322" i="6"/>
  <c r="E323" i="6"/>
  <c r="K323" i="6"/>
  <c r="L323" i="6"/>
  <c r="M323" i="6"/>
  <c r="O323" i="6"/>
  <c r="E324" i="6"/>
  <c r="K324" i="6"/>
  <c r="L324" i="6"/>
  <c r="M324" i="6"/>
  <c r="O324" i="6"/>
  <c r="E325" i="6"/>
  <c r="K325" i="6"/>
  <c r="L325" i="6"/>
  <c r="M325" i="6"/>
  <c r="O325" i="6"/>
  <c r="E326" i="6"/>
  <c r="K326" i="6"/>
  <c r="L326" i="6"/>
  <c r="M326" i="6"/>
  <c r="O326" i="6"/>
  <c r="E327" i="6"/>
  <c r="K327" i="6"/>
  <c r="L327" i="6"/>
  <c r="M327" i="6"/>
  <c r="O327" i="6"/>
  <c r="E328" i="6"/>
  <c r="K328" i="6"/>
  <c r="L328" i="6"/>
  <c r="M328" i="6"/>
  <c r="O328" i="6"/>
  <c r="E329" i="6"/>
  <c r="K329" i="6"/>
  <c r="L329" i="6"/>
  <c r="M329" i="6"/>
  <c r="O329" i="6"/>
  <c r="E330" i="6"/>
  <c r="K330" i="6"/>
  <c r="L330" i="6"/>
  <c r="M330" i="6"/>
  <c r="O330" i="6"/>
  <c r="Q28" i="5"/>
  <c r="P28" i="5"/>
  <c r="Q27" i="5"/>
  <c r="P27" i="5"/>
  <c r="Q26" i="5"/>
  <c r="P26" i="5"/>
  <c r="Q25" i="5"/>
  <c r="P25" i="5"/>
  <c r="Q24" i="5"/>
  <c r="P24" i="5"/>
  <c r="Q23" i="5"/>
  <c r="P23" i="5"/>
  <c r="Q22" i="5"/>
  <c r="P22" i="5"/>
  <c r="Q21" i="5"/>
  <c r="P21" i="5"/>
  <c r="Q20" i="5"/>
  <c r="P20" i="5"/>
  <c r="Q19" i="5"/>
  <c r="P19" i="5"/>
  <c r="Q18" i="5"/>
  <c r="P18" i="5"/>
  <c r="Q17" i="5"/>
  <c r="P17" i="5"/>
  <c r="Q16" i="5"/>
  <c r="P16" i="5"/>
  <c r="Q15" i="5"/>
  <c r="P15" i="5"/>
  <c r="Q14" i="5"/>
  <c r="P14" i="5"/>
  <c r="Q13" i="5"/>
  <c r="P13" i="5"/>
  <c r="Q12" i="5"/>
  <c r="P12" i="5"/>
  <c r="Q11" i="5"/>
  <c r="P11" i="5"/>
  <c r="Q10" i="5"/>
  <c r="P10" i="5"/>
  <c r="Q9" i="5"/>
  <c r="P9" i="5"/>
  <c r="Q8" i="5"/>
  <c r="P8" i="5"/>
  <c r="Q7" i="5"/>
  <c r="P7" i="5"/>
  <c r="Q6" i="5"/>
  <c r="P6" i="5"/>
  <c r="Q5" i="5"/>
  <c r="P5" i="5"/>
  <c r="Q4" i="5"/>
  <c r="P4" i="5"/>
  <c r="Q3" i="5"/>
  <c r="P3" i="5"/>
  <c r="Q2" i="5"/>
  <c r="P2" i="5"/>
  <c r="O2" i="4"/>
  <c r="P2" i="4"/>
  <c r="O3" i="4"/>
  <c r="P3" i="4"/>
  <c r="O4" i="4"/>
  <c r="P4" i="4"/>
  <c r="O5" i="4"/>
  <c r="P5" i="4"/>
  <c r="O6" i="4"/>
  <c r="P6" i="4"/>
  <c r="O7" i="4"/>
  <c r="P7" i="4"/>
  <c r="O8" i="4"/>
  <c r="P8" i="4"/>
  <c r="O9" i="4"/>
  <c r="P9" i="4"/>
  <c r="O10" i="4"/>
  <c r="P10" i="4"/>
  <c r="O11" i="4"/>
  <c r="P11" i="4"/>
  <c r="O12" i="4"/>
  <c r="P12" i="4"/>
  <c r="O13" i="4"/>
  <c r="P13" i="4"/>
  <c r="O14" i="4"/>
  <c r="P14" i="4"/>
  <c r="O15" i="4"/>
  <c r="P15" i="4"/>
  <c r="O16" i="4"/>
  <c r="P16" i="4"/>
  <c r="O17" i="4"/>
  <c r="P17" i="4"/>
  <c r="O18" i="4"/>
  <c r="P18" i="4"/>
  <c r="O19" i="4"/>
  <c r="P19" i="4"/>
  <c r="O20" i="4"/>
  <c r="P20" i="4"/>
  <c r="O21" i="4"/>
  <c r="P21" i="4"/>
  <c r="O22" i="4"/>
  <c r="P22" i="4"/>
  <c r="O23" i="4"/>
  <c r="P23" i="4"/>
  <c r="O24" i="4"/>
  <c r="P24" i="4"/>
  <c r="O25" i="4"/>
  <c r="P25" i="4"/>
  <c r="O26" i="4"/>
  <c r="P26" i="4"/>
  <c r="O27" i="4"/>
  <c r="P27" i="4"/>
  <c r="O28" i="4"/>
  <c r="P28" i="4"/>
  <c r="O29" i="4"/>
  <c r="P29" i="4"/>
  <c r="O30" i="4"/>
  <c r="P30" i="4"/>
  <c r="O31" i="4"/>
  <c r="P31" i="4"/>
  <c r="O32" i="4"/>
  <c r="P32" i="4"/>
  <c r="O33" i="4"/>
  <c r="P33" i="4"/>
  <c r="O34" i="4"/>
  <c r="P34" i="4"/>
  <c r="O35" i="4"/>
  <c r="P35" i="4"/>
  <c r="O36" i="4"/>
  <c r="P36" i="4"/>
  <c r="O37" i="4"/>
  <c r="P37" i="4"/>
  <c r="O38" i="4"/>
  <c r="P38" i="4"/>
  <c r="O39" i="4"/>
  <c r="P39" i="4"/>
  <c r="O40" i="4"/>
  <c r="P40" i="4"/>
  <c r="O41" i="4"/>
  <c r="P41" i="4"/>
  <c r="O42" i="4"/>
  <c r="P42" i="4"/>
  <c r="O43" i="4"/>
  <c r="P43" i="4"/>
  <c r="O44" i="4"/>
  <c r="P44" i="4"/>
  <c r="O45" i="4"/>
  <c r="P45" i="4"/>
  <c r="O46" i="4"/>
  <c r="P46" i="4"/>
  <c r="O47" i="4"/>
  <c r="P47" i="4"/>
  <c r="O48" i="4"/>
  <c r="P48" i="4"/>
  <c r="O49" i="4"/>
  <c r="P49" i="4"/>
  <c r="O50" i="4"/>
  <c r="P50" i="4"/>
  <c r="O51" i="4"/>
  <c r="P51" i="4"/>
  <c r="O52" i="4"/>
  <c r="P52" i="4"/>
  <c r="O53" i="4"/>
  <c r="P53" i="4"/>
  <c r="O54" i="4"/>
  <c r="P54" i="4"/>
  <c r="O55" i="4"/>
  <c r="P55" i="4"/>
  <c r="O56" i="4"/>
  <c r="P56" i="4"/>
  <c r="O57" i="4"/>
  <c r="P57" i="4"/>
  <c r="O58" i="4"/>
  <c r="P58" i="4"/>
  <c r="O59" i="4"/>
  <c r="P59" i="4"/>
  <c r="O60" i="4"/>
  <c r="P60" i="4"/>
  <c r="O61" i="4"/>
  <c r="P61" i="4"/>
  <c r="O62" i="4"/>
  <c r="P62" i="4"/>
  <c r="O63" i="4"/>
  <c r="P63" i="4"/>
  <c r="O64" i="4"/>
  <c r="P64" i="4"/>
  <c r="O65" i="4"/>
  <c r="P65" i="4"/>
  <c r="R230" i="3"/>
  <c r="Q230" i="3"/>
  <c r="S230" i="3" s="1"/>
  <c r="R152" i="3"/>
  <c r="Q152" i="3"/>
  <c r="S152" i="3" s="1"/>
  <c r="R155" i="3"/>
  <c r="Q155" i="3"/>
  <c r="S155" i="3" s="1"/>
  <c r="R168" i="3"/>
  <c r="Q168" i="3"/>
  <c r="S168" i="3" s="1"/>
  <c r="R377" i="3"/>
  <c r="Q377" i="3"/>
  <c r="S377" i="3" s="1"/>
  <c r="R50" i="3"/>
  <c r="Q50" i="3"/>
  <c r="S50" i="3" s="1"/>
  <c r="R111" i="3"/>
  <c r="Q111" i="3"/>
  <c r="S111" i="3" s="1"/>
  <c r="R537" i="3"/>
  <c r="Q537" i="3"/>
  <c r="S537" i="3" s="1"/>
  <c r="R249" i="3"/>
  <c r="Q249" i="3"/>
  <c r="S249" i="3" s="1"/>
  <c r="R511" i="3"/>
  <c r="Q511" i="3"/>
  <c r="S511" i="3" s="1"/>
  <c r="R166" i="3"/>
  <c r="Q166" i="3"/>
  <c r="S166" i="3" s="1"/>
  <c r="R151" i="3"/>
  <c r="Q151" i="3"/>
  <c r="S151" i="3" s="1"/>
  <c r="R146" i="3"/>
  <c r="Q146" i="3"/>
  <c r="S146" i="3" s="1"/>
  <c r="R149" i="3"/>
  <c r="Q149" i="3"/>
  <c r="S149" i="3" s="1"/>
  <c r="R193" i="3"/>
  <c r="Q193" i="3"/>
  <c r="S193" i="3" s="1"/>
  <c r="R28" i="3"/>
  <c r="Q28" i="3"/>
  <c r="S28" i="3" s="1"/>
  <c r="R60" i="3"/>
  <c r="Q60" i="3"/>
  <c r="S60" i="3" s="1"/>
  <c r="R88" i="3"/>
  <c r="Q88" i="3"/>
  <c r="S88" i="3" s="1"/>
  <c r="R184" i="3"/>
  <c r="Q184" i="3"/>
  <c r="S184" i="3" s="1"/>
  <c r="R287" i="3"/>
  <c r="Q287" i="3"/>
  <c r="S287" i="3" s="1"/>
  <c r="R388" i="3"/>
  <c r="Q388" i="3"/>
  <c r="S388" i="3" s="1"/>
  <c r="R391" i="3"/>
  <c r="Q391" i="3"/>
  <c r="S391" i="3" s="1"/>
  <c r="R411" i="3"/>
  <c r="Q411" i="3"/>
  <c r="S411" i="3" s="1"/>
  <c r="R517" i="3"/>
  <c r="Q517" i="3"/>
  <c r="S517" i="3" s="1"/>
  <c r="R598" i="3"/>
  <c r="Q598" i="3"/>
  <c r="S598" i="3" s="1"/>
  <c r="R624" i="3"/>
  <c r="Q624" i="3"/>
  <c r="S624" i="3" s="1"/>
  <c r="R677" i="3"/>
  <c r="Q677" i="3"/>
  <c r="S677" i="3" s="1"/>
  <c r="R90" i="3"/>
  <c r="Q90" i="3"/>
  <c r="S90" i="3" s="1"/>
  <c r="R97" i="3"/>
  <c r="Q97" i="3"/>
  <c r="S97" i="3" s="1"/>
  <c r="R468" i="3"/>
  <c r="Q468" i="3"/>
  <c r="S468" i="3" s="1"/>
  <c r="R499" i="3"/>
  <c r="Q499" i="3"/>
  <c r="S499" i="3" s="1"/>
  <c r="R516" i="3"/>
  <c r="Q516" i="3"/>
  <c r="S516" i="3" s="1"/>
  <c r="R583" i="3"/>
  <c r="Q583" i="3"/>
  <c r="S583" i="3" s="1"/>
  <c r="R643" i="3"/>
  <c r="Q643" i="3"/>
  <c r="S643" i="3" s="1"/>
  <c r="R27" i="3"/>
  <c r="Q27" i="3"/>
  <c r="S27" i="3" s="1"/>
  <c r="R621" i="3"/>
  <c r="Q621" i="3"/>
  <c r="S621" i="3" s="1"/>
  <c r="R640" i="3"/>
  <c r="Q640" i="3"/>
  <c r="S640" i="3" s="1"/>
  <c r="R665" i="3"/>
  <c r="Q665" i="3"/>
  <c r="S665" i="3" s="1"/>
  <c r="R315" i="3"/>
  <c r="Q315" i="3"/>
  <c r="S315" i="3" s="1"/>
  <c r="R352" i="3"/>
  <c r="Q352" i="3"/>
  <c r="S352" i="3" s="1"/>
  <c r="R436" i="3"/>
  <c r="Q436" i="3"/>
  <c r="S436" i="3" s="1"/>
  <c r="R61" i="3"/>
  <c r="Q61" i="3"/>
  <c r="S61" i="3" s="1"/>
  <c r="R340" i="3"/>
  <c r="Q340" i="3"/>
  <c r="S340" i="3" s="1"/>
  <c r="R458" i="3"/>
  <c r="Q458" i="3"/>
  <c r="S458" i="3" s="1"/>
  <c r="R489" i="3"/>
  <c r="Q489" i="3"/>
  <c r="S489" i="3" s="1"/>
  <c r="R545" i="3"/>
  <c r="Q545" i="3"/>
  <c r="S545" i="3" s="1"/>
  <c r="R563" i="3"/>
  <c r="Q563" i="3"/>
  <c r="S563" i="3" s="1"/>
  <c r="R241" i="3"/>
  <c r="Q241" i="3"/>
  <c r="S241" i="3" s="1"/>
  <c r="R627" i="3"/>
  <c r="Q627" i="3"/>
  <c r="S627" i="3" s="1"/>
  <c r="R7" i="3"/>
  <c r="Q7" i="3"/>
  <c r="S7" i="3" s="1"/>
  <c r="R464" i="3"/>
  <c r="Q464" i="3"/>
  <c r="S464" i="3" s="1"/>
  <c r="R373" i="3"/>
  <c r="Q373" i="3"/>
  <c r="S373" i="3" s="1"/>
  <c r="R141" i="3"/>
  <c r="Q141" i="3"/>
  <c r="S141" i="3" s="1"/>
  <c r="R9" i="3"/>
  <c r="Q9" i="3"/>
  <c r="S9" i="3" s="1"/>
  <c r="R69" i="3"/>
  <c r="Q69" i="3"/>
  <c r="S69" i="3" s="1"/>
  <c r="R364" i="3"/>
  <c r="Q364" i="3"/>
  <c r="S364" i="3" s="1"/>
  <c r="R508" i="3"/>
  <c r="Q508" i="3"/>
  <c r="S508" i="3" s="1"/>
  <c r="R512" i="3"/>
  <c r="Q512" i="3"/>
  <c r="S512" i="3" s="1"/>
  <c r="R577" i="3"/>
  <c r="Q577" i="3"/>
  <c r="S577" i="3" s="1"/>
  <c r="R187" i="3"/>
  <c r="Q187" i="3"/>
  <c r="S187" i="3" s="1"/>
  <c r="R209" i="3"/>
  <c r="Q209" i="3"/>
  <c r="S209" i="3" s="1"/>
  <c r="R238" i="3"/>
  <c r="Q238" i="3"/>
  <c r="S238" i="3" s="1"/>
  <c r="R301" i="3"/>
  <c r="Q301" i="3"/>
  <c r="S301" i="3" s="1"/>
  <c r="R553" i="3"/>
  <c r="Q553" i="3"/>
  <c r="S553" i="3" s="1"/>
  <c r="R17" i="3"/>
  <c r="Q17" i="3"/>
  <c r="S17" i="3" s="1"/>
  <c r="R303" i="3"/>
  <c r="Q303" i="3"/>
  <c r="S303" i="3" s="1"/>
  <c r="R357" i="3"/>
  <c r="Q357" i="3"/>
  <c r="S357" i="3" s="1"/>
  <c r="R439" i="3"/>
  <c r="Q439" i="3"/>
  <c r="S439" i="3" s="1"/>
  <c r="R89" i="3"/>
  <c r="Q89" i="3"/>
  <c r="S89" i="3" s="1"/>
  <c r="R100" i="3"/>
  <c r="Q100" i="3"/>
  <c r="S100" i="3" s="1"/>
  <c r="R181" i="3"/>
  <c r="Q181" i="3"/>
  <c r="S181" i="3" s="1"/>
  <c r="R401" i="3"/>
  <c r="Q401" i="3"/>
  <c r="S401" i="3" s="1"/>
  <c r="R423" i="3"/>
  <c r="Q423" i="3"/>
  <c r="S423" i="3" s="1"/>
  <c r="R495" i="3"/>
  <c r="Q495" i="3"/>
  <c r="S495" i="3" s="1"/>
  <c r="R509" i="3"/>
  <c r="Q509" i="3"/>
  <c r="S509" i="3" s="1"/>
  <c r="R581" i="3"/>
  <c r="Q581" i="3"/>
  <c r="S581" i="3" s="1"/>
  <c r="R655" i="3"/>
  <c r="Q655" i="3"/>
  <c r="S655" i="3" s="1"/>
  <c r="R210" i="3"/>
  <c r="Q210" i="3"/>
  <c r="S210" i="3" s="1"/>
  <c r="R240" i="3"/>
  <c r="Q240" i="3"/>
  <c r="S240" i="3" s="1"/>
  <c r="R251" i="3"/>
  <c r="Q251" i="3"/>
  <c r="S251" i="3" s="1"/>
  <c r="R309" i="3"/>
  <c r="Q309" i="3"/>
  <c r="S309" i="3" s="1"/>
  <c r="R353" i="3"/>
  <c r="Q353" i="3"/>
  <c r="S353" i="3" s="1"/>
  <c r="R355" i="3"/>
  <c r="Q355" i="3"/>
  <c r="S355" i="3" s="1"/>
  <c r="R514" i="3"/>
  <c r="Q514" i="3"/>
  <c r="S514" i="3" s="1"/>
  <c r="R523" i="3"/>
  <c r="Q523" i="3"/>
  <c r="S523" i="3" s="1"/>
  <c r="R656" i="3"/>
  <c r="Q656" i="3"/>
  <c r="S656" i="3" s="1"/>
  <c r="R272" i="3"/>
  <c r="Q272" i="3"/>
  <c r="S272" i="3" s="1"/>
  <c r="R310" i="3"/>
  <c r="Q310" i="3"/>
  <c r="S310" i="3" s="1"/>
  <c r="R318" i="3"/>
  <c r="Q318" i="3"/>
  <c r="S318" i="3" s="1"/>
  <c r="R345" i="3"/>
  <c r="Q345" i="3"/>
  <c r="S345" i="3" s="1"/>
  <c r="R347" i="3"/>
  <c r="Q347" i="3"/>
  <c r="S347" i="3" s="1"/>
  <c r="R354" i="3"/>
  <c r="Q354" i="3"/>
  <c r="S354" i="3" s="1"/>
  <c r="R375" i="3"/>
  <c r="Q375" i="3"/>
  <c r="S375" i="3" s="1"/>
  <c r="R433" i="3"/>
  <c r="Q433" i="3"/>
  <c r="S433" i="3" s="1"/>
  <c r="R445" i="3"/>
  <c r="Q445" i="3"/>
  <c r="S445" i="3" s="1"/>
  <c r="R542" i="3"/>
  <c r="Q542" i="3"/>
  <c r="S542" i="3" s="1"/>
  <c r="R402" i="3"/>
  <c r="Q402" i="3"/>
  <c r="S402" i="3" s="1"/>
  <c r="R452" i="3"/>
  <c r="Q452" i="3"/>
  <c r="S452" i="3" s="1"/>
  <c r="R552" i="3"/>
  <c r="Q552" i="3"/>
  <c r="S552" i="3" s="1"/>
  <c r="R566" i="3"/>
  <c r="Q566" i="3"/>
  <c r="S566" i="3" s="1"/>
  <c r="R86" i="3"/>
  <c r="Q86" i="3"/>
  <c r="S86" i="3" s="1"/>
  <c r="R104" i="3"/>
  <c r="Q104" i="3"/>
  <c r="S104" i="3" s="1"/>
  <c r="R163" i="3"/>
  <c r="Q163" i="3"/>
  <c r="S163" i="3" s="1"/>
  <c r="R337" i="3"/>
  <c r="Q337" i="3"/>
  <c r="S337" i="3" s="1"/>
  <c r="R341" i="3"/>
  <c r="Q341" i="3"/>
  <c r="S341" i="3" s="1"/>
  <c r="R426" i="3"/>
  <c r="Q426" i="3"/>
  <c r="S426" i="3" s="1"/>
  <c r="S605" i="3"/>
  <c r="R605" i="3"/>
  <c r="Q605" i="3"/>
  <c r="R674" i="3"/>
  <c r="Q674" i="3"/>
  <c r="S674" i="3" s="1"/>
  <c r="R130" i="3"/>
  <c r="Q130" i="3"/>
  <c r="S130" i="3" s="1"/>
  <c r="R308" i="3"/>
  <c r="Q308" i="3"/>
  <c r="S308" i="3" s="1"/>
  <c r="R350" i="3"/>
  <c r="Q350" i="3"/>
  <c r="S350" i="3" s="1"/>
  <c r="R450" i="3"/>
  <c r="Q450" i="3"/>
  <c r="S450" i="3" s="1"/>
  <c r="R626" i="3"/>
  <c r="Q626" i="3"/>
  <c r="S626" i="3" s="1"/>
  <c r="R65" i="3"/>
  <c r="Q65" i="3"/>
  <c r="S65" i="3" s="1"/>
  <c r="R243" i="3"/>
  <c r="Q243" i="3"/>
  <c r="S243" i="3" s="1"/>
  <c r="R244" i="3"/>
  <c r="Q244" i="3"/>
  <c r="S244" i="3" s="1"/>
  <c r="R349" i="3"/>
  <c r="Q349" i="3"/>
  <c r="S349" i="3" s="1"/>
  <c r="R424" i="3"/>
  <c r="Q424" i="3"/>
  <c r="S424" i="3" s="1"/>
  <c r="R630" i="3"/>
  <c r="Q630" i="3"/>
  <c r="S630" i="3" s="1"/>
  <c r="R645" i="3"/>
  <c r="Q645" i="3"/>
  <c r="S645" i="3" s="1"/>
  <c r="R427" i="3"/>
  <c r="Q427" i="3"/>
  <c r="S427" i="3" s="1"/>
  <c r="R289" i="3"/>
  <c r="Q289" i="3"/>
  <c r="S289" i="3" s="1"/>
  <c r="R194" i="3"/>
  <c r="Q194" i="3"/>
  <c r="S194" i="3" s="1"/>
  <c r="R505" i="3"/>
  <c r="Q505" i="3"/>
  <c r="S505" i="3" s="1"/>
  <c r="R53" i="3"/>
  <c r="Q53" i="3"/>
  <c r="S53" i="3" s="1"/>
  <c r="R281" i="3"/>
  <c r="Q281" i="3"/>
  <c r="S281" i="3" s="1"/>
  <c r="R447" i="3"/>
  <c r="Q447" i="3"/>
  <c r="S447" i="3" s="1"/>
  <c r="R397" i="3"/>
  <c r="Q397" i="3"/>
  <c r="S397" i="3" s="1"/>
  <c r="R524" i="3"/>
  <c r="Q524" i="3"/>
  <c r="S524" i="3" s="1"/>
  <c r="R260" i="3"/>
  <c r="Q260" i="3"/>
  <c r="S260" i="3" s="1"/>
  <c r="R669" i="3"/>
  <c r="Q669" i="3"/>
  <c r="S669" i="3" s="1"/>
  <c r="R376" i="3"/>
  <c r="Q376" i="3"/>
  <c r="S376" i="3" s="1"/>
  <c r="R623" i="3"/>
  <c r="Q623" i="3"/>
  <c r="S623" i="3" s="1"/>
  <c r="R190" i="3"/>
  <c r="Q190" i="3"/>
  <c r="S190" i="3" s="1"/>
  <c r="R305" i="3"/>
  <c r="Q305" i="3"/>
  <c r="S305" i="3" s="1"/>
  <c r="R359" i="3"/>
  <c r="Q359" i="3"/>
  <c r="S359" i="3" s="1"/>
  <c r="R565" i="3"/>
  <c r="Q565" i="3"/>
  <c r="S565" i="3" s="1"/>
  <c r="R286" i="3"/>
  <c r="Q286" i="3"/>
  <c r="S286" i="3" s="1"/>
  <c r="R420" i="3"/>
  <c r="Q420" i="3"/>
  <c r="S420" i="3" s="1"/>
  <c r="R220" i="3"/>
  <c r="Q220" i="3"/>
  <c r="S220" i="3" s="1"/>
  <c r="R544" i="3"/>
  <c r="Q544" i="3"/>
  <c r="S544" i="3" s="1"/>
  <c r="R609" i="3"/>
  <c r="Q609" i="3"/>
  <c r="S609" i="3" s="1"/>
  <c r="R453" i="3"/>
  <c r="Q453" i="3"/>
  <c r="S453" i="3" s="1"/>
  <c r="R132" i="3"/>
  <c r="Q132" i="3"/>
  <c r="S132" i="3" s="1"/>
  <c r="R599" i="3"/>
  <c r="Q599" i="3"/>
  <c r="S599" i="3" s="1"/>
  <c r="R18" i="3"/>
  <c r="Q18" i="3"/>
  <c r="S18" i="3" s="1"/>
  <c r="R653" i="3"/>
  <c r="Q653" i="3"/>
  <c r="S653" i="3" s="1"/>
  <c r="R346" i="3"/>
  <c r="Q346" i="3"/>
  <c r="S346" i="3" s="1"/>
  <c r="R538" i="3"/>
  <c r="Q538" i="3"/>
  <c r="S538" i="3" s="1"/>
  <c r="R454" i="3"/>
  <c r="Q454" i="3"/>
  <c r="S454" i="3" s="1"/>
  <c r="R418" i="3"/>
  <c r="Q418" i="3"/>
  <c r="S418" i="3" s="1"/>
  <c r="R564" i="3"/>
  <c r="Q564" i="3"/>
  <c r="S564" i="3" s="1"/>
  <c r="R268" i="3"/>
  <c r="Q268" i="3"/>
  <c r="S268" i="3" s="1"/>
  <c r="R556" i="3"/>
  <c r="Q556" i="3"/>
  <c r="S556" i="3" s="1"/>
  <c r="R652" i="3"/>
  <c r="Q652" i="3"/>
  <c r="S652" i="3" s="1"/>
  <c r="R348" i="3"/>
  <c r="Q348" i="3"/>
  <c r="S348" i="3" s="1"/>
  <c r="R384" i="3"/>
  <c r="Q384" i="3"/>
  <c r="S384" i="3" s="1"/>
  <c r="R446" i="3"/>
  <c r="Q446" i="3"/>
  <c r="S446" i="3" s="1"/>
  <c r="R29" i="3"/>
  <c r="Q29" i="3"/>
  <c r="S29" i="3" s="1"/>
  <c r="R654" i="3"/>
  <c r="Q654" i="3"/>
  <c r="S654" i="3" s="1"/>
  <c r="R136" i="3"/>
  <c r="Q136" i="3"/>
  <c r="S136" i="3" s="1"/>
  <c r="R186" i="3"/>
  <c r="Q186" i="3"/>
  <c r="S186" i="3" s="1"/>
  <c r="R555" i="3"/>
  <c r="Q555" i="3"/>
  <c r="S555" i="3" s="1"/>
  <c r="R629" i="3"/>
  <c r="Q629" i="3"/>
  <c r="S629" i="3" s="1"/>
  <c r="R528" i="3"/>
  <c r="Q528" i="3"/>
  <c r="S528" i="3" s="1"/>
  <c r="R607" i="3"/>
  <c r="Q607" i="3"/>
  <c r="S607" i="3" s="1"/>
  <c r="R300" i="3"/>
  <c r="Q300" i="3"/>
  <c r="S300" i="3" s="1"/>
  <c r="R15" i="3"/>
  <c r="Q15" i="3"/>
  <c r="S15" i="3" s="1"/>
  <c r="R585" i="3"/>
  <c r="Q585" i="3"/>
  <c r="S585" i="3" s="1"/>
  <c r="R253" i="3"/>
  <c r="Q253" i="3"/>
  <c r="S253" i="3" s="1"/>
  <c r="R361" i="3"/>
  <c r="Q361" i="3"/>
  <c r="S361" i="3" s="1"/>
  <c r="R312" i="3"/>
  <c r="Q312" i="3"/>
  <c r="S312" i="3" s="1"/>
  <c r="R400" i="3"/>
  <c r="Q400" i="3"/>
  <c r="S400" i="3" s="1"/>
  <c r="R641" i="3"/>
  <c r="Q641" i="3"/>
  <c r="S641" i="3" s="1"/>
  <c r="R636" i="3"/>
  <c r="Q636" i="3"/>
  <c r="S636" i="3" s="1"/>
  <c r="R358" i="3"/>
  <c r="Q358" i="3"/>
  <c r="S358" i="3" s="1"/>
  <c r="R473" i="3"/>
  <c r="Q473" i="3"/>
  <c r="S473" i="3" s="1"/>
  <c r="R539" i="3"/>
  <c r="Q539" i="3"/>
  <c r="S539" i="3" s="1"/>
  <c r="R91" i="3"/>
  <c r="Q91" i="3"/>
  <c r="S91" i="3" s="1"/>
  <c r="R543" i="3"/>
  <c r="Q543" i="3"/>
  <c r="S543" i="3" s="1"/>
  <c r="R16" i="3"/>
  <c r="Q16" i="3"/>
  <c r="S16" i="3" s="1"/>
  <c r="R319" i="3"/>
  <c r="Q319" i="3"/>
  <c r="S319" i="3" s="1"/>
  <c r="R81" i="3"/>
  <c r="Q81" i="3"/>
  <c r="S81" i="3" s="1"/>
  <c r="R138" i="3"/>
  <c r="Q138" i="3"/>
  <c r="S138" i="3" s="1"/>
  <c r="R204" i="3"/>
  <c r="Q204" i="3"/>
  <c r="S204" i="3" s="1"/>
  <c r="R329" i="3"/>
  <c r="Q329" i="3"/>
  <c r="S329" i="3" s="1"/>
  <c r="R205" i="3"/>
  <c r="Q205" i="3"/>
  <c r="S205" i="3" s="1"/>
  <c r="R95" i="3"/>
  <c r="Q95" i="3"/>
  <c r="S95" i="3" s="1"/>
  <c r="R296" i="3"/>
  <c r="Q296" i="3"/>
  <c r="S296" i="3" s="1"/>
  <c r="R431" i="3"/>
  <c r="Q431" i="3"/>
  <c r="S431" i="3" s="1"/>
  <c r="R293" i="3"/>
  <c r="Q293" i="3"/>
  <c r="S293" i="3" s="1"/>
  <c r="R647" i="3"/>
  <c r="Q647" i="3"/>
  <c r="S647" i="3" s="1"/>
  <c r="R465" i="3"/>
  <c r="Q465" i="3"/>
  <c r="S465" i="3" s="1"/>
  <c r="R476" i="3"/>
  <c r="Q476" i="3"/>
  <c r="S476" i="3" s="1"/>
  <c r="R371" i="3"/>
  <c r="Q371" i="3"/>
  <c r="S371" i="3" s="1"/>
  <c r="R661" i="3"/>
  <c r="Q661" i="3"/>
  <c r="S661" i="3" s="1"/>
  <c r="R578" i="3"/>
  <c r="Q578" i="3"/>
  <c r="S578" i="3" s="1"/>
  <c r="R593" i="3"/>
  <c r="Q593" i="3"/>
  <c r="S593" i="3" s="1"/>
  <c r="R474" i="3"/>
  <c r="Q474" i="3"/>
  <c r="S474" i="3" s="1"/>
  <c r="R588" i="3"/>
  <c r="Q588" i="3"/>
  <c r="S588" i="3" s="1"/>
  <c r="R14" i="3"/>
  <c r="Q14" i="3"/>
  <c r="S14" i="3" s="1"/>
  <c r="R419" i="3"/>
  <c r="Q419" i="3"/>
  <c r="S419" i="3" s="1"/>
  <c r="R428" i="3"/>
  <c r="Q428" i="3"/>
  <c r="S428" i="3" s="1"/>
  <c r="R596" i="3"/>
  <c r="Q596" i="3"/>
  <c r="S596" i="3" s="1"/>
  <c r="R632" i="3"/>
  <c r="Q632" i="3"/>
  <c r="S632" i="3" s="1"/>
  <c r="R269" i="3"/>
  <c r="Q269" i="3"/>
  <c r="S269" i="3" s="1"/>
  <c r="R646" i="3"/>
  <c r="Q646" i="3"/>
  <c r="S646" i="3" s="1"/>
  <c r="R25" i="3"/>
  <c r="Q25" i="3"/>
  <c r="S25" i="3" s="1"/>
  <c r="R398" i="3"/>
  <c r="Q398" i="3"/>
  <c r="S398" i="3" s="1"/>
  <c r="R437" i="3"/>
  <c r="Q437" i="3"/>
  <c r="S437" i="3" s="1"/>
  <c r="R444" i="3"/>
  <c r="Q444" i="3"/>
  <c r="S444" i="3" s="1"/>
  <c r="R631" i="3"/>
  <c r="Q631" i="3"/>
  <c r="S631" i="3" s="1"/>
  <c r="R644" i="3"/>
  <c r="Q644" i="3"/>
  <c r="S644" i="3" s="1"/>
  <c r="R658" i="3"/>
  <c r="Q658" i="3"/>
  <c r="S658" i="3" s="1"/>
  <c r="R660" i="3"/>
  <c r="Q660" i="3"/>
  <c r="S660" i="3" s="1"/>
  <c r="R150" i="3"/>
  <c r="Q150" i="3"/>
  <c r="S150" i="3" s="1"/>
  <c r="R99" i="3"/>
  <c r="Q99" i="3"/>
  <c r="S99" i="3" s="1"/>
  <c r="R381" i="3"/>
  <c r="Q381" i="3"/>
  <c r="S381" i="3" s="1"/>
  <c r="R389" i="3"/>
  <c r="Q389" i="3"/>
  <c r="S389" i="3" s="1"/>
  <c r="R451" i="3"/>
  <c r="Q451" i="3"/>
  <c r="S451" i="3" s="1"/>
  <c r="R223" i="3"/>
  <c r="Q223" i="3"/>
  <c r="S223" i="3" s="1"/>
  <c r="R434" i="3"/>
  <c r="Q434" i="3"/>
  <c r="S434" i="3" s="1"/>
  <c r="R455" i="3"/>
  <c r="Q455" i="3"/>
  <c r="S455" i="3" s="1"/>
  <c r="R521" i="3"/>
  <c r="Q521" i="3"/>
  <c r="S521" i="3" s="1"/>
  <c r="R575" i="3"/>
  <c r="Q575" i="3"/>
  <c r="S575" i="3" s="1"/>
  <c r="R589" i="3"/>
  <c r="Q589" i="3"/>
  <c r="S589" i="3" s="1"/>
  <c r="R659" i="3"/>
  <c r="Q659" i="3"/>
  <c r="S659" i="3" s="1"/>
  <c r="R470" i="3"/>
  <c r="Q470" i="3"/>
  <c r="S470" i="3" s="1"/>
  <c r="R582" i="3"/>
  <c r="Q582" i="3"/>
  <c r="S582" i="3" s="1"/>
  <c r="R234" i="3"/>
  <c r="Q234" i="3"/>
  <c r="S234" i="3" s="1"/>
  <c r="R288" i="3"/>
  <c r="Q288" i="3"/>
  <c r="S288" i="3" s="1"/>
  <c r="R311" i="3"/>
  <c r="Q311" i="3"/>
  <c r="S311" i="3" s="1"/>
  <c r="R594" i="3"/>
  <c r="Q594" i="3"/>
  <c r="S594" i="3" s="1"/>
  <c r="R449" i="3"/>
  <c r="Q449" i="3"/>
  <c r="S449" i="3" s="1"/>
  <c r="R460" i="3"/>
  <c r="Q460" i="3"/>
  <c r="S460" i="3" s="1"/>
  <c r="R165" i="3"/>
  <c r="Q165" i="3"/>
  <c r="S165" i="3" s="1"/>
  <c r="R58" i="3"/>
  <c r="Q58" i="3"/>
  <c r="S58" i="3" s="1"/>
  <c r="R217" i="3"/>
  <c r="Q217" i="3"/>
  <c r="S217" i="3" s="1"/>
  <c r="R222" i="3"/>
  <c r="Q222" i="3"/>
  <c r="S222" i="3" s="1"/>
  <c r="R226" i="3"/>
  <c r="Q226" i="3"/>
  <c r="S226" i="3" s="1"/>
  <c r="R461" i="3"/>
  <c r="Q461" i="3"/>
  <c r="S461" i="3" s="1"/>
  <c r="R482" i="3"/>
  <c r="Q482" i="3"/>
  <c r="S482" i="3" s="1"/>
  <c r="R498" i="3"/>
  <c r="Q498" i="3"/>
  <c r="S498" i="3" s="1"/>
  <c r="R569" i="3"/>
  <c r="Q569" i="3"/>
  <c r="S569" i="3" s="1"/>
  <c r="R592" i="3"/>
  <c r="Q592" i="3"/>
  <c r="S592" i="3" s="1"/>
  <c r="R46" i="3"/>
  <c r="Q46" i="3"/>
  <c r="S46" i="3" s="1"/>
  <c r="R294" i="3"/>
  <c r="Q294" i="3"/>
  <c r="S294" i="3" s="1"/>
  <c r="R304" i="3"/>
  <c r="Q304" i="3"/>
  <c r="S304" i="3" s="1"/>
  <c r="R356" i="3"/>
  <c r="Q356" i="3"/>
  <c r="S356" i="3" s="1"/>
  <c r="R372" i="3"/>
  <c r="Q372" i="3"/>
  <c r="S372" i="3" s="1"/>
  <c r="R550" i="3"/>
  <c r="Q550" i="3"/>
  <c r="S550" i="3" s="1"/>
  <c r="R549" i="3"/>
  <c r="Q549" i="3"/>
  <c r="S549" i="3" s="1"/>
  <c r="R642" i="3"/>
  <c r="Q642" i="3"/>
  <c r="S642" i="3" s="1"/>
  <c r="R59" i="3"/>
  <c r="Q59" i="3"/>
  <c r="S59" i="3" s="1"/>
  <c r="R291" i="3"/>
  <c r="Q291" i="3"/>
  <c r="S291" i="3" s="1"/>
  <c r="R299" i="3"/>
  <c r="Q299" i="3"/>
  <c r="S299" i="3" s="1"/>
  <c r="R399" i="3"/>
  <c r="Q399" i="3"/>
  <c r="S399" i="3" s="1"/>
  <c r="R417" i="3"/>
  <c r="Q417" i="3"/>
  <c r="S417" i="3" s="1"/>
  <c r="R532" i="3"/>
  <c r="Q532" i="3"/>
  <c r="S532" i="3" s="1"/>
  <c r="R561" i="3"/>
  <c r="Q561" i="3"/>
  <c r="S561" i="3" s="1"/>
  <c r="R617" i="3"/>
  <c r="Q617" i="3"/>
  <c r="S617" i="3" s="1"/>
  <c r="R619" i="3"/>
  <c r="Q619" i="3"/>
  <c r="S619" i="3" s="1"/>
  <c r="R3" i="3"/>
  <c r="Q3" i="3"/>
  <c r="S3" i="3" s="1"/>
  <c r="R245" i="3"/>
  <c r="Q245" i="3"/>
  <c r="S245" i="3" s="1"/>
  <c r="R435" i="3"/>
  <c r="Q435" i="3"/>
  <c r="S435" i="3" s="1"/>
  <c r="R667" i="3"/>
  <c r="Q667" i="3"/>
  <c r="S667" i="3" s="1"/>
  <c r="R177" i="3"/>
  <c r="Q177" i="3"/>
  <c r="S177" i="3" s="1"/>
  <c r="R332" i="3"/>
  <c r="Q332" i="3"/>
  <c r="S332" i="3" s="1"/>
  <c r="R429" i="3"/>
  <c r="Q429" i="3"/>
  <c r="S429" i="3" s="1"/>
  <c r="R638" i="3"/>
  <c r="Q638" i="3"/>
  <c r="S638" i="3" s="1"/>
  <c r="R170" i="3"/>
  <c r="Q170" i="3"/>
  <c r="S170" i="3" s="1"/>
  <c r="R196" i="3"/>
  <c r="Q196" i="3"/>
  <c r="S196" i="3" s="1"/>
  <c r="R218" i="3"/>
  <c r="Q218" i="3"/>
  <c r="S218" i="3" s="1"/>
  <c r="R313" i="3"/>
  <c r="Q313" i="3"/>
  <c r="S313" i="3" s="1"/>
  <c r="R370" i="3"/>
  <c r="Q370" i="3"/>
  <c r="S370" i="3" s="1"/>
  <c r="R432" i="3"/>
  <c r="Q432" i="3"/>
  <c r="S432" i="3" s="1"/>
  <c r="R527" i="3"/>
  <c r="Q527" i="3"/>
  <c r="S527" i="3" s="1"/>
  <c r="R540" i="3"/>
  <c r="Q540" i="3"/>
  <c r="S540" i="3" s="1"/>
  <c r="R560" i="3"/>
  <c r="Q560" i="3"/>
  <c r="S560" i="3" s="1"/>
  <c r="R586" i="3"/>
  <c r="Q586" i="3"/>
  <c r="S586" i="3" s="1"/>
  <c r="R603" i="3"/>
  <c r="Q603" i="3"/>
  <c r="S603" i="3" s="1"/>
  <c r="R671" i="3"/>
  <c r="Q671" i="3"/>
  <c r="S671" i="3" s="1"/>
  <c r="R261" i="3"/>
  <c r="Q261" i="3"/>
  <c r="S261" i="3" s="1"/>
  <c r="R367" i="3"/>
  <c r="Q367" i="3"/>
  <c r="S367" i="3" s="1"/>
  <c r="R383" i="3"/>
  <c r="Q383" i="3"/>
  <c r="S383" i="3" s="1"/>
  <c r="R526" i="3"/>
  <c r="Q526" i="3"/>
  <c r="S526" i="3" s="1"/>
  <c r="R633" i="3"/>
  <c r="Q633" i="3"/>
  <c r="S633" i="3" s="1"/>
  <c r="R21" i="3"/>
  <c r="Q21" i="3"/>
  <c r="S21" i="3" s="1"/>
  <c r="R62" i="3"/>
  <c r="Q62" i="3"/>
  <c r="S62" i="3" s="1"/>
  <c r="R178" i="3"/>
  <c r="Q178" i="3"/>
  <c r="S178" i="3" s="1"/>
  <c r="R295" i="3"/>
  <c r="Q295" i="3"/>
  <c r="S295" i="3" s="1"/>
  <c r="R307" i="3"/>
  <c r="Q307" i="3"/>
  <c r="S307" i="3" s="1"/>
  <c r="R339" i="3"/>
  <c r="Q339" i="3"/>
  <c r="S339" i="3" s="1"/>
  <c r="R403" i="3"/>
  <c r="Q403" i="3"/>
  <c r="S403" i="3" s="1"/>
  <c r="R410" i="3"/>
  <c r="Q410" i="3"/>
  <c r="S410" i="3" s="1"/>
  <c r="R602" i="3"/>
  <c r="Q602" i="3"/>
  <c r="S602" i="3" s="1"/>
  <c r="R102" i="3"/>
  <c r="Q102" i="3"/>
  <c r="S102" i="3" s="1"/>
  <c r="R103" i="3"/>
  <c r="Q103" i="3"/>
  <c r="S103" i="3" s="1"/>
  <c r="R469" i="3"/>
  <c r="Q469" i="3"/>
  <c r="S469" i="3" s="1"/>
  <c r="R487" i="3"/>
  <c r="Q487" i="3"/>
  <c r="S487" i="3" s="1"/>
  <c r="R639" i="3"/>
  <c r="Q639" i="3"/>
  <c r="S639" i="3" s="1"/>
  <c r="R292" i="3"/>
  <c r="Q292" i="3"/>
  <c r="S292" i="3" s="1"/>
  <c r="R335" i="3"/>
  <c r="Q335" i="3"/>
  <c r="S335" i="3" s="1"/>
  <c r="R466" i="3"/>
  <c r="Q466" i="3"/>
  <c r="S466" i="3" s="1"/>
  <c r="R519" i="3"/>
  <c r="Q519" i="3"/>
  <c r="S519" i="3" s="1"/>
  <c r="R67" i="3"/>
  <c r="Q67" i="3"/>
  <c r="S67" i="3" s="1"/>
  <c r="R131" i="3"/>
  <c r="Q131" i="3"/>
  <c r="S131" i="3" s="1"/>
  <c r="R212" i="3"/>
  <c r="Q212" i="3"/>
  <c r="S212" i="3" s="1"/>
  <c r="R551" i="3"/>
  <c r="Q551" i="3"/>
  <c r="S551" i="3" s="1"/>
  <c r="R233" i="3"/>
  <c r="Q233" i="3"/>
  <c r="S233" i="3" s="1"/>
  <c r="R83" i="3"/>
  <c r="Q83" i="3"/>
  <c r="S83" i="3" s="1"/>
  <c r="R237" i="3"/>
  <c r="Q237" i="3"/>
  <c r="S237" i="3" s="1"/>
  <c r="R120" i="3"/>
  <c r="Q120" i="3"/>
  <c r="S120" i="3" s="1"/>
  <c r="R232" i="3"/>
  <c r="Q232" i="3"/>
  <c r="S232" i="3" s="1"/>
  <c r="R158" i="3"/>
  <c r="Q158" i="3"/>
  <c r="S158" i="3" s="1"/>
  <c r="R76" i="3"/>
  <c r="Q76" i="3"/>
  <c r="S76" i="3" s="1"/>
  <c r="R51" i="3"/>
  <c r="Q51" i="3"/>
  <c r="S51" i="3" s="1"/>
  <c r="R198" i="3"/>
  <c r="Q198" i="3"/>
  <c r="S198" i="3" s="1"/>
  <c r="R229" i="3"/>
  <c r="Q229" i="3"/>
  <c r="S229" i="3" s="1"/>
  <c r="R264" i="3"/>
  <c r="Q264" i="3"/>
  <c r="S264" i="3" s="1"/>
  <c r="R78" i="3"/>
  <c r="Q78" i="3"/>
  <c r="S78" i="3" s="1"/>
  <c r="R325" i="3"/>
  <c r="Q325" i="3"/>
  <c r="S325" i="3" s="1"/>
  <c r="R11" i="3"/>
  <c r="Q11" i="3"/>
  <c r="S11" i="3" s="1"/>
  <c r="R22" i="3"/>
  <c r="Q22" i="3"/>
  <c r="S22" i="3" s="1"/>
  <c r="R30" i="3"/>
  <c r="Q30" i="3"/>
  <c r="S30" i="3" s="1"/>
  <c r="R87" i="3"/>
  <c r="Q87" i="3"/>
  <c r="S87" i="3" s="1"/>
  <c r="R114" i="3"/>
  <c r="Q114" i="3"/>
  <c r="S114" i="3" s="1"/>
  <c r="R147" i="3"/>
  <c r="Q147" i="3"/>
  <c r="S147" i="3" s="1"/>
  <c r="R154" i="3"/>
  <c r="Q154" i="3"/>
  <c r="S154" i="3" s="1"/>
  <c r="R161" i="3"/>
  <c r="Q161" i="3"/>
  <c r="S161" i="3" s="1"/>
  <c r="R162" i="3"/>
  <c r="Q162" i="3"/>
  <c r="S162" i="3" s="1"/>
  <c r="R182" i="3"/>
  <c r="Q182" i="3"/>
  <c r="S182" i="3" s="1"/>
  <c r="R257" i="3"/>
  <c r="Q257" i="3"/>
  <c r="S257" i="3" s="1"/>
  <c r="R273" i="3"/>
  <c r="Q273" i="3"/>
  <c r="S273" i="3" s="1"/>
  <c r="R331" i="3"/>
  <c r="Q331" i="3"/>
  <c r="S331" i="3" s="1"/>
  <c r="R360" i="3"/>
  <c r="Q360" i="3"/>
  <c r="S360" i="3" s="1"/>
  <c r="R368" i="3"/>
  <c r="Q368" i="3"/>
  <c r="S368" i="3" s="1"/>
  <c r="R374" i="3"/>
  <c r="Q374" i="3"/>
  <c r="S374" i="3" s="1"/>
  <c r="R390" i="3"/>
  <c r="Q390" i="3"/>
  <c r="S390" i="3" s="1"/>
  <c r="R404" i="3"/>
  <c r="Q404" i="3"/>
  <c r="S404" i="3" s="1"/>
  <c r="R405" i="3"/>
  <c r="Q405" i="3"/>
  <c r="S405" i="3" s="1"/>
  <c r="R412" i="3"/>
  <c r="Q412" i="3"/>
  <c r="S412" i="3" s="1"/>
  <c r="R413" i="3"/>
  <c r="Q413" i="3"/>
  <c r="S413" i="3" s="1"/>
  <c r="R416" i="3"/>
  <c r="Q416" i="3"/>
  <c r="S416" i="3" s="1"/>
  <c r="R462" i="3"/>
  <c r="Q462" i="3"/>
  <c r="S462" i="3" s="1"/>
  <c r="R472" i="3"/>
  <c r="Q472" i="3"/>
  <c r="S472" i="3" s="1"/>
  <c r="R479" i="3"/>
  <c r="Q479" i="3"/>
  <c r="S479" i="3" s="1"/>
  <c r="R483" i="3"/>
  <c r="Q483" i="3"/>
  <c r="S483" i="3" s="1"/>
  <c r="R506" i="3"/>
  <c r="Q506" i="3"/>
  <c r="S506" i="3" s="1"/>
  <c r="R518" i="3"/>
  <c r="Q518" i="3"/>
  <c r="S518" i="3" s="1"/>
  <c r="R522" i="3"/>
  <c r="Q522" i="3"/>
  <c r="S522" i="3" s="1"/>
  <c r="R546" i="3"/>
  <c r="Q546" i="3"/>
  <c r="S546" i="3" s="1"/>
  <c r="R302" i="3"/>
  <c r="Q302" i="3"/>
  <c r="S302" i="3" s="1"/>
  <c r="R208" i="3"/>
  <c r="Q208" i="3"/>
  <c r="S208" i="3" s="1"/>
  <c r="R206" i="3"/>
  <c r="Q206" i="3"/>
  <c r="S206" i="3" s="1"/>
  <c r="R536" i="3"/>
  <c r="Q536" i="3"/>
  <c r="S536" i="3" s="1"/>
  <c r="R267" i="3"/>
  <c r="Q267" i="3"/>
  <c r="S267" i="3" s="1"/>
  <c r="R52" i="3"/>
  <c r="Q52" i="3"/>
  <c r="S52" i="3" s="1"/>
  <c r="R42" i="3"/>
  <c r="Q42" i="3"/>
  <c r="S42" i="3" s="1"/>
  <c r="R247" i="3"/>
  <c r="Q247" i="3"/>
  <c r="S247" i="3" s="1"/>
  <c r="R106" i="3"/>
  <c r="Q106" i="3"/>
  <c r="S106" i="3" s="1"/>
  <c r="R409" i="3"/>
  <c r="Q409" i="3"/>
  <c r="S409" i="3" s="1"/>
  <c r="R259" i="3"/>
  <c r="Q259" i="3"/>
  <c r="S259" i="3" s="1"/>
  <c r="R77" i="3"/>
  <c r="Q77" i="3"/>
  <c r="S77" i="3" s="1"/>
  <c r="R169" i="3"/>
  <c r="Q169" i="3"/>
  <c r="S169" i="3" s="1"/>
  <c r="R49" i="3"/>
  <c r="Q49" i="3"/>
  <c r="S49" i="3" s="1"/>
  <c r="R156" i="3"/>
  <c r="Q156" i="3"/>
  <c r="S156" i="3" s="1"/>
  <c r="R235" i="3"/>
  <c r="Q235" i="3"/>
  <c r="S235" i="3" s="1"/>
  <c r="R197" i="3"/>
  <c r="Q197" i="3"/>
  <c r="S197" i="3" s="1"/>
  <c r="R96" i="3"/>
  <c r="Q96" i="3"/>
  <c r="S96" i="3" s="1"/>
  <c r="R618" i="3"/>
  <c r="Q618" i="3"/>
  <c r="S618" i="3" s="1"/>
  <c r="R503" i="3"/>
  <c r="Q503" i="3"/>
  <c r="S503" i="3" s="1"/>
  <c r="R317" i="3"/>
  <c r="Q317" i="3"/>
  <c r="S317" i="3" s="1"/>
  <c r="R278" i="3"/>
  <c r="Q278" i="3"/>
  <c r="S278" i="3" s="1"/>
  <c r="R118" i="3"/>
  <c r="Q118" i="3"/>
  <c r="S118" i="3" s="1"/>
  <c r="R32" i="3"/>
  <c r="Q32" i="3"/>
  <c r="S32" i="3" s="1"/>
  <c r="R98" i="3"/>
  <c r="Q98" i="3"/>
  <c r="S98" i="3" s="1"/>
  <c r="R507" i="3"/>
  <c r="Q507" i="3"/>
  <c r="S507" i="3" s="1"/>
  <c r="R4" i="3"/>
  <c r="Q4" i="3"/>
  <c r="S4" i="3" s="1"/>
  <c r="R510" i="3"/>
  <c r="Q510" i="3"/>
  <c r="S510" i="3" s="1"/>
  <c r="R316" i="3"/>
  <c r="Q316" i="3"/>
  <c r="S316" i="3" s="1"/>
  <c r="R395" i="3"/>
  <c r="Q395" i="3"/>
  <c r="S395" i="3" s="1"/>
  <c r="R385" i="3"/>
  <c r="Q385" i="3"/>
  <c r="S385" i="3" s="1"/>
  <c r="R5" i="3"/>
  <c r="Q5" i="3"/>
  <c r="S5" i="3" s="1"/>
  <c r="R227" i="3"/>
  <c r="Q227" i="3"/>
  <c r="S227" i="3" s="1"/>
  <c r="R195" i="3"/>
  <c r="Q195" i="3"/>
  <c r="S195" i="3" s="1"/>
  <c r="R176" i="3"/>
  <c r="Q176" i="3"/>
  <c r="S176" i="3" s="1"/>
  <c r="R113" i="3"/>
  <c r="Q113" i="3"/>
  <c r="S113" i="3" s="1"/>
  <c r="R554" i="3"/>
  <c r="Q554" i="3"/>
  <c r="S554" i="3" s="1"/>
  <c r="R369" i="3"/>
  <c r="Q369" i="3"/>
  <c r="S369" i="3" s="1"/>
  <c r="R276" i="3"/>
  <c r="Q276" i="3"/>
  <c r="S276" i="3" s="1"/>
  <c r="R363" i="3"/>
  <c r="Q363" i="3"/>
  <c r="S363" i="3" s="1"/>
  <c r="R502" i="3"/>
  <c r="Q502" i="3"/>
  <c r="S502" i="3" s="1"/>
  <c r="R649" i="3"/>
  <c r="Q649" i="3"/>
  <c r="S649" i="3" s="1"/>
  <c r="R167" i="3"/>
  <c r="Q167" i="3"/>
  <c r="S167" i="3" s="1"/>
  <c r="R179" i="3"/>
  <c r="Q179" i="3"/>
  <c r="S179" i="3" s="1"/>
  <c r="R180" i="3"/>
  <c r="Q180" i="3"/>
  <c r="S180" i="3" s="1"/>
  <c r="R573" i="3"/>
  <c r="Q573" i="3"/>
  <c r="S573" i="3" s="1"/>
  <c r="R202" i="3"/>
  <c r="Q202" i="3"/>
  <c r="S202" i="3" s="1"/>
  <c r="R529" i="3"/>
  <c r="Q529" i="3"/>
  <c r="S529" i="3" s="1"/>
  <c r="R248" i="3"/>
  <c r="Q248" i="3"/>
  <c r="S248" i="3" s="1"/>
  <c r="R601" i="3"/>
  <c r="Q601" i="3"/>
  <c r="S601" i="3" s="1"/>
  <c r="S143" i="3"/>
  <c r="R143" i="3"/>
  <c r="Q143" i="3"/>
  <c r="R548" i="3"/>
  <c r="Q548" i="3"/>
  <c r="S548" i="3" s="1"/>
  <c r="R334" i="3"/>
  <c r="Q334" i="3"/>
  <c r="S334" i="3" s="1"/>
  <c r="R570" i="3"/>
  <c r="Q570" i="3"/>
  <c r="S570" i="3" s="1"/>
  <c r="R628" i="3"/>
  <c r="Q628" i="3"/>
  <c r="S628" i="3" s="1"/>
  <c r="R116" i="3"/>
  <c r="Q116" i="3"/>
  <c r="S116" i="3" s="1"/>
  <c r="R64" i="3"/>
  <c r="Q64" i="3"/>
  <c r="S64" i="3" s="1"/>
  <c r="R284" i="3"/>
  <c r="Q284" i="3"/>
  <c r="S284" i="3" s="1"/>
  <c r="R590" i="3"/>
  <c r="Q590" i="3"/>
  <c r="S590" i="3" s="1"/>
  <c r="R442" i="3"/>
  <c r="Q442" i="3"/>
  <c r="S442" i="3" s="1"/>
  <c r="R504" i="3"/>
  <c r="Q504" i="3"/>
  <c r="S504" i="3" s="1"/>
  <c r="R277" i="3"/>
  <c r="Q277" i="3"/>
  <c r="S277" i="3" s="1"/>
  <c r="R387" i="3"/>
  <c r="Q387" i="3"/>
  <c r="S387" i="3" s="1"/>
  <c r="R255" i="3"/>
  <c r="Q255" i="3"/>
  <c r="S255" i="3" s="1"/>
  <c r="R406" i="3"/>
  <c r="Q406" i="3"/>
  <c r="S406" i="3" s="1"/>
  <c r="R448" i="3"/>
  <c r="Q448" i="3"/>
  <c r="S448" i="3" s="1"/>
  <c r="R283" i="3"/>
  <c r="Q283" i="3"/>
  <c r="S283" i="3" s="1"/>
  <c r="R297" i="3"/>
  <c r="Q297" i="3"/>
  <c r="S297" i="3" s="1"/>
  <c r="R270" i="3"/>
  <c r="Q270" i="3"/>
  <c r="S270" i="3" s="1"/>
  <c r="R600" i="3"/>
  <c r="Q600" i="3"/>
  <c r="S600" i="3" s="1"/>
  <c r="R386" i="3"/>
  <c r="Q386" i="3"/>
  <c r="S386" i="3" s="1"/>
  <c r="R265" i="3"/>
  <c r="Q265" i="3"/>
  <c r="S265" i="3" s="1"/>
  <c r="R651" i="3"/>
  <c r="Q651" i="3"/>
  <c r="S651" i="3" s="1"/>
  <c r="R657" i="3"/>
  <c r="Q657" i="3"/>
  <c r="S657" i="3" s="1"/>
  <c r="R266" i="3"/>
  <c r="Q266" i="3"/>
  <c r="S266" i="3" s="1"/>
  <c r="R366" i="3"/>
  <c r="Q366" i="3"/>
  <c r="S366" i="3" s="1"/>
  <c r="R242" i="3"/>
  <c r="Q242" i="3"/>
  <c r="S242" i="3" s="1"/>
  <c r="R494" i="3"/>
  <c r="Q494" i="3"/>
  <c r="S494" i="3" s="1"/>
  <c r="R672" i="3"/>
  <c r="Q672" i="3"/>
  <c r="S672" i="3" s="1"/>
  <c r="R45" i="3"/>
  <c r="Q45" i="3"/>
  <c r="S45" i="3" s="1"/>
  <c r="R107" i="3"/>
  <c r="Q107" i="3"/>
  <c r="S107" i="3" s="1"/>
  <c r="R365" i="3"/>
  <c r="Q365" i="3"/>
  <c r="S365" i="3" s="1"/>
  <c r="R23" i="3"/>
  <c r="Q23" i="3"/>
  <c r="S23" i="3" s="1"/>
  <c r="R159" i="3"/>
  <c r="Q159" i="3"/>
  <c r="S159" i="3" s="1"/>
  <c r="R456" i="3"/>
  <c r="Q456" i="3"/>
  <c r="S456" i="3" s="1"/>
  <c r="R37" i="3"/>
  <c r="Q37" i="3"/>
  <c r="S37" i="3" s="1"/>
  <c r="R571" i="3"/>
  <c r="Q571" i="3"/>
  <c r="S571" i="3" s="1"/>
  <c r="R625" i="3"/>
  <c r="Q625" i="3"/>
  <c r="S625" i="3" s="1"/>
  <c r="R463" i="3"/>
  <c r="Q463" i="3"/>
  <c r="S463" i="3" s="1"/>
  <c r="R382" i="3"/>
  <c r="Q382" i="3"/>
  <c r="S382" i="3" s="1"/>
  <c r="R207" i="3"/>
  <c r="Q207" i="3"/>
  <c r="S207" i="3" s="1"/>
  <c r="R254" i="3"/>
  <c r="Q254" i="3"/>
  <c r="S254" i="3" s="1"/>
  <c r="R541" i="3"/>
  <c r="Q541" i="3"/>
  <c r="S541" i="3" s="1"/>
  <c r="R637" i="3"/>
  <c r="Q637" i="3"/>
  <c r="S637" i="3" s="1"/>
  <c r="R320" i="3"/>
  <c r="Q320" i="3"/>
  <c r="S320" i="3" s="1"/>
  <c r="R282" i="3"/>
  <c r="Q282" i="3"/>
  <c r="S282" i="3" s="1"/>
  <c r="R298" i="3"/>
  <c r="Q298" i="3"/>
  <c r="S298" i="3" s="1"/>
  <c r="R105" i="3"/>
  <c r="Q105" i="3"/>
  <c r="S105" i="3" s="1"/>
  <c r="R160" i="3"/>
  <c r="Q160" i="3"/>
  <c r="S160" i="3" s="1"/>
  <c r="R491" i="3"/>
  <c r="Q491" i="3"/>
  <c r="S491" i="3" s="1"/>
  <c r="R121" i="3"/>
  <c r="Q121" i="3"/>
  <c r="S121" i="3" s="1"/>
  <c r="R314" i="3"/>
  <c r="Q314" i="3"/>
  <c r="S314" i="3" s="1"/>
  <c r="R568" i="3"/>
  <c r="Q568" i="3"/>
  <c r="S568" i="3" s="1"/>
  <c r="R392" i="3"/>
  <c r="Q392" i="3"/>
  <c r="S392" i="3" s="1"/>
  <c r="R415" i="3"/>
  <c r="Q415" i="3"/>
  <c r="S415" i="3" s="1"/>
  <c r="R68" i="3"/>
  <c r="Q68" i="3"/>
  <c r="S68" i="3" s="1"/>
  <c r="R673" i="3"/>
  <c r="Q673" i="3"/>
  <c r="S673" i="3" s="1"/>
  <c r="R333" i="3"/>
  <c r="Q333" i="3"/>
  <c r="S333" i="3" s="1"/>
  <c r="R663" i="3"/>
  <c r="Q663" i="3"/>
  <c r="S663" i="3" s="1"/>
  <c r="R378" i="3"/>
  <c r="Q378" i="3"/>
  <c r="S378" i="3" s="1"/>
  <c r="R328" i="3"/>
  <c r="Q328" i="3"/>
  <c r="S328" i="3" s="1"/>
  <c r="R467" i="3"/>
  <c r="Q467" i="3"/>
  <c r="S467" i="3" s="1"/>
  <c r="R258" i="3"/>
  <c r="Q258" i="3"/>
  <c r="S258" i="3" s="1"/>
  <c r="R140" i="3"/>
  <c r="Q140" i="3"/>
  <c r="S140" i="3" s="1"/>
  <c r="R137" i="3"/>
  <c r="Q137" i="3"/>
  <c r="S137" i="3" s="1"/>
  <c r="R123" i="3"/>
  <c r="Q123" i="3"/>
  <c r="S123" i="3" s="1"/>
  <c r="R215" i="3"/>
  <c r="Q215" i="3"/>
  <c r="S215" i="3" s="1"/>
  <c r="R48" i="3"/>
  <c r="Q48" i="3"/>
  <c r="S48" i="3" s="1"/>
  <c r="R128" i="3"/>
  <c r="Q128" i="3"/>
  <c r="S128" i="3" s="1"/>
  <c r="R127" i="3"/>
  <c r="Q127" i="3"/>
  <c r="S127" i="3" s="1"/>
  <c r="R6" i="3"/>
  <c r="Q6" i="3"/>
  <c r="S6" i="3" s="1"/>
  <c r="R572" i="3"/>
  <c r="Q572" i="3"/>
  <c r="S572" i="3" s="1"/>
  <c r="R407" i="3"/>
  <c r="Q407" i="3"/>
  <c r="S407" i="3" s="1"/>
  <c r="R457" i="3"/>
  <c r="Q457" i="3"/>
  <c r="S457" i="3" s="1"/>
  <c r="R485" i="3"/>
  <c r="Q485" i="3"/>
  <c r="S485" i="3" s="1"/>
  <c r="R440" i="3"/>
  <c r="Q440" i="3"/>
  <c r="S440" i="3" s="1"/>
  <c r="R635" i="3"/>
  <c r="Q635" i="3"/>
  <c r="S635" i="3" s="1"/>
  <c r="R408" i="3"/>
  <c r="Q408" i="3"/>
  <c r="S408" i="3" s="1"/>
  <c r="R39" i="3"/>
  <c r="Q39" i="3"/>
  <c r="S39" i="3" s="1"/>
  <c r="R133" i="3"/>
  <c r="Q133" i="3"/>
  <c r="S133" i="3" s="1"/>
  <c r="R185" i="3"/>
  <c r="Q185" i="3"/>
  <c r="S185" i="3" s="1"/>
  <c r="R35" i="3"/>
  <c r="Q35" i="3"/>
  <c r="S35" i="3" s="1"/>
  <c r="R34" i="3"/>
  <c r="Q34" i="3"/>
  <c r="S34" i="3" s="1"/>
  <c r="R135" i="3"/>
  <c r="Q135" i="3"/>
  <c r="S135" i="3" s="1"/>
  <c r="R221" i="3"/>
  <c r="Q221" i="3"/>
  <c r="S221" i="3" s="1"/>
  <c r="R82" i="3"/>
  <c r="Q82" i="3"/>
  <c r="S82" i="3" s="1"/>
  <c r="R117" i="3"/>
  <c r="Q117" i="3"/>
  <c r="S117" i="3" s="1"/>
  <c r="R648" i="3"/>
  <c r="Q648" i="3"/>
  <c r="S648" i="3" s="1"/>
  <c r="R122" i="3"/>
  <c r="Q122" i="3"/>
  <c r="S122" i="3" s="1"/>
  <c r="R559" i="3"/>
  <c r="Q559" i="3"/>
  <c r="S559" i="3" s="1"/>
  <c r="R101" i="3"/>
  <c r="Q101" i="3"/>
  <c r="S101" i="3" s="1"/>
  <c r="R430" i="3"/>
  <c r="Q430" i="3"/>
  <c r="S430" i="3" s="1"/>
  <c r="R44" i="3"/>
  <c r="Q44" i="3"/>
  <c r="S44" i="3" s="1"/>
  <c r="R662" i="3"/>
  <c r="Q662" i="3"/>
  <c r="S662" i="3" s="1"/>
  <c r="R271" i="3"/>
  <c r="Q271" i="3"/>
  <c r="S271" i="3" s="1"/>
  <c r="R26" i="3"/>
  <c r="Q26" i="3"/>
  <c r="S26" i="3" s="1"/>
  <c r="R666" i="3"/>
  <c r="Q666" i="3"/>
  <c r="S666" i="3" s="1"/>
  <c r="R680" i="3"/>
  <c r="Q680" i="3"/>
  <c r="S680" i="3" s="1"/>
  <c r="R256" i="3"/>
  <c r="Q256" i="3"/>
  <c r="S256" i="3" s="1"/>
  <c r="R115" i="3"/>
  <c r="Q115" i="3"/>
  <c r="S115" i="3" s="1"/>
  <c r="R613" i="3"/>
  <c r="Q613" i="3"/>
  <c r="S613" i="3" s="1"/>
  <c r="R597" i="3"/>
  <c r="Q597" i="3"/>
  <c r="S597" i="3" s="1"/>
  <c r="R668" i="3"/>
  <c r="Q668" i="3"/>
  <c r="S668" i="3" s="1"/>
  <c r="R664" i="3"/>
  <c r="Q664" i="3"/>
  <c r="S664" i="3" s="1"/>
  <c r="R611" i="3"/>
  <c r="Q611" i="3"/>
  <c r="S611" i="3" s="1"/>
  <c r="R321" i="3"/>
  <c r="Q321" i="3"/>
  <c r="S321" i="3" s="1"/>
  <c r="R547" i="3"/>
  <c r="Q547" i="3"/>
  <c r="S547" i="3" s="1"/>
  <c r="R362" i="3"/>
  <c r="Q362" i="3"/>
  <c r="S362" i="3" s="1"/>
  <c r="R12" i="3"/>
  <c r="Q12" i="3"/>
  <c r="S12" i="3" s="1"/>
  <c r="R441" i="3"/>
  <c r="Q441" i="3"/>
  <c r="S441" i="3" s="1"/>
  <c r="R79" i="3"/>
  <c r="Q79" i="3"/>
  <c r="S79" i="3" s="1"/>
  <c r="R501" i="3"/>
  <c r="Q501" i="3"/>
  <c r="S501" i="3" s="1"/>
  <c r="R20" i="3"/>
  <c r="Q20" i="3"/>
  <c r="S20" i="3" s="1"/>
  <c r="R393" i="3"/>
  <c r="Q393" i="3"/>
  <c r="S393" i="3" s="1"/>
  <c r="R670" i="3"/>
  <c r="Q670" i="3"/>
  <c r="S670" i="3" s="1"/>
  <c r="R533" i="3"/>
  <c r="Q533" i="3"/>
  <c r="S533" i="3" s="1"/>
  <c r="R24" i="3"/>
  <c r="Q24" i="3"/>
  <c r="S24" i="3" s="1"/>
  <c r="R634" i="3"/>
  <c r="Q634" i="3"/>
  <c r="S634" i="3" s="1"/>
  <c r="R612" i="3"/>
  <c r="Q612" i="3"/>
  <c r="S612" i="3" s="1"/>
  <c r="R496" i="3"/>
  <c r="Q496" i="3"/>
  <c r="S496" i="3" s="1"/>
  <c r="R290" i="3"/>
  <c r="Q290" i="3"/>
  <c r="S290" i="3" s="1"/>
  <c r="R513" i="3"/>
  <c r="Q513" i="3"/>
  <c r="S513" i="3" s="1"/>
  <c r="R459" i="3"/>
  <c r="Q459" i="3"/>
  <c r="S459" i="3" s="1"/>
  <c r="R285" i="3"/>
  <c r="Q285" i="3"/>
  <c r="S285" i="3" s="1"/>
  <c r="R38" i="3"/>
  <c r="Q38" i="3"/>
  <c r="S38" i="3" s="1"/>
  <c r="R342" i="3"/>
  <c r="Q342" i="3"/>
  <c r="S342" i="3" s="1"/>
  <c r="R263" i="3"/>
  <c r="Q263" i="3"/>
  <c r="S263" i="3" s="1"/>
  <c r="R425" i="3"/>
  <c r="Q425" i="3"/>
  <c r="S425" i="3" s="1"/>
  <c r="R497" i="3"/>
  <c r="Q497" i="3"/>
  <c r="S497" i="3" s="1"/>
  <c r="R191" i="3"/>
  <c r="Q191" i="3"/>
  <c r="S191" i="3" s="1"/>
  <c r="R343" i="3"/>
  <c r="Q343" i="3"/>
  <c r="S343" i="3" s="1"/>
  <c r="R616" i="3"/>
  <c r="Q616" i="3"/>
  <c r="S616" i="3" s="1"/>
  <c r="R591" i="3"/>
  <c r="Q591" i="3"/>
  <c r="S591" i="3" s="1"/>
  <c r="R246" i="3"/>
  <c r="Q246" i="3"/>
  <c r="S246" i="3" s="1"/>
  <c r="R92" i="3"/>
  <c r="Q92" i="3"/>
  <c r="S92" i="3" s="1"/>
  <c r="R214" i="3"/>
  <c r="Q214" i="3"/>
  <c r="S214" i="3" s="1"/>
  <c r="R57" i="3"/>
  <c r="Q57" i="3"/>
  <c r="S57" i="3" s="1"/>
  <c r="R579" i="3"/>
  <c r="Q579" i="3"/>
  <c r="S579" i="3" s="1"/>
  <c r="R534" i="3"/>
  <c r="Q534" i="3"/>
  <c r="S534" i="3" s="1"/>
  <c r="R275" i="3"/>
  <c r="Q275" i="3"/>
  <c r="S275" i="3" s="1"/>
  <c r="R126" i="3"/>
  <c r="Q126" i="3"/>
  <c r="S126" i="3" s="1"/>
  <c r="R228" i="3"/>
  <c r="Q228" i="3"/>
  <c r="S228" i="3" s="1"/>
  <c r="R477" i="3"/>
  <c r="Q477" i="3"/>
  <c r="S477" i="3" s="1"/>
  <c r="R224" i="3"/>
  <c r="Q224" i="3"/>
  <c r="S224" i="3" s="1"/>
  <c r="R250" i="3"/>
  <c r="Q250" i="3"/>
  <c r="S250" i="3" s="1"/>
  <c r="R124" i="3"/>
  <c r="Q124" i="3"/>
  <c r="S124" i="3" s="1"/>
  <c r="R520" i="3"/>
  <c r="Q520" i="3"/>
  <c r="S520" i="3" s="1"/>
  <c r="R174" i="3"/>
  <c r="Q174" i="3"/>
  <c r="S174" i="3" s="1"/>
  <c r="R679" i="3"/>
  <c r="Q679" i="3"/>
  <c r="S679" i="3" s="1"/>
  <c r="R203" i="3"/>
  <c r="Q203" i="3"/>
  <c r="S203" i="3" s="1"/>
  <c r="R530" i="3"/>
  <c r="Q530" i="3"/>
  <c r="S530" i="3" s="1"/>
  <c r="R344" i="3"/>
  <c r="Q344" i="3"/>
  <c r="S344" i="3" s="1"/>
  <c r="R490" i="3"/>
  <c r="Q490" i="3"/>
  <c r="S490" i="3" s="1"/>
  <c r="R351" i="3"/>
  <c r="Q351" i="3"/>
  <c r="S351" i="3" s="1"/>
  <c r="R327" i="3"/>
  <c r="Q327" i="3"/>
  <c r="S327" i="3" s="1"/>
  <c r="R422" i="3"/>
  <c r="Q422" i="3"/>
  <c r="S422" i="3" s="1"/>
  <c r="R535" i="3"/>
  <c r="Q535" i="3"/>
  <c r="S535" i="3" s="1"/>
  <c r="R164" i="3"/>
  <c r="Q164" i="3"/>
  <c r="S164" i="3" s="1"/>
  <c r="R471" i="3"/>
  <c r="Q471" i="3"/>
  <c r="S471" i="3" s="1"/>
  <c r="R84" i="3"/>
  <c r="Q84" i="3"/>
  <c r="S84" i="3" s="1"/>
  <c r="R379" i="3"/>
  <c r="Q379" i="3"/>
  <c r="S379" i="3" s="1"/>
  <c r="R129" i="3"/>
  <c r="Q129" i="3"/>
  <c r="S129" i="3" s="1"/>
  <c r="R80" i="3"/>
  <c r="Q80" i="3"/>
  <c r="S80" i="3" s="1"/>
  <c r="R492" i="3"/>
  <c r="Q492" i="3"/>
  <c r="S492" i="3" s="1"/>
  <c r="R8" i="3"/>
  <c r="Q8" i="3"/>
  <c r="S8" i="3" s="1"/>
  <c r="R112" i="3"/>
  <c r="Q112" i="3"/>
  <c r="S112" i="3" s="1"/>
  <c r="R531" i="3"/>
  <c r="Q531" i="3"/>
  <c r="S531" i="3" s="1"/>
  <c r="R43" i="3"/>
  <c r="Q43" i="3"/>
  <c r="S43" i="3" s="1"/>
  <c r="R580" i="3"/>
  <c r="Q580" i="3"/>
  <c r="S580" i="3" s="1"/>
  <c r="R336" i="3"/>
  <c r="Q336" i="3"/>
  <c r="S336" i="3" s="1"/>
  <c r="R36" i="3"/>
  <c r="Q36" i="3"/>
  <c r="S36" i="3" s="1"/>
  <c r="R40" i="3"/>
  <c r="Q40" i="3"/>
  <c r="S40" i="3" s="1"/>
  <c r="R216" i="3"/>
  <c r="Q216" i="3"/>
  <c r="S216" i="3" s="1"/>
  <c r="R574" i="3"/>
  <c r="Q574" i="3"/>
  <c r="S574" i="3" s="1"/>
  <c r="R595" i="3"/>
  <c r="Q595" i="3"/>
  <c r="S595" i="3" s="1"/>
  <c r="R33" i="3"/>
  <c r="Q33" i="3"/>
  <c r="S33" i="3" s="1"/>
  <c r="R488" i="3"/>
  <c r="Q488" i="3"/>
  <c r="S488" i="3" s="1"/>
  <c r="R73" i="3"/>
  <c r="Q73" i="3"/>
  <c r="S73" i="3" s="1"/>
  <c r="R134" i="3"/>
  <c r="Q134" i="3"/>
  <c r="S134" i="3" s="1"/>
  <c r="R72" i="3"/>
  <c r="Q72" i="3"/>
  <c r="S72" i="3" s="1"/>
  <c r="R525" i="3"/>
  <c r="Q525" i="3"/>
  <c r="S525" i="3" s="1"/>
  <c r="R199" i="3"/>
  <c r="Q199" i="3"/>
  <c r="S199" i="3" s="1"/>
  <c r="R587" i="3"/>
  <c r="Q587" i="3"/>
  <c r="S587" i="3" s="1"/>
  <c r="R41" i="3"/>
  <c r="Q41" i="3"/>
  <c r="S41" i="3" s="1"/>
  <c r="R63" i="3"/>
  <c r="Q63" i="3"/>
  <c r="S63" i="3" s="1"/>
  <c r="R326" i="3"/>
  <c r="Q326" i="3"/>
  <c r="S326" i="3" s="1"/>
  <c r="R19" i="3"/>
  <c r="Q19" i="3"/>
  <c r="S19" i="3" s="1"/>
  <c r="R192" i="3"/>
  <c r="Q192" i="3"/>
  <c r="S192" i="3" s="1"/>
  <c r="R515" i="3"/>
  <c r="Q515" i="3"/>
  <c r="S515" i="3" s="1"/>
  <c r="R213" i="3"/>
  <c r="Q213" i="3"/>
  <c r="S213" i="3" s="1"/>
  <c r="R478" i="3"/>
  <c r="Q478" i="3"/>
  <c r="S478" i="3" s="1"/>
  <c r="R475" i="3"/>
  <c r="Q475" i="3"/>
  <c r="S475" i="3" s="1"/>
  <c r="R486" i="3"/>
  <c r="Q486" i="3"/>
  <c r="S486" i="3" s="1"/>
  <c r="R144" i="3"/>
  <c r="Q144" i="3"/>
  <c r="S144" i="3" s="1"/>
  <c r="R678" i="3"/>
  <c r="Q678" i="3"/>
  <c r="S678" i="3" s="1"/>
  <c r="R481" i="3"/>
  <c r="Q481" i="3"/>
  <c r="S481" i="3" s="1"/>
  <c r="R323" i="3"/>
  <c r="Q323" i="3"/>
  <c r="S323" i="3" s="1"/>
  <c r="R142" i="3"/>
  <c r="Q142" i="3"/>
  <c r="S142" i="3" s="1"/>
  <c r="R201" i="3"/>
  <c r="Q201" i="3"/>
  <c r="S201" i="3" s="1"/>
  <c r="R500" i="3"/>
  <c r="Q500" i="3"/>
  <c r="S500" i="3" s="1"/>
  <c r="R188" i="3"/>
  <c r="Q188" i="3"/>
  <c r="S188" i="3" s="1"/>
  <c r="R252" i="3"/>
  <c r="Q252" i="3"/>
  <c r="S252" i="3" s="1"/>
  <c r="R274" i="3"/>
  <c r="Q274" i="3"/>
  <c r="S274" i="3" s="1"/>
  <c r="R414" i="3"/>
  <c r="Q414" i="3"/>
  <c r="S414" i="3" s="1"/>
  <c r="R396" i="3"/>
  <c r="Q396" i="3"/>
  <c r="S396" i="3" s="1"/>
  <c r="R650" i="3"/>
  <c r="Q650" i="3"/>
  <c r="S650" i="3" s="1"/>
  <c r="R219" i="3"/>
  <c r="Q219" i="3"/>
  <c r="S219" i="3" s="1"/>
  <c r="R280" i="3"/>
  <c r="Q280" i="3"/>
  <c r="S280" i="3" s="1"/>
  <c r="R443" i="3"/>
  <c r="Q443" i="3"/>
  <c r="S443" i="3" s="1"/>
  <c r="R615" i="3"/>
  <c r="Q615" i="3"/>
  <c r="S615" i="3" s="1"/>
  <c r="R70" i="3"/>
  <c r="Q70" i="3"/>
  <c r="S70" i="3" s="1"/>
  <c r="R438" i="3"/>
  <c r="Q438" i="3"/>
  <c r="S438" i="3" s="1"/>
  <c r="R484" i="3"/>
  <c r="Q484" i="3"/>
  <c r="S484" i="3" s="1"/>
  <c r="R576" i="3"/>
  <c r="Q576" i="3"/>
  <c r="S576" i="3" s="1"/>
  <c r="R239" i="3"/>
  <c r="Q239" i="3"/>
  <c r="S239" i="3" s="1"/>
  <c r="R306" i="3"/>
  <c r="Q306" i="3"/>
  <c r="S306" i="3" s="1"/>
  <c r="R557" i="3"/>
  <c r="Q557" i="3"/>
  <c r="S557" i="3" s="1"/>
  <c r="R338" i="3"/>
  <c r="Q338" i="3"/>
  <c r="S338" i="3" s="1"/>
  <c r="R675" i="3"/>
  <c r="Q675" i="3"/>
  <c r="S675" i="3" s="1"/>
  <c r="R394" i="3"/>
  <c r="Q394" i="3"/>
  <c r="S394" i="3" s="1"/>
  <c r="R380" i="3"/>
  <c r="Q380" i="3"/>
  <c r="S380" i="3" s="1"/>
  <c r="R279" i="3"/>
  <c r="Q279" i="3"/>
  <c r="S279" i="3" s="1"/>
  <c r="R108" i="3"/>
  <c r="Q108" i="3"/>
  <c r="S108" i="3" s="1"/>
  <c r="R604" i="3"/>
  <c r="Q604" i="3"/>
  <c r="S604" i="3" s="1"/>
  <c r="R676" i="3"/>
  <c r="Q676" i="3"/>
  <c r="S676" i="3" s="1"/>
  <c r="R10" i="3"/>
  <c r="Q10" i="3"/>
  <c r="S10" i="3" s="1"/>
  <c r="R622" i="3"/>
  <c r="Q622" i="3"/>
  <c r="S622" i="3" s="1"/>
  <c r="R13" i="3"/>
  <c r="Q13" i="3"/>
  <c r="S13" i="3" s="1"/>
  <c r="R567" i="3"/>
  <c r="Q567" i="3"/>
  <c r="S567" i="3" s="1"/>
  <c r="R110" i="3"/>
  <c r="Q110" i="3"/>
  <c r="S110" i="3" s="1"/>
  <c r="R606" i="3"/>
  <c r="Q606" i="3"/>
  <c r="S606" i="3" s="1"/>
  <c r="R493" i="3"/>
  <c r="Q493" i="3"/>
  <c r="S493" i="3" s="1"/>
  <c r="R608" i="3"/>
  <c r="Q608" i="3"/>
  <c r="S608" i="3" s="1"/>
  <c r="R94" i="3"/>
  <c r="Q94" i="3"/>
  <c r="S94" i="3" s="1"/>
  <c r="R322" i="3"/>
  <c r="Q322" i="3"/>
  <c r="S322" i="3" s="1"/>
  <c r="R66" i="3"/>
  <c r="Q66" i="3"/>
  <c r="S66" i="3" s="1"/>
  <c r="R324" i="3"/>
  <c r="Q324" i="3"/>
  <c r="S324" i="3" s="1"/>
  <c r="R614" i="3"/>
  <c r="Q614" i="3"/>
  <c r="S614" i="3" s="1"/>
  <c r="R54" i="3"/>
  <c r="Q54" i="3"/>
  <c r="S54" i="3" s="1"/>
  <c r="R225" i="3"/>
  <c r="Q225" i="3"/>
  <c r="S225" i="3" s="1"/>
  <c r="R330" i="3"/>
  <c r="Q330" i="3"/>
  <c r="S330" i="3" s="1"/>
  <c r="R55" i="3"/>
  <c r="Q55" i="3"/>
  <c r="S55" i="3" s="1"/>
  <c r="R47" i="3"/>
  <c r="Q47" i="3"/>
  <c r="S47" i="3" s="1"/>
  <c r="R153" i="3"/>
  <c r="Q153" i="3"/>
  <c r="S153" i="3" s="1"/>
  <c r="R71" i="3"/>
  <c r="Q71" i="3"/>
  <c r="S71" i="3" s="1"/>
  <c r="R139" i="3"/>
  <c r="Q139" i="3"/>
  <c r="S139" i="3" s="1"/>
  <c r="R620" i="3"/>
  <c r="Q620" i="3"/>
  <c r="S620" i="3" s="1"/>
  <c r="R480" i="3"/>
  <c r="Q480" i="3"/>
  <c r="S480" i="3" s="1"/>
  <c r="R175" i="3"/>
  <c r="Q175" i="3"/>
  <c r="S175" i="3" s="1"/>
  <c r="R584" i="3"/>
  <c r="Q584" i="3"/>
  <c r="S584" i="3" s="1"/>
  <c r="R562" i="3"/>
  <c r="Q562" i="3"/>
  <c r="S562" i="3" s="1"/>
  <c r="R31" i="3"/>
  <c r="Q31" i="3"/>
  <c r="S31" i="3" s="1"/>
  <c r="R93" i="3"/>
  <c r="Q93" i="3"/>
  <c r="S93" i="3" s="1"/>
  <c r="R56" i="3"/>
  <c r="Q56" i="3"/>
  <c r="S56" i="3" s="1"/>
  <c r="R610" i="3"/>
  <c r="Q610" i="3"/>
  <c r="S610" i="3" s="1"/>
  <c r="R109" i="3"/>
  <c r="Q109" i="3"/>
  <c r="S109" i="3" s="1"/>
  <c r="R125" i="3"/>
  <c r="Q125" i="3"/>
  <c r="S125" i="3" s="1"/>
  <c r="R119" i="3"/>
  <c r="Q119" i="3"/>
  <c r="S119" i="3" s="1"/>
  <c r="R171" i="3"/>
  <c r="Q171" i="3"/>
  <c r="S171" i="3" s="1"/>
  <c r="R231" i="3"/>
  <c r="Q231" i="3"/>
  <c r="S231" i="3" s="1"/>
  <c r="R421" i="3"/>
  <c r="Q421" i="3"/>
  <c r="S421" i="3" s="1"/>
  <c r="R236" i="3"/>
  <c r="Q236" i="3"/>
  <c r="S236" i="3" s="1"/>
  <c r="R558" i="3"/>
  <c r="Q558" i="3"/>
  <c r="S558" i="3" s="1"/>
  <c r="R211" i="3"/>
  <c r="Q211" i="3"/>
  <c r="S211" i="3" s="1"/>
  <c r="R183" i="3"/>
  <c r="Q183" i="3"/>
  <c r="S183" i="3" s="1"/>
  <c r="R157" i="3"/>
  <c r="Q157" i="3"/>
  <c r="S157" i="3" s="1"/>
  <c r="R262" i="3"/>
  <c r="Q262" i="3"/>
  <c r="S262" i="3" s="1"/>
  <c r="R75" i="3"/>
  <c r="M75" i="3"/>
  <c r="Q75" i="3" s="1"/>
  <c r="S75" i="3" s="1"/>
  <c r="R189" i="3"/>
  <c r="M189" i="3"/>
  <c r="Q189" i="3" s="1"/>
  <c r="S189" i="3" s="1"/>
  <c r="R172" i="3"/>
  <c r="M172" i="3"/>
  <c r="Q172" i="3" s="1"/>
  <c r="S172" i="3" s="1"/>
  <c r="R85" i="3"/>
  <c r="M85" i="3"/>
  <c r="Q85" i="3" s="1"/>
  <c r="S85" i="3" s="1"/>
  <c r="R200" i="3"/>
  <c r="M200" i="3"/>
  <c r="Q200" i="3" s="1"/>
  <c r="S200" i="3" s="1"/>
  <c r="R145" i="3"/>
  <c r="M145" i="3"/>
  <c r="Q145" i="3" s="1"/>
  <c r="S145" i="3" s="1"/>
  <c r="R2" i="3"/>
  <c r="M2" i="3"/>
  <c r="Q2" i="3" s="1"/>
  <c r="S2" i="3" s="1"/>
  <c r="R74" i="3"/>
  <c r="M74" i="3"/>
  <c r="Q74" i="3" s="1"/>
  <c r="S74" i="3" s="1"/>
  <c r="R148" i="3"/>
  <c r="M148" i="3"/>
  <c r="Q148" i="3" s="1"/>
  <c r="S148" i="3" s="1"/>
  <c r="R173" i="3"/>
  <c r="M173" i="3"/>
  <c r="Q173" i="3" s="1"/>
  <c r="S173" i="3" s="1"/>
  <c r="AC818" i="1"/>
  <c r="AB818" i="1"/>
  <c r="AA818" i="1"/>
  <c r="AC817" i="1"/>
  <c r="AB817" i="1"/>
  <c r="AA817" i="1"/>
  <c r="AC816" i="1"/>
  <c r="AB816" i="1"/>
  <c r="AA816" i="1"/>
  <c r="AC815" i="1"/>
  <c r="AB815" i="1"/>
  <c r="AA815" i="1"/>
  <c r="AC814" i="1"/>
  <c r="AB814" i="1"/>
  <c r="AA814" i="1"/>
  <c r="AC813" i="1"/>
  <c r="AB813" i="1"/>
  <c r="AA813" i="1"/>
  <c r="AC812" i="1"/>
  <c r="AB812" i="1"/>
  <c r="AA812" i="1"/>
  <c r="AC811" i="1"/>
  <c r="AB811" i="1"/>
  <c r="AA811" i="1"/>
  <c r="AC810" i="1"/>
  <c r="AB810" i="1"/>
  <c r="AA810" i="1"/>
  <c r="AC809" i="1"/>
  <c r="AB809" i="1"/>
  <c r="AA809" i="1"/>
  <c r="AC808" i="1"/>
  <c r="AB808" i="1"/>
  <c r="AA808" i="1"/>
  <c r="AC807" i="1"/>
  <c r="AB807" i="1"/>
  <c r="AA807" i="1"/>
  <c r="AC806" i="1"/>
  <c r="AB806" i="1"/>
  <c r="AA806" i="1"/>
  <c r="AC805" i="1"/>
  <c r="AB805" i="1"/>
  <c r="AA805" i="1"/>
  <c r="AC804" i="1"/>
  <c r="AB804" i="1"/>
  <c r="AA804" i="1"/>
  <c r="AC803" i="1"/>
  <c r="AB803" i="1"/>
  <c r="AA803" i="1"/>
  <c r="AC802" i="1"/>
  <c r="AB802" i="1"/>
  <c r="AA802" i="1"/>
  <c r="AC801" i="1"/>
  <c r="AB801" i="1"/>
  <c r="AA801" i="1"/>
  <c r="AC800" i="1"/>
  <c r="AB800" i="1"/>
  <c r="AA800" i="1"/>
  <c r="AC799" i="1"/>
  <c r="AB799" i="1"/>
  <c r="AA799" i="1"/>
  <c r="AC798" i="1"/>
  <c r="AB798" i="1"/>
  <c r="AA798" i="1"/>
  <c r="AC797" i="1"/>
  <c r="AB797" i="1"/>
  <c r="AA797" i="1"/>
  <c r="AC796" i="1"/>
  <c r="AB796" i="1"/>
  <c r="AA796" i="1"/>
  <c r="AC795" i="1"/>
  <c r="AB795" i="1"/>
  <c r="AA795" i="1"/>
  <c r="AC794" i="1"/>
  <c r="AB794" i="1"/>
  <c r="AA794" i="1"/>
  <c r="AC793" i="1"/>
  <c r="AB793" i="1"/>
  <c r="AA793" i="1"/>
  <c r="AC792" i="1"/>
  <c r="AB792" i="1"/>
  <c r="AA792" i="1"/>
  <c r="AC791" i="1"/>
  <c r="AB791" i="1"/>
  <c r="AA791" i="1"/>
  <c r="AC790" i="1"/>
  <c r="AB790" i="1"/>
  <c r="AA790" i="1"/>
  <c r="AC789" i="1"/>
  <c r="AB789" i="1"/>
  <c r="AA789" i="1"/>
  <c r="AC788" i="1"/>
  <c r="AB788" i="1"/>
  <c r="AA788" i="1"/>
  <c r="AC787" i="1"/>
  <c r="AB787" i="1"/>
  <c r="AA787" i="1"/>
  <c r="AC786" i="1"/>
  <c r="AB786" i="1"/>
  <c r="AA786" i="1"/>
  <c r="AC785" i="1"/>
  <c r="AB785" i="1"/>
  <c r="AA785" i="1"/>
  <c r="AC784" i="1"/>
  <c r="AB784" i="1"/>
  <c r="AA784" i="1"/>
  <c r="AC783" i="1"/>
  <c r="AB783" i="1"/>
  <c r="AA783" i="1"/>
  <c r="AC782" i="1"/>
  <c r="AB782" i="1"/>
  <c r="AA782" i="1"/>
  <c r="AC781" i="1"/>
  <c r="AB781" i="1"/>
  <c r="AA781" i="1"/>
  <c r="AC780" i="1"/>
  <c r="AB780" i="1"/>
  <c r="AA780" i="1"/>
  <c r="AC779" i="1"/>
  <c r="AB779" i="1"/>
  <c r="AA779" i="1"/>
  <c r="AC778" i="1"/>
  <c r="AB778" i="1"/>
  <c r="AA778" i="1"/>
  <c r="AC777" i="1"/>
  <c r="AB777" i="1"/>
  <c r="AA777" i="1"/>
  <c r="AC776" i="1"/>
  <c r="AB776" i="1"/>
  <c r="AA776" i="1"/>
  <c r="AC775" i="1"/>
  <c r="AB775" i="1"/>
  <c r="AA775" i="1"/>
  <c r="AC774" i="1"/>
  <c r="AB774" i="1"/>
  <c r="AA774" i="1"/>
  <c r="AC773" i="1"/>
  <c r="AB773" i="1"/>
  <c r="AA773" i="1"/>
  <c r="AC772" i="1"/>
  <c r="AB772" i="1"/>
  <c r="AA772" i="1"/>
  <c r="AC771" i="1"/>
  <c r="AB771" i="1"/>
  <c r="AA771" i="1"/>
  <c r="AC770" i="1"/>
  <c r="AB770" i="1"/>
  <c r="AA770" i="1"/>
  <c r="AC769" i="1"/>
  <c r="AB769" i="1"/>
  <c r="AA769" i="1"/>
  <c r="AC768" i="1"/>
  <c r="AB768" i="1"/>
  <c r="AA768" i="1"/>
  <c r="AC767" i="1"/>
  <c r="AB767" i="1"/>
  <c r="AA767" i="1"/>
  <c r="AC766" i="1"/>
  <c r="AB766" i="1"/>
  <c r="AA766" i="1"/>
  <c r="AC765" i="1"/>
  <c r="AB765" i="1"/>
  <c r="AA765" i="1"/>
  <c r="AC764" i="1"/>
  <c r="AB764" i="1"/>
  <c r="AA764" i="1"/>
  <c r="AC763" i="1"/>
  <c r="AB763" i="1"/>
  <c r="AA763" i="1"/>
  <c r="AC762" i="1"/>
  <c r="AB762" i="1"/>
  <c r="AA762" i="1"/>
  <c r="AC761" i="1"/>
  <c r="AB761" i="1"/>
  <c r="AA761" i="1"/>
  <c r="AC760" i="1"/>
  <c r="AB760" i="1"/>
  <c r="AA760" i="1"/>
  <c r="AC759" i="1"/>
  <c r="AB759" i="1"/>
  <c r="AA759" i="1"/>
  <c r="AC758" i="1"/>
  <c r="AB758" i="1"/>
  <c r="AA758" i="1"/>
  <c r="AC757" i="1"/>
  <c r="AB757" i="1"/>
  <c r="AA757" i="1"/>
  <c r="AC756" i="1"/>
  <c r="AB756" i="1"/>
  <c r="AA756" i="1"/>
  <c r="AC755" i="1"/>
  <c r="AB755" i="1"/>
  <c r="AA755" i="1"/>
  <c r="AC754" i="1"/>
  <c r="AB754" i="1"/>
  <c r="AA754" i="1"/>
  <c r="AC753" i="1"/>
  <c r="AB753" i="1"/>
  <c r="AA753" i="1"/>
  <c r="AC752" i="1"/>
  <c r="AB752" i="1"/>
  <c r="AA752" i="1"/>
  <c r="AC751" i="1"/>
  <c r="AB751" i="1"/>
  <c r="AA751" i="1"/>
  <c r="AC750" i="1"/>
  <c r="AB750" i="1"/>
  <c r="AA750" i="1"/>
  <c r="AC749" i="1"/>
  <c r="AB749" i="1"/>
  <c r="AA749" i="1"/>
  <c r="AC748" i="1"/>
  <c r="AB748" i="1"/>
  <c r="AA748" i="1"/>
  <c r="AC747" i="1"/>
  <c r="AB747" i="1"/>
  <c r="AA747" i="1"/>
  <c r="AC746" i="1"/>
  <c r="AB746" i="1"/>
  <c r="AA746" i="1"/>
  <c r="AC745" i="1"/>
  <c r="AB745" i="1"/>
  <c r="AA745" i="1"/>
  <c r="AC744" i="1"/>
  <c r="AB744" i="1"/>
  <c r="AA744" i="1"/>
  <c r="AC743" i="1"/>
  <c r="AB743" i="1"/>
  <c r="AA743" i="1"/>
  <c r="AC742" i="1"/>
  <c r="AB742" i="1"/>
  <c r="AA742" i="1"/>
  <c r="AC741" i="1"/>
  <c r="AB741" i="1"/>
  <c r="AA741" i="1"/>
  <c r="AC740" i="1"/>
  <c r="AB740" i="1"/>
  <c r="AA740" i="1"/>
  <c r="AC739" i="1"/>
  <c r="AB739" i="1"/>
  <c r="AA739" i="1"/>
  <c r="AC738" i="1"/>
  <c r="AB738" i="1"/>
  <c r="AA738" i="1"/>
  <c r="AC737" i="1"/>
  <c r="AB737" i="1"/>
  <c r="AA737" i="1"/>
  <c r="AC736" i="1"/>
  <c r="AB736" i="1"/>
  <c r="AA736" i="1"/>
  <c r="AC735" i="1"/>
  <c r="AB735" i="1"/>
  <c r="AA735" i="1"/>
  <c r="AC734" i="1"/>
  <c r="AB734" i="1"/>
  <c r="AA734" i="1"/>
  <c r="AC733" i="1"/>
  <c r="AB733" i="1"/>
  <c r="AA733" i="1"/>
  <c r="AC732" i="1"/>
  <c r="AB732" i="1"/>
  <c r="AA732" i="1"/>
  <c r="AC731" i="1"/>
  <c r="AB731" i="1"/>
  <c r="AA731" i="1"/>
  <c r="AC730" i="1"/>
  <c r="AB730" i="1"/>
  <c r="AA730" i="1"/>
  <c r="AC729" i="1"/>
  <c r="AB729" i="1"/>
  <c r="AA729" i="1"/>
  <c r="AC728" i="1"/>
  <c r="AB728" i="1"/>
  <c r="AA728" i="1"/>
  <c r="AC727" i="1"/>
  <c r="AB727" i="1"/>
  <c r="AA727" i="1"/>
  <c r="AC726" i="1"/>
  <c r="AB726" i="1"/>
  <c r="AA726" i="1"/>
  <c r="AC725" i="1"/>
  <c r="AB725" i="1"/>
  <c r="AA725" i="1"/>
  <c r="AC724" i="1"/>
  <c r="AB724" i="1"/>
  <c r="AA724" i="1"/>
  <c r="AC723" i="1"/>
  <c r="AB723" i="1"/>
  <c r="AA723" i="1"/>
  <c r="AC722" i="1"/>
  <c r="AB722" i="1"/>
  <c r="AA722" i="1"/>
  <c r="AC721" i="1"/>
  <c r="AB721" i="1"/>
  <c r="AA721" i="1"/>
  <c r="AC720" i="1"/>
  <c r="AB720" i="1"/>
  <c r="AA720" i="1"/>
  <c r="AC719" i="1"/>
  <c r="AB719" i="1"/>
  <c r="AA719" i="1"/>
  <c r="AC718" i="1"/>
  <c r="AB718" i="1"/>
  <c r="AA718" i="1"/>
  <c r="AC717" i="1"/>
  <c r="AB717" i="1"/>
  <c r="AA717" i="1"/>
  <c r="AC716" i="1"/>
  <c r="AB716" i="1"/>
  <c r="AA716" i="1"/>
  <c r="AC715" i="1"/>
  <c r="AB715" i="1"/>
  <c r="AA715" i="1"/>
  <c r="AC714" i="1"/>
  <c r="AB714" i="1"/>
  <c r="AA714" i="1"/>
  <c r="AC713" i="1"/>
  <c r="AB713" i="1"/>
  <c r="AA713" i="1"/>
  <c r="AC712" i="1"/>
  <c r="AB712" i="1"/>
  <c r="AA712" i="1"/>
  <c r="AC711" i="1"/>
  <c r="AB711" i="1"/>
  <c r="AA711" i="1"/>
  <c r="AC710" i="1"/>
  <c r="AB710" i="1"/>
  <c r="AA710" i="1"/>
  <c r="AC709" i="1"/>
  <c r="AB709" i="1"/>
  <c r="AA709" i="1"/>
  <c r="AC708" i="1"/>
  <c r="AB708" i="1"/>
  <c r="AA708" i="1"/>
  <c r="AC707" i="1"/>
  <c r="AB707" i="1"/>
  <c r="AA707" i="1"/>
  <c r="AC706" i="1"/>
  <c r="AB706" i="1"/>
  <c r="AA706" i="1"/>
  <c r="AC705" i="1"/>
  <c r="AB705" i="1"/>
  <c r="AA705" i="1"/>
  <c r="AC704" i="1"/>
  <c r="AB704" i="1"/>
  <c r="AA704" i="1"/>
  <c r="AC703" i="1"/>
  <c r="AB703" i="1"/>
  <c r="AA703" i="1"/>
  <c r="AC702" i="1"/>
  <c r="AB702" i="1"/>
  <c r="AA702" i="1"/>
  <c r="AC701" i="1"/>
  <c r="AB701" i="1"/>
  <c r="AA701" i="1"/>
  <c r="AC700" i="1"/>
  <c r="AB700" i="1"/>
  <c r="AA700" i="1"/>
  <c r="AC699" i="1"/>
  <c r="AB699" i="1"/>
  <c r="AA699" i="1"/>
  <c r="AC698" i="1"/>
  <c r="AB698" i="1"/>
  <c r="AA698" i="1"/>
  <c r="U698" i="1"/>
  <c r="AC697" i="1"/>
  <c r="AB697" i="1"/>
  <c r="AA697" i="1"/>
  <c r="U697" i="1"/>
  <c r="AC696" i="1"/>
  <c r="AB696" i="1"/>
  <c r="AA696" i="1"/>
  <c r="U696" i="1"/>
  <c r="AC695" i="1"/>
  <c r="AB695" i="1"/>
  <c r="AA695" i="1"/>
  <c r="U695" i="1"/>
  <c r="AC694" i="1"/>
  <c r="AB694" i="1"/>
  <c r="AA694" i="1"/>
  <c r="U694" i="1"/>
  <c r="AC693" i="1"/>
  <c r="AB693" i="1"/>
  <c r="AA693" i="1"/>
  <c r="U693" i="1"/>
  <c r="AC692" i="1"/>
  <c r="AB692" i="1"/>
  <c r="AA692" i="1"/>
  <c r="U692" i="1"/>
  <c r="AC691" i="1"/>
  <c r="AB691" i="1"/>
  <c r="AA691" i="1"/>
  <c r="U691" i="1"/>
  <c r="AC690" i="1"/>
  <c r="AB690" i="1"/>
  <c r="AA690" i="1"/>
  <c r="U690" i="1"/>
  <c r="AC689" i="1"/>
  <c r="AB689" i="1"/>
  <c r="AA689" i="1"/>
  <c r="U689" i="1"/>
  <c r="AC688" i="1"/>
  <c r="AB688" i="1"/>
  <c r="AA688" i="1"/>
  <c r="U688" i="1"/>
  <c r="AC687" i="1"/>
  <c r="AB687" i="1"/>
  <c r="AA687" i="1"/>
  <c r="U687" i="1"/>
  <c r="AC686" i="1"/>
  <c r="AB686" i="1"/>
  <c r="AA686" i="1"/>
  <c r="U686" i="1"/>
  <c r="AC685" i="1"/>
  <c r="AB685" i="1"/>
  <c r="AA685" i="1"/>
  <c r="U685" i="1"/>
  <c r="AC684" i="1"/>
  <c r="AB684" i="1"/>
  <c r="AA684" i="1"/>
  <c r="U684" i="1"/>
  <c r="AC683" i="1"/>
  <c r="AB683" i="1"/>
  <c r="AA683" i="1"/>
  <c r="U683" i="1"/>
  <c r="AC682" i="1"/>
  <c r="AB682" i="1"/>
  <c r="AA682" i="1"/>
  <c r="U682" i="1"/>
  <c r="AC681" i="1"/>
  <c r="AB681" i="1"/>
  <c r="AA681" i="1"/>
  <c r="U681" i="1"/>
  <c r="AC680" i="1"/>
  <c r="AB680" i="1"/>
  <c r="AA680" i="1"/>
  <c r="U680" i="1"/>
  <c r="AC679" i="1"/>
  <c r="AB679" i="1"/>
  <c r="AA679" i="1"/>
  <c r="U679" i="1"/>
  <c r="AC678" i="1"/>
  <c r="AB678" i="1"/>
  <c r="AA678" i="1"/>
  <c r="U678" i="1"/>
  <c r="AC677" i="1"/>
  <c r="AB677" i="1"/>
  <c r="AA677" i="1"/>
  <c r="U677" i="1"/>
  <c r="AC676" i="1"/>
  <c r="AB676" i="1"/>
  <c r="AA676" i="1"/>
  <c r="U676" i="1"/>
  <c r="AC675" i="1"/>
  <c r="AB675" i="1"/>
  <c r="AA675" i="1"/>
  <c r="U675" i="1"/>
  <c r="AC674" i="1"/>
  <c r="AB674" i="1"/>
  <c r="AA674" i="1"/>
  <c r="U674" i="1"/>
  <c r="AC673" i="1"/>
  <c r="AB673" i="1"/>
  <c r="AA673" i="1"/>
  <c r="U673" i="1"/>
  <c r="AC672" i="1"/>
  <c r="AB672" i="1"/>
  <c r="AA672" i="1"/>
  <c r="U672" i="1"/>
  <c r="AC671" i="1"/>
  <c r="AB671" i="1"/>
  <c r="AA671" i="1"/>
  <c r="U671" i="1"/>
  <c r="AC670" i="1"/>
  <c r="AB670" i="1"/>
  <c r="AA670" i="1"/>
  <c r="U670" i="1"/>
  <c r="AC669" i="1"/>
  <c r="AB669" i="1"/>
  <c r="AA669" i="1"/>
  <c r="U669" i="1"/>
  <c r="AC668" i="1"/>
  <c r="AB668" i="1"/>
  <c r="AA668" i="1"/>
  <c r="U668" i="1"/>
  <c r="AC667" i="1"/>
  <c r="AB667" i="1"/>
  <c r="AA667" i="1"/>
  <c r="U667" i="1"/>
  <c r="AC666" i="1"/>
  <c r="AB666" i="1"/>
  <c r="AA666" i="1"/>
  <c r="U666" i="1"/>
  <c r="AC665" i="1"/>
  <c r="AB665" i="1"/>
  <c r="AA665" i="1"/>
  <c r="U665" i="1"/>
  <c r="AC664" i="1"/>
  <c r="AB664" i="1"/>
  <c r="AA664" i="1"/>
  <c r="U664" i="1"/>
  <c r="AC663" i="1"/>
  <c r="AB663" i="1"/>
  <c r="AA663" i="1"/>
  <c r="U663" i="1"/>
  <c r="AC662" i="1"/>
  <c r="AB662" i="1"/>
  <c r="AA662" i="1"/>
  <c r="U662" i="1"/>
  <c r="AC661" i="1"/>
  <c r="AB661" i="1"/>
  <c r="AA661" i="1"/>
  <c r="U661" i="1"/>
  <c r="AC660" i="1"/>
  <c r="AB660" i="1"/>
  <c r="AA660" i="1"/>
  <c r="U660" i="1"/>
  <c r="AC659" i="1"/>
  <c r="AB659" i="1"/>
  <c r="AA659" i="1"/>
  <c r="U659" i="1"/>
  <c r="AC658" i="1"/>
  <c r="AB658" i="1"/>
  <c r="AA658" i="1"/>
  <c r="U658" i="1"/>
  <c r="AC657" i="1"/>
  <c r="AB657" i="1"/>
  <c r="AA657" i="1"/>
  <c r="U657" i="1"/>
  <c r="AC656" i="1"/>
  <c r="AB656" i="1"/>
  <c r="AA656" i="1"/>
  <c r="U656" i="1"/>
  <c r="AC655" i="1"/>
  <c r="AB655" i="1"/>
  <c r="AA655" i="1"/>
  <c r="U655" i="1"/>
  <c r="AC654" i="1"/>
  <c r="AB654" i="1"/>
  <c r="AA654" i="1"/>
  <c r="U654" i="1"/>
  <c r="AC653" i="1"/>
  <c r="AB653" i="1"/>
  <c r="AA653" i="1"/>
  <c r="U653" i="1"/>
  <c r="AC652" i="1"/>
  <c r="AB652" i="1"/>
  <c r="AA652" i="1"/>
  <c r="U652" i="1"/>
  <c r="AC651" i="1"/>
  <c r="AB651" i="1"/>
  <c r="AA651" i="1"/>
  <c r="U651" i="1"/>
  <c r="AC650" i="1"/>
  <c r="AB650" i="1"/>
  <c r="AA650" i="1"/>
  <c r="U650" i="1"/>
  <c r="AC649" i="1"/>
  <c r="AB649" i="1"/>
  <c r="AA649" i="1"/>
  <c r="U649" i="1"/>
  <c r="AC648" i="1"/>
  <c r="AB648" i="1"/>
  <c r="AA648" i="1"/>
  <c r="U648" i="1"/>
  <c r="AC647" i="1"/>
  <c r="AB647" i="1"/>
  <c r="AA647" i="1"/>
  <c r="U647" i="1"/>
  <c r="AC646" i="1"/>
  <c r="AB646" i="1"/>
  <c r="AA646" i="1"/>
  <c r="U646" i="1"/>
  <c r="AC645" i="1"/>
  <c r="AB645" i="1"/>
  <c r="AA645" i="1"/>
  <c r="U645" i="1"/>
  <c r="AC644" i="1"/>
  <c r="AB644" i="1"/>
  <c r="AA644" i="1"/>
  <c r="U644" i="1"/>
  <c r="AC643" i="1"/>
  <c r="AB643" i="1"/>
  <c r="AA643" i="1"/>
  <c r="U643" i="1"/>
  <c r="AC642" i="1"/>
  <c r="AB642" i="1"/>
  <c r="AA642" i="1"/>
  <c r="U642" i="1"/>
  <c r="AC641" i="1"/>
  <c r="AB641" i="1"/>
  <c r="AA641" i="1"/>
  <c r="U641" i="1"/>
  <c r="AC640" i="1"/>
  <c r="AB640" i="1"/>
  <c r="AA640" i="1"/>
  <c r="U640" i="1"/>
  <c r="AC639" i="1"/>
  <c r="AB639" i="1"/>
  <c r="AA639" i="1"/>
  <c r="U639" i="1"/>
  <c r="AC638" i="1"/>
  <c r="AB638" i="1"/>
  <c r="AA638" i="1"/>
  <c r="U638" i="1"/>
  <c r="AC637" i="1"/>
  <c r="AB637" i="1"/>
  <c r="AA637" i="1"/>
  <c r="U637" i="1"/>
  <c r="AC636" i="1"/>
  <c r="AB636" i="1"/>
  <c r="AA636" i="1"/>
  <c r="U636" i="1"/>
  <c r="AC635" i="1"/>
  <c r="AB635" i="1"/>
  <c r="AA635" i="1"/>
  <c r="U635" i="1"/>
  <c r="AC634" i="1"/>
  <c r="AB634" i="1"/>
  <c r="AA634" i="1"/>
  <c r="U634" i="1"/>
  <c r="AC633" i="1"/>
  <c r="AB633" i="1"/>
  <c r="AA633" i="1"/>
  <c r="U633" i="1"/>
  <c r="AC632" i="1"/>
  <c r="AB632" i="1"/>
  <c r="AA632" i="1"/>
  <c r="U632" i="1"/>
  <c r="AC631" i="1"/>
  <c r="AB631" i="1"/>
  <c r="AA631" i="1"/>
  <c r="U631" i="1"/>
  <c r="AC630" i="1"/>
  <c r="AB630" i="1"/>
  <c r="AA630" i="1"/>
  <c r="U630" i="1"/>
  <c r="AC629" i="1"/>
  <c r="AB629" i="1"/>
  <c r="AA629" i="1"/>
  <c r="U629" i="1"/>
  <c r="AC628" i="1"/>
  <c r="AB628" i="1"/>
  <c r="AA628" i="1"/>
  <c r="U628" i="1"/>
  <c r="AC627" i="1"/>
  <c r="AB627" i="1"/>
  <c r="AA627" i="1"/>
  <c r="U627" i="1"/>
  <c r="AC626" i="1"/>
  <c r="AB626" i="1"/>
  <c r="AA626" i="1"/>
  <c r="U626" i="1"/>
  <c r="AC625" i="1"/>
  <c r="AB625" i="1"/>
  <c r="AA625" i="1"/>
  <c r="U625" i="1"/>
  <c r="AC624" i="1"/>
  <c r="AB624" i="1"/>
  <c r="AA624" i="1"/>
  <c r="U624" i="1"/>
  <c r="AC623" i="1"/>
  <c r="AB623" i="1"/>
  <c r="AA623" i="1"/>
  <c r="U623" i="1"/>
  <c r="AC622" i="1"/>
  <c r="AB622" i="1"/>
  <c r="AA622" i="1"/>
  <c r="U622" i="1"/>
  <c r="AC621" i="1"/>
  <c r="AB621" i="1"/>
  <c r="AA621" i="1"/>
  <c r="U621" i="1"/>
  <c r="AC620" i="1"/>
  <c r="AB620" i="1"/>
  <c r="AA620" i="1"/>
  <c r="U620" i="1"/>
  <c r="AC619" i="1"/>
  <c r="AB619" i="1"/>
  <c r="AA619" i="1"/>
  <c r="U619" i="1"/>
  <c r="AC618" i="1"/>
  <c r="AB618" i="1"/>
  <c r="AA618" i="1"/>
  <c r="U618" i="1"/>
  <c r="AC617" i="1"/>
  <c r="AB617" i="1"/>
  <c r="AA617" i="1"/>
  <c r="U617" i="1"/>
  <c r="AC616" i="1"/>
  <c r="AB616" i="1"/>
  <c r="AA616" i="1"/>
  <c r="U616" i="1"/>
  <c r="AC615" i="1"/>
  <c r="AB615" i="1"/>
  <c r="AA615" i="1"/>
  <c r="U615" i="1"/>
  <c r="AC614" i="1"/>
  <c r="AB614" i="1"/>
  <c r="AA614" i="1"/>
  <c r="U614" i="1"/>
  <c r="AC613" i="1"/>
  <c r="AB613" i="1"/>
  <c r="AA613" i="1"/>
  <c r="U613" i="1"/>
  <c r="AC612" i="1"/>
  <c r="AB612" i="1"/>
  <c r="AA612" i="1"/>
  <c r="U612" i="1"/>
  <c r="AC611" i="1"/>
  <c r="AB611" i="1"/>
  <c r="AA611" i="1"/>
  <c r="U611" i="1"/>
  <c r="AC610" i="1"/>
  <c r="AB610" i="1"/>
  <c r="AA610" i="1"/>
  <c r="U610" i="1"/>
  <c r="AC609" i="1"/>
  <c r="AB609" i="1"/>
  <c r="AA609" i="1"/>
  <c r="U609" i="1"/>
  <c r="AC608" i="1"/>
  <c r="AB608" i="1"/>
  <c r="AA608" i="1"/>
  <c r="U608" i="1"/>
  <c r="AC607" i="1"/>
  <c r="AB607" i="1"/>
  <c r="AA607" i="1"/>
  <c r="U607" i="1"/>
  <c r="AC606" i="1"/>
  <c r="AB606" i="1"/>
  <c r="AA606" i="1"/>
  <c r="U606" i="1"/>
  <c r="AC605" i="1"/>
  <c r="AB605" i="1"/>
  <c r="AA605" i="1"/>
  <c r="U605" i="1"/>
  <c r="AC604" i="1"/>
  <c r="AB604" i="1"/>
  <c r="AA604" i="1"/>
  <c r="U604" i="1"/>
  <c r="AC603" i="1"/>
  <c r="AB603" i="1"/>
  <c r="AA603" i="1"/>
  <c r="U603" i="1"/>
  <c r="AC602" i="1"/>
  <c r="AB602" i="1"/>
  <c r="AA602" i="1"/>
  <c r="U602" i="1"/>
  <c r="AC601" i="1"/>
  <c r="AB601" i="1"/>
  <c r="AA601" i="1"/>
  <c r="U601" i="1"/>
  <c r="AC600" i="1"/>
  <c r="AB600" i="1"/>
  <c r="AA600" i="1"/>
  <c r="U600" i="1"/>
  <c r="AC599" i="1"/>
  <c r="AB599" i="1"/>
  <c r="AA599" i="1"/>
  <c r="U599" i="1"/>
  <c r="AC598" i="1"/>
  <c r="AB598" i="1"/>
  <c r="AA598" i="1"/>
  <c r="U598" i="1"/>
  <c r="AC597" i="1"/>
  <c r="AB597" i="1"/>
  <c r="AA597" i="1"/>
  <c r="U597" i="1"/>
  <c r="AC596" i="1"/>
  <c r="AB596" i="1"/>
  <c r="AA596" i="1"/>
  <c r="U596" i="1"/>
  <c r="AC595" i="1"/>
  <c r="AB595" i="1"/>
  <c r="AA595" i="1"/>
  <c r="U595" i="1"/>
  <c r="AC594" i="1"/>
  <c r="AB594" i="1"/>
  <c r="AA594" i="1"/>
  <c r="U594" i="1"/>
  <c r="AC593" i="1"/>
  <c r="AB593" i="1"/>
  <c r="AA593" i="1"/>
  <c r="U593" i="1"/>
  <c r="AC592" i="1"/>
  <c r="AB592" i="1"/>
  <c r="AA592" i="1"/>
  <c r="U592" i="1"/>
  <c r="AC591" i="1"/>
  <c r="AB591" i="1"/>
  <c r="AA591" i="1"/>
  <c r="U591" i="1"/>
  <c r="AC590" i="1"/>
  <c r="AB590" i="1"/>
  <c r="AA590" i="1"/>
  <c r="U590" i="1"/>
  <c r="AC589" i="1"/>
  <c r="AB589" i="1"/>
  <c r="AA589" i="1"/>
  <c r="U589" i="1"/>
  <c r="AC588" i="1"/>
  <c r="AB588" i="1"/>
  <c r="AA588" i="1"/>
  <c r="U588" i="1"/>
  <c r="AC587" i="1"/>
  <c r="AB587" i="1"/>
  <c r="AA587" i="1"/>
  <c r="U587" i="1"/>
  <c r="AC586" i="1"/>
  <c r="AB586" i="1"/>
  <c r="AA586" i="1"/>
  <c r="U586" i="1"/>
  <c r="AC585" i="1"/>
  <c r="AB585" i="1"/>
  <c r="AA585" i="1"/>
  <c r="U585" i="1"/>
  <c r="AC584" i="1"/>
  <c r="AB584" i="1"/>
  <c r="AA584" i="1"/>
  <c r="U584" i="1"/>
  <c r="AC583" i="1"/>
  <c r="AB583" i="1"/>
  <c r="AA583" i="1"/>
  <c r="U583" i="1"/>
  <c r="AC582" i="1"/>
  <c r="AB582" i="1"/>
  <c r="AA582" i="1"/>
  <c r="U582" i="1"/>
  <c r="AC581" i="1"/>
  <c r="AB581" i="1"/>
  <c r="AA581" i="1"/>
  <c r="U581" i="1"/>
  <c r="AC580" i="1"/>
  <c r="AB580" i="1"/>
  <c r="AA580" i="1"/>
  <c r="U580" i="1"/>
  <c r="AC579" i="1"/>
  <c r="AB579" i="1"/>
  <c r="AA579" i="1"/>
  <c r="U579" i="1"/>
  <c r="AC578" i="1"/>
  <c r="AB578" i="1"/>
  <c r="AA578" i="1"/>
  <c r="U578" i="1"/>
  <c r="AC577" i="1"/>
  <c r="AB577" i="1"/>
  <c r="AA577" i="1"/>
  <c r="U577" i="1"/>
  <c r="AC576" i="1"/>
  <c r="AB576" i="1"/>
  <c r="AA576" i="1"/>
  <c r="U576" i="1"/>
  <c r="AC575" i="1"/>
  <c r="AB575" i="1"/>
  <c r="AA575" i="1"/>
  <c r="U575" i="1"/>
  <c r="AC574" i="1"/>
  <c r="AB574" i="1"/>
  <c r="AA574" i="1"/>
  <c r="U574" i="1"/>
  <c r="AC573" i="1"/>
  <c r="AB573" i="1"/>
  <c r="AA573" i="1"/>
  <c r="U573" i="1"/>
  <c r="AC572" i="1"/>
  <c r="AB572" i="1"/>
  <c r="AA572" i="1"/>
  <c r="U572" i="1"/>
  <c r="AC571" i="1"/>
  <c r="AB571" i="1"/>
  <c r="AA571" i="1"/>
  <c r="U571" i="1"/>
  <c r="AC570" i="1"/>
  <c r="AB570" i="1"/>
  <c r="AA570" i="1"/>
  <c r="U570" i="1"/>
  <c r="AC569" i="1"/>
  <c r="AB569" i="1"/>
  <c r="AA569" i="1"/>
  <c r="U569" i="1"/>
  <c r="AC568" i="1"/>
  <c r="AB568" i="1"/>
  <c r="AA568" i="1"/>
  <c r="U568" i="1"/>
  <c r="AC567" i="1"/>
  <c r="AB567" i="1"/>
  <c r="AA567" i="1"/>
  <c r="U567" i="1"/>
  <c r="AC566" i="1"/>
  <c r="AB566" i="1"/>
  <c r="AA566" i="1"/>
  <c r="U566" i="1"/>
  <c r="AC565" i="1"/>
  <c r="AB565" i="1"/>
  <c r="AA565" i="1"/>
  <c r="U565" i="1"/>
  <c r="AC564" i="1"/>
  <c r="AB564" i="1"/>
  <c r="AA564" i="1"/>
  <c r="U564" i="1"/>
  <c r="AC563" i="1"/>
  <c r="AB563" i="1"/>
  <c r="AA563" i="1"/>
  <c r="U563" i="1"/>
  <c r="AC562" i="1"/>
  <c r="AB562" i="1"/>
  <c r="AA562" i="1"/>
  <c r="U562" i="1"/>
  <c r="AC561" i="1"/>
  <c r="AB561" i="1"/>
  <c r="AA561" i="1"/>
  <c r="U561" i="1"/>
  <c r="AC560" i="1"/>
  <c r="AB560" i="1"/>
  <c r="AA560" i="1"/>
  <c r="U560" i="1"/>
  <c r="AC559" i="1"/>
  <c r="AB559" i="1"/>
  <c r="AA559" i="1"/>
  <c r="U559" i="1"/>
  <c r="AC558" i="1"/>
  <c r="AB558" i="1"/>
  <c r="AA558" i="1"/>
  <c r="U558" i="1"/>
  <c r="AC557" i="1"/>
  <c r="AB557" i="1"/>
  <c r="AA557" i="1"/>
  <c r="U557" i="1"/>
  <c r="AC556" i="1"/>
  <c r="AB556" i="1"/>
  <c r="AA556" i="1"/>
  <c r="U556" i="1"/>
  <c r="AC555" i="1"/>
  <c r="AB555" i="1"/>
  <c r="AA555" i="1"/>
  <c r="U555" i="1"/>
  <c r="AC554" i="1"/>
  <c r="AB554" i="1"/>
  <c r="AA554" i="1"/>
  <c r="U554" i="1"/>
  <c r="AC553" i="1"/>
  <c r="AB553" i="1"/>
  <c r="AA553" i="1"/>
  <c r="U553" i="1"/>
  <c r="AC552" i="1"/>
  <c r="AB552" i="1"/>
  <c r="AA552" i="1"/>
  <c r="U552" i="1"/>
  <c r="AC551" i="1"/>
  <c r="AB551" i="1"/>
  <c r="AA551" i="1"/>
  <c r="U551" i="1"/>
  <c r="AC550" i="1"/>
  <c r="AB550" i="1"/>
  <c r="AA550" i="1"/>
  <c r="U550" i="1"/>
  <c r="AC549" i="1"/>
  <c r="AB549" i="1"/>
  <c r="AA549" i="1"/>
  <c r="U549" i="1"/>
  <c r="AC548" i="1"/>
  <c r="AB548" i="1"/>
  <c r="AA548" i="1"/>
  <c r="U548" i="1"/>
  <c r="AC547" i="1"/>
  <c r="AB547" i="1"/>
  <c r="AA547" i="1"/>
  <c r="U547" i="1"/>
  <c r="AC546" i="1"/>
  <c r="AB546" i="1"/>
  <c r="AA546" i="1"/>
  <c r="U546" i="1"/>
  <c r="AC545" i="1"/>
  <c r="AB545" i="1"/>
  <c r="AA545" i="1"/>
  <c r="U545" i="1"/>
  <c r="AC544" i="1"/>
  <c r="AB544" i="1"/>
  <c r="AA544" i="1"/>
  <c r="U544" i="1"/>
  <c r="AC543" i="1"/>
  <c r="AB543" i="1"/>
  <c r="AA543" i="1"/>
  <c r="U543" i="1"/>
  <c r="AC542" i="1"/>
  <c r="AB542" i="1"/>
  <c r="AA542" i="1"/>
  <c r="U542" i="1"/>
  <c r="AC541" i="1"/>
  <c r="AB541" i="1"/>
  <c r="AA541" i="1"/>
  <c r="U541" i="1"/>
  <c r="AC540" i="1"/>
  <c r="AB540" i="1"/>
  <c r="AA540" i="1"/>
  <c r="U540" i="1"/>
  <c r="AC539" i="1"/>
  <c r="AB539" i="1"/>
  <c r="AA539" i="1"/>
  <c r="U539" i="1"/>
  <c r="AC538" i="1"/>
  <c r="AB538" i="1"/>
  <c r="AA538" i="1"/>
  <c r="U538" i="1"/>
  <c r="AC537" i="1"/>
  <c r="AB537" i="1"/>
  <c r="AA537" i="1"/>
  <c r="U537" i="1"/>
  <c r="AC536" i="1"/>
  <c r="AB536" i="1"/>
  <c r="AA536" i="1"/>
  <c r="U536" i="1"/>
  <c r="AC535" i="1"/>
  <c r="AB535" i="1"/>
  <c r="AA535" i="1"/>
  <c r="U535" i="1"/>
  <c r="AC534" i="1"/>
  <c r="AB534" i="1"/>
  <c r="AA534" i="1"/>
  <c r="U534" i="1"/>
  <c r="AC533" i="1"/>
  <c r="AB533" i="1"/>
  <c r="AA533" i="1"/>
  <c r="U533" i="1"/>
  <c r="AC532" i="1"/>
  <c r="AB532" i="1"/>
  <c r="AA532" i="1"/>
  <c r="U532" i="1"/>
  <c r="AC531" i="1"/>
  <c r="AB531" i="1"/>
  <c r="AA531" i="1"/>
  <c r="U531" i="1"/>
  <c r="AC530" i="1"/>
  <c r="AB530" i="1"/>
  <c r="AA530" i="1"/>
  <c r="U530" i="1"/>
  <c r="AC529" i="1"/>
  <c r="AB529" i="1"/>
  <c r="AA529" i="1"/>
  <c r="U529" i="1"/>
  <c r="AC528" i="1"/>
  <c r="AB528" i="1"/>
  <c r="AA528" i="1"/>
  <c r="U528" i="1"/>
  <c r="AC527" i="1"/>
  <c r="AB527" i="1"/>
  <c r="AA527" i="1"/>
  <c r="U527" i="1"/>
  <c r="AC526" i="1"/>
  <c r="AB526" i="1"/>
  <c r="AA526" i="1"/>
  <c r="U526" i="1"/>
  <c r="AC525" i="1"/>
  <c r="AB525" i="1"/>
  <c r="AA525" i="1"/>
  <c r="U525" i="1"/>
  <c r="AC524" i="1"/>
  <c r="AB524" i="1"/>
  <c r="AA524" i="1"/>
  <c r="U524" i="1"/>
  <c r="AC523" i="1"/>
  <c r="AB523" i="1"/>
  <c r="AA523" i="1"/>
  <c r="U523" i="1"/>
  <c r="AC522" i="1"/>
  <c r="AB522" i="1"/>
  <c r="AA522" i="1"/>
  <c r="U522" i="1"/>
  <c r="AC521" i="1"/>
  <c r="AB521" i="1"/>
  <c r="AA521" i="1"/>
  <c r="U521" i="1"/>
  <c r="AC520" i="1"/>
  <c r="AB520" i="1"/>
  <c r="AA520" i="1"/>
  <c r="U520" i="1"/>
  <c r="AC519" i="1"/>
  <c r="AB519" i="1"/>
  <c r="AA519" i="1"/>
  <c r="AC518" i="1"/>
  <c r="AB518" i="1"/>
  <c r="AA518" i="1"/>
  <c r="U518" i="1"/>
  <c r="AC517" i="1"/>
  <c r="AB517" i="1"/>
  <c r="AA517" i="1"/>
  <c r="U517" i="1"/>
  <c r="AC516" i="1"/>
  <c r="AB516" i="1"/>
  <c r="AA516" i="1"/>
  <c r="U516" i="1"/>
  <c r="AC515" i="1"/>
  <c r="AB515" i="1"/>
  <c r="AA515" i="1"/>
  <c r="U515" i="1"/>
  <c r="AC514" i="1"/>
  <c r="AB514" i="1"/>
  <c r="AA514" i="1"/>
  <c r="U514" i="1"/>
  <c r="AC513" i="1"/>
  <c r="AB513" i="1"/>
  <c r="AA513" i="1"/>
  <c r="U513" i="1"/>
  <c r="AC512" i="1"/>
  <c r="AB512" i="1"/>
  <c r="AA512" i="1"/>
  <c r="U512" i="1"/>
  <c r="AC511" i="1"/>
  <c r="AB511" i="1"/>
  <c r="AA511" i="1"/>
  <c r="U511" i="1"/>
  <c r="AC510" i="1"/>
  <c r="AB510" i="1"/>
  <c r="AA510" i="1"/>
  <c r="U510" i="1"/>
  <c r="AC509" i="1"/>
  <c r="AB509" i="1"/>
  <c r="AA509" i="1"/>
  <c r="U509" i="1"/>
  <c r="AC508" i="1"/>
  <c r="AB508" i="1"/>
  <c r="AA508" i="1"/>
  <c r="U508" i="1"/>
  <c r="AC507" i="1"/>
  <c r="AB507" i="1"/>
  <c r="AA507" i="1"/>
  <c r="U507" i="1"/>
  <c r="AC506" i="1"/>
  <c r="AB506" i="1"/>
  <c r="AA506" i="1"/>
  <c r="U506" i="1"/>
  <c r="AC505" i="1"/>
  <c r="AB505" i="1"/>
  <c r="AA505" i="1"/>
  <c r="U505" i="1"/>
  <c r="AC504" i="1"/>
  <c r="AB504" i="1"/>
  <c r="AA504" i="1"/>
  <c r="U504" i="1"/>
  <c r="AC503" i="1"/>
  <c r="AB503" i="1"/>
  <c r="AA503" i="1"/>
  <c r="U503" i="1"/>
  <c r="AC502" i="1"/>
  <c r="AB502" i="1"/>
  <c r="AA502" i="1"/>
  <c r="U502" i="1"/>
  <c r="AC501" i="1"/>
  <c r="AB501" i="1"/>
  <c r="AA501" i="1"/>
  <c r="U501" i="1"/>
  <c r="AC500" i="1"/>
  <c r="AB500" i="1"/>
  <c r="AA500" i="1"/>
  <c r="U500" i="1"/>
  <c r="AC499" i="1"/>
  <c r="AB499" i="1"/>
  <c r="AA499" i="1"/>
  <c r="U499" i="1"/>
  <c r="AC498" i="1"/>
  <c r="AB498" i="1"/>
  <c r="AA498" i="1"/>
  <c r="U498" i="1"/>
  <c r="AC497" i="1"/>
  <c r="AB497" i="1"/>
  <c r="AA497" i="1"/>
  <c r="U497" i="1"/>
  <c r="AC496" i="1"/>
  <c r="AB496" i="1"/>
  <c r="AA496" i="1"/>
  <c r="U496" i="1"/>
  <c r="AC495" i="1"/>
  <c r="AB495" i="1"/>
  <c r="AA495" i="1"/>
  <c r="AC494" i="1"/>
  <c r="AB494" i="1"/>
  <c r="AA494" i="1"/>
  <c r="AC493" i="1"/>
  <c r="AB493" i="1"/>
  <c r="AA493" i="1"/>
  <c r="AC492" i="1"/>
  <c r="AB492" i="1"/>
  <c r="AA492" i="1"/>
  <c r="AC491" i="1"/>
  <c r="AB491" i="1"/>
  <c r="AA491" i="1"/>
  <c r="AC490" i="1"/>
  <c r="AB490" i="1"/>
  <c r="AA490" i="1"/>
  <c r="AC489" i="1"/>
  <c r="AB489" i="1"/>
  <c r="AA489" i="1"/>
  <c r="AC488" i="1"/>
  <c r="AB488" i="1"/>
  <c r="AA488" i="1"/>
  <c r="AC487" i="1"/>
  <c r="AB487" i="1"/>
  <c r="AA487" i="1"/>
  <c r="AC486" i="1"/>
  <c r="AB486" i="1"/>
  <c r="AA486" i="1"/>
  <c r="AC485" i="1"/>
  <c r="AB485" i="1"/>
  <c r="AA485" i="1"/>
  <c r="AC484" i="1"/>
  <c r="AB484" i="1"/>
  <c r="AA484" i="1"/>
  <c r="AC483" i="1"/>
  <c r="AB483" i="1"/>
  <c r="AA483" i="1"/>
  <c r="AC482" i="1"/>
  <c r="AB482" i="1"/>
  <c r="AA482" i="1"/>
  <c r="AC481" i="1"/>
  <c r="AB481" i="1"/>
  <c r="AA481" i="1"/>
  <c r="AC480" i="1"/>
  <c r="AB480" i="1"/>
  <c r="AA480" i="1"/>
  <c r="AC479" i="1"/>
  <c r="AB479" i="1"/>
  <c r="AA479" i="1"/>
  <c r="AC478" i="1"/>
  <c r="AB478" i="1"/>
  <c r="AA478" i="1"/>
  <c r="AC477" i="1"/>
  <c r="AB477" i="1"/>
  <c r="AA477" i="1"/>
  <c r="AC476" i="1"/>
  <c r="AB476" i="1"/>
  <c r="AA476" i="1"/>
  <c r="AC475" i="1"/>
  <c r="AB475" i="1"/>
  <c r="AA475" i="1"/>
  <c r="AC474" i="1"/>
  <c r="AB474" i="1"/>
  <c r="AA474" i="1"/>
  <c r="AC473" i="1"/>
  <c r="AB473" i="1"/>
  <c r="AA473" i="1"/>
  <c r="AC472" i="1"/>
  <c r="AB472" i="1"/>
  <c r="AA472" i="1"/>
  <c r="AC471" i="1"/>
  <c r="AB471" i="1"/>
  <c r="AA471" i="1"/>
  <c r="AC470" i="1"/>
  <c r="AB470" i="1"/>
  <c r="AA470" i="1"/>
  <c r="AC469" i="1"/>
  <c r="AB469" i="1"/>
  <c r="AA469" i="1"/>
  <c r="AC468" i="1"/>
  <c r="AB468" i="1"/>
  <c r="AA468" i="1"/>
  <c r="AC467" i="1"/>
  <c r="AB467" i="1"/>
  <c r="AA467" i="1"/>
  <c r="AC466" i="1"/>
  <c r="AB466" i="1"/>
  <c r="AA466" i="1"/>
  <c r="AC465" i="1"/>
  <c r="AB465" i="1"/>
  <c r="AA465" i="1"/>
  <c r="AC464" i="1"/>
  <c r="AB464" i="1"/>
  <c r="AA464" i="1"/>
  <c r="AC463" i="1"/>
  <c r="AB463" i="1"/>
  <c r="AA463" i="1"/>
  <c r="AC462" i="1"/>
  <c r="AB462" i="1"/>
  <c r="AA462" i="1"/>
  <c r="AC461" i="1"/>
  <c r="AB461" i="1"/>
  <c r="AA461" i="1"/>
  <c r="AC460" i="1"/>
  <c r="AB460" i="1"/>
  <c r="AA460" i="1"/>
  <c r="AC459" i="1"/>
  <c r="AB459" i="1"/>
  <c r="AA459" i="1"/>
  <c r="AC458" i="1"/>
  <c r="AB458" i="1"/>
  <c r="AA458" i="1"/>
  <c r="AC457" i="1"/>
  <c r="AB457" i="1"/>
  <c r="AA457" i="1"/>
  <c r="AC456" i="1"/>
  <c r="AB456" i="1"/>
  <c r="AA456" i="1"/>
  <c r="AC455" i="1"/>
  <c r="AB455" i="1"/>
  <c r="AA455" i="1"/>
  <c r="AC454" i="1"/>
  <c r="AB454" i="1"/>
  <c r="AA454" i="1"/>
  <c r="AC453" i="1"/>
  <c r="AB453" i="1"/>
  <c r="AA453" i="1"/>
  <c r="AC452" i="1"/>
  <c r="AB452" i="1"/>
  <c r="AA452" i="1"/>
  <c r="AC451" i="1"/>
  <c r="AB451" i="1"/>
  <c r="AA451" i="1"/>
  <c r="AC450" i="1"/>
  <c r="AB450" i="1"/>
  <c r="AA450" i="1"/>
  <c r="AC449" i="1"/>
  <c r="AB449" i="1"/>
  <c r="AA449" i="1"/>
  <c r="AC448" i="1"/>
  <c r="AB448" i="1"/>
  <c r="AA448" i="1"/>
  <c r="AC447" i="1"/>
  <c r="AB447" i="1"/>
  <c r="AA447" i="1"/>
  <c r="AC446" i="1"/>
  <c r="AB446" i="1"/>
  <c r="AA446" i="1"/>
  <c r="AC445" i="1"/>
  <c r="AB445" i="1"/>
  <c r="AA445" i="1"/>
  <c r="AC444" i="1"/>
  <c r="AB444" i="1"/>
  <c r="AA444" i="1"/>
  <c r="AC443" i="1"/>
  <c r="AB443" i="1"/>
  <c r="AA443" i="1"/>
  <c r="AC442" i="1"/>
  <c r="AB442" i="1"/>
  <c r="AA442" i="1"/>
  <c r="AC441" i="1"/>
  <c r="AB441" i="1"/>
  <c r="AA441" i="1"/>
  <c r="AC440" i="1"/>
  <c r="AB440" i="1"/>
  <c r="AA440" i="1"/>
  <c r="AC439" i="1"/>
  <c r="AB439" i="1"/>
  <c r="AA439" i="1"/>
  <c r="AC438" i="1"/>
  <c r="AB438" i="1"/>
  <c r="AA438" i="1"/>
  <c r="AC437" i="1"/>
  <c r="AB437" i="1"/>
  <c r="AA437" i="1"/>
  <c r="AC436" i="1"/>
  <c r="AB436" i="1"/>
  <c r="AA436" i="1"/>
  <c r="AC435" i="1"/>
  <c r="AB435" i="1"/>
  <c r="AA435" i="1"/>
  <c r="AC434" i="1"/>
  <c r="AB434" i="1"/>
  <c r="AA434" i="1"/>
  <c r="AC433" i="1"/>
  <c r="AB433" i="1"/>
  <c r="AA433" i="1"/>
  <c r="AC432" i="1"/>
  <c r="AB432" i="1"/>
  <c r="AA432" i="1"/>
  <c r="AC431" i="1"/>
  <c r="AB431" i="1"/>
  <c r="AA431" i="1"/>
  <c r="AC430" i="1"/>
  <c r="AB430" i="1"/>
  <c r="AA430" i="1"/>
  <c r="AC429" i="1"/>
  <c r="AB429" i="1"/>
  <c r="AA429" i="1"/>
  <c r="AC428" i="1"/>
  <c r="AB428" i="1"/>
  <c r="AA428" i="1"/>
  <c r="AC427" i="1"/>
  <c r="AB427" i="1"/>
  <c r="AA427" i="1"/>
  <c r="AC426" i="1"/>
  <c r="AB426" i="1"/>
  <c r="AA426" i="1"/>
  <c r="AC425" i="1"/>
  <c r="AB425" i="1"/>
  <c r="AA425" i="1"/>
  <c r="AC424" i="1"/>
  <c r="AB424" i="1"/>
  <c r="AA424" i="1"/>
  <c r="AC423" i="1"/>
  <c r="AB423" i="1"/>
  <c r="AA423" i="1"/>
  <c r="AC422" i="1"/>
  <c r="AB422" i="1"/>
  <c r="AA422" i="1"/>
  <c r="AC421" i="1"/>
  <c r="AB421" i="1"/>
  <c r="AA421" i="1"/>
  <c r="AC420" i="1"/>
  <c r="AB420" i="1"/>
  <c r="AA420" i="1"/>
  <c r="AC419" i="1"/>
  <c r="AB419" i="1"/>
  <c r="AA419" i="1"/>
  <c r="AC418" i="1"/>
  <c r="AB418" i="1"/>
  <c r="AA418" i="1"/>
  <c r="AC417" i="1"/>
  <c r="AB417" i="1"/>
  <c r="AA417" i="1"/>
  <c r="AC416" i="1"/>
  <c r="AB416" i="1"/>
  <c r="AA416" i="1"/>
  <c r="AC415" i="1"/>
  <c r="AB415" i="1"/>
  <c r="AA415" i="1"/>
  <c r="AC414" i="1"/>
  <c r="AB414" i="1"/>
  <c r="AA414" i="1"/>
  <c r="AC413" i="1"/>
  <c r="AB413" i="1"/>
  <c r="AA413" i="1"/>
  <c r="AC412" i="1"/>
  <c r="AB412" i="1"/>
  <c r="AA412" i="1"/>
  <c r="AC411" i="1"/>
  <c r="AB411" i="1"/>
  <c r="AA411" i="1"/>
  <c r="AC410" i="1"/>
  <c r="AB410" i="1"/>
  <c r="AA410" i="1"/>
  <c r="AC409" i="1"/>
  <c r="AB409" i="1"/>
  <c r="AA409" i="1"/>
  <c r="AC408" i="1"/>
  <c r="AB408" i="1"/>
  <c r="AA408" i="1"/>
  <c r="AC407" i="1"/>
  <c r="AB407" i="1"/>
  <c r="AA407" i="1"/>
  <c r="AC406" i="1"/>
  <c r="AB406" i="1"/>
  <c r="AA406" i="1"/>
  <c r="AC405" i="1"/>
  <c r="AB405" i="1"/>
  <c r="AA405" i="1"/>
  <c r="AC404" i="1"/>
  <c r="AB404" i="1"/>
  <c r="AA404" i="1"/>
  <c r="AC403" i="1"/>
  <c r="AB403" i="1"/>
  <c r="AA403" i="1"/>
  <c r="AC402" i="1"/>
  <c r="AB402" i="1"/>
  <c r="AA402" i="1"/>
  <c r="AC401" i="1"/>
  <c r="AB401" i="1"/>
  <c r="AA401" i="1"/>
  <c r="AC400" i="1"/>
  <c r="AB400" i="1"/>
  <c r="AA400" i="1"/>
  <c r="AC399" i="1"/>
  <c r="AB399" i="1"/>
  <c r="AA399" i="1"/>
  <c r="AC398" i="1"/>
  <c r="AB398" i="1"/>
  <c r="AA398" i="1"/>
  <c r="AC397" i="1"/>
  <c r="AB397" i="1"/>
  <c r="AA397" i="1"/>
  <c r="AC396" i="1"/>
  <c r="AB396" i="1"/>
  <c r="AA396" i="1"/>
  <c r="AC395" i="1"/>
  <c r="AB395" i="1"/>
  <c r="AA395" i="1"/>
  <c r="AC394" i="1"/>
  <c r="AB394" i="1"/>
  <c r="AA394" i="1"/>
  <c r="AC393" i="1"/>
  <c r="AB393" i="1"/>
  <c r="AA393" i="1"/>
  <c r="AC392" i="1"/>
  <c r="AB392" i="1"/>
  <c r="AA392" i="1"/>
  <c r="AC391" i="1"/>
  <c r="AB391" i="1"/>
  <c r="AA391" i="1"/>
  <c r="AC390" i="1"/>
  <c r="AB390" i="1"/>
  <c r="AA390" i="1"/>
  <c r="AC389" i="1"/>
  <c r="AB389" i="1"/>
  <c r="AA389" i="1"/>
  <c r="AC388" i="1"/>
  <c r="AB388" i="1"/>
  <c r="AA388" i="1"/>
  <c r="AC387" i="1"/>
  <c r="AB387" i="1"/>
  <c r="AA387" i="1"/>
  <c r="AC386" i="1"/>
  <c r="AB386" i="1"/>
  <c r="AA386" i="1"/>
  <c r="AC385" i="1"/>
  <c r="AB385" i="1"/>
  <c r="AA385" i="1"/>
  <c r="AC384" i="1"/>
  <c r="AB384" i="1"/>
  <c r="AA384" i="1"/>
  <c r="AC383" i="1"/>
  <c r="AB383" i="1"/>
  <c r="AA383" i="1"/>
  <c r="AC382" i="1"/>
  <c r="AB382" i="1"/>
  <c r="AA382" i="1"/>
  <c r="AC381" i="1"/>
  <c r="AB381" i="1"/>
  <c r="AA381" i="1"/>
  <c r="AC380" i="1"/>
  <c r="AB380" i="1"/>
  <c r="AA380" i="1"/>
  <c r="AC379" i="1"/>
  <c r="AB379" i="1"/>
  <c r="AA379" i="1"/>
  <c r="AC378" i="1"/>
  <c r="AB378" i="1"/>
  <c r="AA378" i="1"/>
  <c r="AC377" i="1"/>
  <c r="AB377" i="1"/>
  <c r="AA377" i="1"/>
  <c r="AC376" i="1"/>
  <c r="AB376" i="1"/>
  <c r="AA376" i="1"/>
  <c r="AC375" i="1"/>
  <c r="AB375" i="1"/>
  <c r="AA375" i="1"/>
  <c r="AC374" i="1"/>
  <c r="AB374" i="1"/>
  <c r="AA374" i="1"/>
  <c r="AC373" i="1"/>
  <c r="AB373" i="1"/>
  <c r="AA373" i="1"/>
  <c r="AC372" i="1"/>
  <c r="AB372" i="1"/>
  <c r="AA372" i="1"/>
  <c r="AC371" i="1"/>
  <c r="AB371" i="1"/>
  <c r="AA371" i="1"/>
  <c r="AC370" i="1"/>
  <c r="AB370" i="1"/>
  <c r="AA370" i="1"/>
  <c r="AC369" i="1"/>
  <c r="AB369" i="1"/>
  <c r="AA369" i="1"/>
  <c r="AC368" i="1"/>
  <c r="AB368" i="1"/>
  <c r="AA368" i="1"/>
  <c r="AC367" i="1"/>
  <c r="AB367" i="1"/>
  <c r="AA367" i="1"/>
  <c r="AC366" i="1"/>
  <c r="AB366" i="1"/>
  <c r="AA366" i="1"/>
  <c r="AC365" i="1"/>
  <c r="AB365" i="1"/>
  <c r="AA365" i="1"/>
  <c r="AC364" i="1"/>
  <c r="AB364" i="1"/>
  <c r="AA364" i="1"/>
  <c r="AC363" i="1"/>
  <c r="AB363" i="1"/>
  <c r="AA363" i="1"/>
  <c r="AC362" i="1"/>
  <c r="AB362" i="1"/>
  <c r="AA362" i="1"/>
  <c r="AC361" i="1"/>
  <c r="AB361" i="1"/>
  <c r="AA361" i="1"/>
  <c r="AC360" i="1"/>
  <c r="AB360" i="1"/>
  <c r="AA360" i="1"/>
  <c r="AC359" i="1"/>
  <c r="AB359" i="1"/>
  <c r="AA359" i="1"/>
  <c r="AC358" i="1"/>
  <c r="AB358" i="1"/>
  <c r="AA358" i="1"/>
  <c r="AC357" i="1"/>
  <c r="AB357" i="1"/>
  <c r="AA357" i="1"/>
  <c r="AC356" i="1"/>
  <c r="AB356" i="1"/>
  <c r="AA356" i="1"/>
  <c r="AC355" i="1"/>
  <c r="AB355" i="1"/>
  <c r="AA355" i="1"/>
  <c r="AC354" i="1"/>
  <c r="AB354" i="1"/>
  <c r="AA354" i="1"/>
  <c r="AC353" i="1"/>
  <c r="AB353" i="1"/>
  <c r="AA353" i="1"/>
  <c r="AC352" i="1"/>
  <c r="AB352" i="1"/>
  <c r="AA352" i="1"/>
  <c r="AC351" i="1"/>
  <c r="AB351" i="1"/>
  <c r="AA351" i="1"/>
  <c r="AC350" i="1"/>
  <c r="AB350" i="1"/>
  <c r="AA350" i="1"/>
  <c r="AC349" i="1"/>
  <c r="AB349" i="1"/>
  <c r="AA349" i="1"/>
  <c r="AC348" i="1"/>
  <c r="AB348" i="1"/>
  <c r="AA348" i="1"/>
  <c r="AC347" i="1"/>
  <c r="AB347" i="1"/>
  <c r="AA347" i="1"/>
  <c r="AC346" i="1"/>
  <c r="AB346" i="1"/>
  <c r="AA346" i="1"/>
  <c r="AC345" i="1"/>
  <c r="AB345" i="1"/>
  <c r="AA345" i="1"/>
  <c r="AC344" i="1"/>
  <c r="AB344" i="1"/>
  <c r="AA344" i="1"/>
  <c r="AC343" i="1"/>
  <c r="AB343" i="1"/>
  <c r="AA343" i="1"/>
  <c r="AC342" i="1"/>
  <c r="AB342" i="1"/>
  <c r="AA342" i="1"/>
  <c r="AC341" i="1"/>
  <c r="AB341" i="1"/>
  <c r="AA341" i="1"/>
  <c r="AC340" i="1"/>
  <c r="AB340" i="1"/>
  <c r="AA340" i="1"/>
  <c r="AC339" i="1"/>
  <c r="AB339" i="1"/>
  <c r="AA339" i="1"/>
  <c r="AC338" i="1"/>
  <c r="AB338" i="1"/>
  <c r="AA338" i="1"/>
  <c r="AC337" i="1"/>
  <c r="AB337" i="1"/>
  <c r="AA337" i="1"/>
  <c r="AC336" i="1"/>
  <c r="AB336" i="1"/>
  <c r="AA336" i="1"/>
  <c r="AC335" i="1"/>
  <c r="AB335" i="1"/>
  <c r="AA335" i="1"/>
  <c r="AC334" i="1"/>
  <c r="AB334" i="1"/>
  <c r="AA334" i="1"/>
  <c r="AC333" i="1"/>
  <c r="AB333" i="1"/>
  <c r="AA333" i="1"/>
  <c r="AC332" i="1"/>
  <c r="AB332" i="1"/>
  <c r="AA332" i="1"/>
  <c r="AC331" i="1"/>
  <c r="AB331" i="1"/>
  <c r="AA331" i="1"/>
  <c r="AC330" i="1"/>
  <c r="AB330" i="1"/>
  <c r="AA330" i="1"/>
  <c r="AC329" i="1"/>
  <c r="AB329" i="1"/>
  <c r="AA329" i="1"/>
  <c r="AC328" i="1"/>
  <c r="AB328" i="1"/>
  <c r="AA328" i="1"/>
  <c r="AC327" i="1"/>
  <c r="AB327" i="1"/>
  <c r="AA327" i="1"/>
  <c r="AC326" i="1"/>
  <c r="AB326" i="1"/>
  <c r="AA326" i="1"/>
  <c r="AC325" i="1"/>
  <c r="AB325" i="1"/>
  <c r="AA325" i="1"/>
  <c r="AC324" i="1"/>
  <c r="AB324" i="1"/>
  <c r="AA324" i="1"/>
  <c r="AC323" i="1"/>
  <c r="AB323" i="1"/>
  <c r="AA323" i="1"/>
  <c r="AC322" i="1"/>
  <c r="AB322" i="1"/>
  <c r="AA322" i="1"/>
  <c r="AC321" i="1"/>
  <c r="AB321" i="1"/>
  <c r="AA321" i="1"/>
  <c r="AC320" i="1"/>
  <c r="AB320" i="1"/>
  <c r="AA320" i="1"/>
  <c r="AC319" i="1"/>
  <c r="AB319" i="1"/>
  <c r="AA319" i="1"/>
  <c r="AC318" i="1"/>
  <c r="AB318" i="1"/>
  <c r="AA318" i="1"/>
  <c r="AC317" i="1"/>
  <c r="AB317" i="1"/>
  <c r="AA317" i="1"/>
  <c r="AC316" i="1"/>
  <c r="AB316" i="1"/>
  <c r="AA316" i="1"/>
  <c r="AC315" i="1"/>
  <c r="AB315" i="1"/>
  <c r="AA315" i="1"/>
  <c r="AC314" i="1"/>
  <c r="AB314" i="1"/>
  <c r="AA314" i="1"/>
  <c r="AC313" i="1"/>
  <c r="AB313" i="1"/>
  <c r="AA313" i="1"/>
  <c r="AC312" i="1"/>
  <c r="AB312" i="1"/>
  <c r="AA312" i="1"/>
  <c r="AC311" i="1"/>
  <c r="AB311" i="1"/>
  <c r="AA311" i="1"/>
  <c r="AC310" i="1"/>
  <c r="AB310" i="1"/>
  <c r="AA310" i="1"/>
  <c r="AC309" i="1"/>
  <c r="AB309" i="1"/>
  <c r="AA309" i="1"/>
  <c r="AC308" i="1"/>
  <c r="AB308" i="1"/>
  <c r="AA308" i="1"/>
  <c r="AC307" i="1"/>
  <c r="AB307" i="1"/>
  <c r="AA307" i="1"/>
  <c r="AC306" i="1"/>
  <c r="AB306" i="1"/>
  <c r="AA306" i="1"/>
  <c r="AC305" i="1"/>
  <c r="AB305" i="1"/>
  <c r="AA305" i="1"/>
  <c r="AC304" i="1"/>
  <c r="AB304" i="1"/>
  <c r="AA304" i="1"/>
  <c r="AC303" i="1"/>
  <c r="AB303" i="1"/>
  <c r="AA303" i="1"/>
  <c r="AC302" i="1"/>
  <c r="AB302" i="1"/>
  <c r="AA302" i="1"/>
  <c r="AC301" i="1"/>
  <c r="AB301" i="1"/>
  <c r="AA301" i="1"/>
  <c r="AC300" i="1"/>
  <c r="AB300" i="1"/>
  <c r="AA300" i="1"/>
  <c r="AC299" i="1"/>
  <c r="AB299" i="1"/>
  <c r="AA299" i="1"/>
  <c r="AC298" i="1"/>
  <c r="AB298" i="1"/>
  <c r="AA298" i="1"/>
  <c r="AC297" i="1"/>
  <c r="AB297" i="1"/>
  <c r="AA297" i="1"/>
  <c r="AC296" i="1"/>
  <c r="AB296" i="1"/>
  <c r="AA296" i="1"/>
  <c r="AC295" i="1"/>
  <c r="AB295" i="1"/>
  <c r="AA295" i="1"/>
  <c r="AC294" i="1"/>
  <c r="AB294" i="1"/>
  <c r="AA294" i="1"/>
  <c r="AC293" i="1"/>
  <c r="AB293" i="1"/>
  <c r="AA293" i="1"/>
  <c r="AC292" i="1"/>
  <c r="AB292" i="1"/>
  <c r="AA292" i="1"/>
  <c r="AC291" i="1"/>
  <c r="AB291" i="1"/>
  <c r="AA291" i="1"/>
  <c r="AC290" i="1"/>
  <c r="AB290" i="1"/>
  <c r="AA290" i="1"/>
  <c r="AC289" i="1"/>
  <c r="AB289" i="1"/>
  <c r="AA289" i="1"/>
  <c r="AC288" i="1"/>
  <c r="AB288" i="1"/>
  <c r="AA288" i="1"/>
  <c r="AC287" i="1"/>
  <c r="AB287" i="1"/>
  <c r="AA287" i="1"/>
  <c r="AC286" i="1"/>
  <c r="AB286" i="1"/>
  <c r="AA286" i="1"/>
  <c r="AC285" i="1"/>
  <c r="AB285" i="1"/>
  <c r="AA285" i="1"/>
  <c r="AC284" i="1"/>
  <c r="AB284" i="1"/>
  <c r="AA284" i="1"/>
  <c r="AC283" i="1"/>
  <c r="AB283" i="1"/>
  <c r="AA283" i="1"/>
  <c r="AC282" i="1"/>
  <c r="AB282" i="1"/>
  <c r="AA282" i="1"/>
  <c r="AC281" i="1"/>
  <c r="AB281" i="1"/>
  <c r="AA281" i="1"/>
  <c r="AC280" i="1"/>
  <c r="AB280" i="1"/>
  <c r="AA280" i="1"/>
  <c r="AC279" i="1"/>
  <c r="AB279" i="1"/>
  <c r="AA279" i="1"/>
  <c r="AC278" i="1"/>
  <c r="AB278" i="1"/>
  <c r="AA278" i="1"/>
  <c r="AC277" i="1"/>
  <c r="AB277" i="1"/>
  <c r="AA277" i="1"/>
  <c r="AC276" i="1"/>
  <c r="AB276" i="1"/>
  <c r="AA276" i="1"/>
  <c r="AC275" i="1"/>
  <c r="AB275" i="1"/>
  <c r="AA275" i="1"/>
  <c r="AC274" i="1"/>
  <c r="AB274" i="1"/>
  <c r="AA274" i="1"/>
  <c r="AC273" i="1"/>
  <c r="AB273" i="1"/>
  <c r="AA273" i="1"/>
  <c r="AC272" i="1"/>
  <c r="AB272" i="1"/>
  <c r="AA272" i="1"/>
  <c r="AC271" i="1"/>
  <c r="AB271" i="1"/>
  <c r="AA271" i="1"/>
  <c r="AC270" i="1"/>
  <c r="AB270" i="1"/>
  <c r="AA270" i="1"/>
  <c r="AC269" i="1"/>
  <c r="AB269" i="1"/>
  <c r="AA269" i="1"/>
  <c r="AC268" i="1"/>
  <c r="AB268" i="1"/>
  <c r="AA268" i="1"/>
  <c r="AC267" i="1"/>
  <c r="AB267" i="1"/>
  <c r="AA267" i="1"/>
  <c r="AC266" i="1"/>
  <c r="AB266" i="1"/>
  <c r="AA266" i="1"/>
  <c r="AC265" i="1"/>
  <c r="AB265" i="1"/>
  <c r="AA265" i="1"/>
  <c r="AC264" i="1"/>
  <c r="AB264" i="1"/>
  <c r="AA264" i="1"/>
  <c r="AC263" i="1"/>
  <c r="AB263" i="1"/>
  <c r="AA263" i="1"/>
  <c r="AC262" i="1"/>
  <c r="AB262" i="1"/>
  <c r="AA262" i="1"/>
  <c r="AC261" i="1"/>
  <c r="AB261" i="1"/>
  <c r="AA261" i="1"/>
  <c r="AC260" i="1"/>
  <c r="AB260" i="1"/>
  <c r="AA260" i="1"/>
  <c r="AC259" i="1"/>
  <c r="AB259" i="1"/>
  <c r="AA259" i="1"/>
  <c r="AC258" i="1"/>
  <c r="AB258" i="1"/>
  <c r="AA258" i="1"/>
  <c r="AC257" i="1"/>
  <c r="AB257" i="1"/>
  <c r="AA257" i="1"/>
  <c r="AC256" i="1"/>
  <c r="AB256" i="1"/>
  <c r="AA256" i="1"/>
  <c r="AC255" i="1"/>
  <c r="AB255" i="1"/>
  <c r="AA255" i="1"/>
  <c r="AC254" i="1"/>
  <c r="AB254" i="1"/>
  <c r="AA254" i="1"/>
  <c r="AC253" i="1"/>
  <c r="AB253" i="1"/>
  <c r="AA253" i="1"/>
  <c r="AC252" i="1"/>
  <c r="AB252" i="1"/>
  <c r="AA252" i="1"/>
  <c r="AC251" i="1"/>
  <c r="AB251" i="1"/>
  <c r="AA251" i="1"/>
  <c r="AC250" i="1"/>
  <c r="AB250" i="1"/>
  <c r="AA250" i="1"/>
  <c r="AC249" i="1"/>
  <c r="AB249" i="1"/>
  <c r="AA249" i="1"/>
  <c r="AC248" i="1"/>
  <c r="AB248" i="1"/>
  <c r="AA248" i="1"/>
  <c r="AC247" i="1"/>
  <c r="AB247" i="1"/>
  <c r="AA247" i="1"/>
  <c r="AC246" i="1"/>
  <c r="AB246" i="1"/>
  <c r="AA246" i="1"/>
  <c r="AC245" i="1"/>
  <c r="AB245" i="1"/>
  <c r="AA245" i="1"/>
  <c r="AC244" i="1"/>
  <c r="AB244" i="1"/>
  <c r="AA244" i="1"/>
  <c r="AC243" i="1"/>
  <c r="AB243" i="1"/>
  <c r="AA243" i="1"/>
  <c r="AC242" i="1"/>
  <c r="AB242" i="1"/>
  <c r="AA242" i="1"/>
  <c r="AC241" i="1"/>
  <c r="AB241" i="1"/>
  <c r="AA241" i="1"/>
  <c r="AC240" i="1"/>
  <c r="AB240" i="1"/>
  <c r="AA240" i="1"/>
  <c r="AC239" i="1"/>
  <c r="AB239" i="1"/>
  <c r="AA239" i="1"/>
  <c r="AC238" i="1"/>
  <c r="AB238" i="1"/>
  <c r="AA238" i="1"/>
  <c r="AC237" i="1"/>
  <c r="AB237" i="1"/>
  <c r="AA237" i="1"/>
  <c r="AC236" i="1"/>
  <c r="AB236" i="1"/>
  <c r="AA236" i="1"/>
  <c r="AC235" i="1"/>
  <c r="AB235" i="1"/>
  <c r="AA235" i="1"/>
  <c r="AC234" i="1"/>
  <c r="AB234" i="1"/>
  <c r="AA234" i="1"/>
  <c r="AC233" i="1"/>
  <c r="AB233" i="1"/>
  <c r="AA233" i="1"/>
  <c r="AC232" i="1"/>
  <c r="AB232" i="1"/>
  <c r="AA232" i="1"/>
  <c r="AC231" i="1"/>
  <c r="AB231" i="1"/>
  <c r="AA231" i="1"/>
  <c r="AC230" i="1"/>
  <c r="AB230" i="1"/>
  <c r="AA230" i="1"/>
  <c r="AC229" i="1"/>
  <c r="AB229" i="1"/>
  <c r="AA229" i="1"/>
  <c r="AC228" i="1"/>
  <c r="AB228" i="1"/>
  <c r="AA228" i="1"/>
  <c r="AC227" i="1"/>
  <c r="AB227" i="1"/>
  <c r="AA227" i="1"/>
  <c r="AC226" i="1"/>
  <c r="AB226" i="1"/>
  <c r="AA226" i="1"/>
  <c r="AC225" i="1"/>
  <c r="AB225" i="1"/>
  <c r="AA225" i="1"/>
  <c r="AC224" i="1"/>
  <c r="AB224" i="1"/>
  <c r="AA224" i="1"/>
  <c r="AC223" i="1"/>
  <c r="AB223" i="1"/>
  <c r="AA223" i="1"/>
  <c r="AC222" i="1"/>
  <c r="AB222" i="1"/>
  <c r="AA222" i="1"/>
  <c r="AC221" i="1"/>
  <c r="AB221" i="1"/>
  <c r="AA221" i="1"/>
  <c r="AC220" i="1"/>
  <c r="AB220" i="1"/>
  <c r="AA220" i="1"/>
  <c r="AC219" i="1"/>
  <c r="AB219" i="1"/>
  <c r="AA219" i="1"/>
  <c r="AC218" i="1"/>
  <c r="AB218" i="1"/>
  <c r="AA218" i="1"/>
  <c r="AC217" i="1"/>
  <c r="AB217" i="1"/>
  <c r="AA217" i="1"/>
  <c r="AC216" i="1"/>
  <c r="AB216" i="1"/>
  <c r="AA216" i="1"/>
  <c r="AC215" i="1"/>
  <c r="AB215" i="1"/>
  <c r="AA215" i="1"/>
  <c r="AC214" i="1"/>
  <c r="AB214" i="1"/>
  <c r="AA214" i="1"/>
  <c r="AC213" i="1"/>
  <c r="AB213" i="1"/>
  <c r="AA213" i="1"/>
  <c r="AC212" i="1"/>
  <c r="AB212" i="1"/>
  <c r="AA212" i="1"/>
  <c r="AC211" i="1"/>
  <c r="AB211" i="1"/>
  <c r="AA211" i="1"/>
  <c r="AC210" i="1"/>
  <c r="AB210" i="1"/>
  <c r="AA210" i="1"/>
  <c r="AC209" i="1"/>
  <c r="AB209" i="1"/>
  <c r="AA209" i="1"/>
  <c r="AC208" i="1"/>
  <c r="AB208" i="1"/>
  <c r="AA208" i="1"/>
  <c r="AC207" i="1"/>
  <c r="AB207" i="1"/>
  <c r="AA207" i="1"/>
  <c r="AC206" i="1"/>
  <c r="AB206" i="1"/>
  <c r="AA206" i="1"/>
  <c r="AC205" i="1"/>
  <c r="AB205" i="1"/>
  <c r="AA205" i="1"/>
  <c r="AC204" i="1"/>
  <c r="AB204" i="1"/>
  <c r="AA204" i="1"/>
  <c r="AC203" i="1"/>
  <c r="AB203" i="1"/>
  <c r="AA203" i="1"/>
  <c r="AC202" i="1"/>
  <c r="AB202" i="1"/>
  <c r="AA202" i="1"/>
  <c r="AC201" i="1"/>
  <c r="AB201" i="1"/>
  <c r="AA201" i="1"/>
  <c r="AC200" i="1"/>
  <c r="AB200" i="1"/>
  <c r="AA200" i="1"/>
  <c r="AC199" i="1"/>
  <c r="AB199" i="1"/>
  <c r="AA199" i="1"/>
  <c r="AC198" i="1"/>
  <c r="AB198" i="1"/>
  <c r="AA198" i="1"/>
  <c r="AC197" i="1"/>
  <c r="AB197" i="1"/>
  <c r="AA197" i="1"/>
  <c r="AC196" i="1"/>
  <c r="AB196" i="1"/>
  <c r="AA196" i="1"/>
  <c r="AC195" i="1"/>
  <c r="AB195" i="1"/>
  <c r="AA195" i="1"/>
  <c r="AC194" i="1"/>
  <c r="AB194" i="1"/>
  <c r="AA194" i="1"/>
  <c r="AC193" i="1"/>
  <c r="AB193" i="1"/>
  <c r="AA193" i="1"/>
  <c r="AC192" i="1"/>
  <c r="AB192" i="1"/>
  <c r="AA192" i="1"/>
  <c r="AC191" i="1"/>
  <c r="AB191" i="1"/>
  <c r="AA191" i="1"/>
  <c r="AC190" i="1"/>
  <c r="AB190" i="1"/>
  <c r="AA190" i="1"/>
  <c r="AC189" i="1"/>
  <c r="AB189" i="1"/>
  <c r="AA189" i="1"/>
  <c r="AC188" i="1"/>
  <c r="AB188" i="1"/>
  <c r="AA188" i="1"/>
  <c r="AC187" i="1"/>
  <c r="AB187" i="1"/>
  <c r="AA187" i="1"/>
  <c r="AC186" i="1"/>
  <c r="AB186" i="1"/>
  <c r="AA186" i="1"/>
  <c r="AC185" i="1"/>
  <c r="AB185" i="1"/>
  <c r="AA185" i="1"/>
  <c r="AC184" i="1"/>
  <c r="AB184" i="1"/>
  <c r="AA184" i="1"/>
  <c r="AC183" i="1"/>
  <c r="AB183" i="1"/>
  <c r="AA183" i="1"/>
  <c r="AC182" i="1"/>
  <c r="AB182" i="1"/>
  <c r="AA182" i="1"/>
  <c r="AC181" i="1"/>
  <c r="AB181" i="1"/>
  <c r="AA181" i="1"/>
  <c r="AC180" i="1"/>
  <c r="AB180" i="1"/>
  <c r="AA180" i="1"/>
  <c r="AC179" i="1"/>
  <c r="AB179" i="1"/>
  <c r="AA179" i="1"/>
  <c r="AC178" i="1"/>
  <c r="AB178" i="1"/>
  <c r="AA178" i="1"/>
  <c r="AC177" i="1"/>
  <c r="AB177" i="1"/>
  <c r="AA177" i="1"/>
  <c r="AC176" i="1"/>
  <c r="AB176" i="1"/>
  <c r="AA176" i="1"/>
  <c r="AC175" i="1"/>
  <c r="AB175" i="1"/>
  <c r="AA175" i="1"/>
  <c r="AC174" i="1"/>
  <c r="AB174" i="1"/>
  <c r="AA174" i="1"/>
  <c r="AC173" i="1"/>
  <c r="AB173" i="1"/>
  <c r="AA173" i="1"/>
  <c r="AC172" i="1"/>
  <c r="AB172" i="1"/>
  <c r="AA172" i="1"/>
  <c r="AC171" i="1"/>
  <c r="AB171" i="1"/>
  <c r="AA171" i="1"/>
  <c r="AC170" i="1"/>
  <c r="AB170" i="1"/>
  <c r="AA170" i="1"/>
  <c r="AC169" i="1"/>
  <c r="AB169" i="1"/>
  <c r="AA169" i="1"/>
  <c r="AC168" i="1"/>
  <c r="AB168" i="1"/>
  <c r="AA168" i="1"/>
  <c r="AC167" i="1"/>
  <c r="AB167" i="1"/>
  <c r="AA167" i="1"/>
  <c r="AC166" i="1"/>
  <c r="AB166" i="1"/>
  <c r="AA166" i="1"/>
  <c r="AC165" i="1"/>
  <c r="AB165" i="1"/>
  <c r="AA165" i="1"/>
  <c r="AC164" i="1"/>
  <c r="AB164" i="1"/>
  <c r="AA164" i="1"/>
  <c r="AC163" i="1"/>
  <c r="AB163" i="1"/>
  <c r="AA163" i="1"/>
  <c r="AC162" i="1"/>
  <c r="AB162" i="1"/>
  <c r="AA162" i="1"/>
  <c r="AC161" i="1"/>
  <c r="AB161" i="1"/>
  <c r="AA161" i="1"/>
  <c r="AC160" i="1"/>
  <c r="AB160" i="1"/>
  <c r="AA160" i="1"/>
  <c r="AC159" i="1"/>
  <c r="AB159" i="1"/>
  <c r="AA159" i="1"/>
  <c r="AC158" i="1"/>
  <c r="AB158" i="1"/>
  <c r="AA158" i="1"/>
  <c r="AC157" i="1"/>
  <c r="AB157" i="1"/>
  <c r="AA157" i="1"/>
  <c r="AC156" i="1"/>
  <c r="AB156" i="1"/>
  <c r="AA156" i="1"/>
  <c r="AC155" i="1"/>
  <c r="AB155" i="1"/>
  <c r="AA155" i="1"/>
  <c r="AC154" i="1"/>
  <c r="AB154" i="1"/>
  <c r="AA154" i="1"/>
  <c r="AC153" i="1"/>
  <c r="AB153" i="1"/>
  <c r="AA153" i="1"/>
  <c r="AC152" i="1"/>
  <c r="AB152" i="1"/>
  <c r="AA152" i="1"/>
  <c r="AC151" i="1"/>
  <c r="AB151" i="1"/>
  <c r="AA151" i="1"/>
  <c r="AC150" i="1"/>
  <c r="AB150" i="1"/>
  <c r="AA150" i="1"/>
  <c r="AC149" i="1"/>
  <c r="AB149" i="1"/>
  <c r="AA149" i="1"/>
  <c r="AC148" i="1"/>
  <c r="AB148" i="1"/>
  <c r="AA148" i="1"/>
  <c r="AC147" i="1"/>
  <c r="AB147" i="1"/>
  <c r="AA147" i="1"/>
  <c r="AC146" i="1"/>
  <c r="AB146" i="1"/>
  <c r="AA146" i="1"/>
  <c r="AC145" i="1"/>
  <c r="AB145" i="1"/>
  <c r="AA145" i="1"/>
  <c r="AC144" i="1"/>
  <c r="AB144" i="1"/>
  <c r="AA144" i="1"/>
  <c r="AC143" i="1"/>
  <c r="AB143" i="1"/>
  <c r="AA143" i="1"/>
  <c r="AC142" i="1"/>
  <c r="AB142" i="1"/>
  <c r="AA142" i="1"/>
  <c r="AC141" i="1"/>
  <c r="AB141" i="1"/>
  <c r="AA141" i="1"/>
  <c r="AC140" i="1"/>
  <c r="AB140" i="1"/>
  <c r="AA140" i="1"/>
  <c r="AC139" i="1"/>
  <c r="AB139" i="1"/>
  <c r="AA139" i="1"/>
  <c r="AC138" i="1"/>
  <c r="AB138" i="1"/>
  <c r="AA138" i="1"/>
  <c r="AC137" i="1"/>
  <c r="AB137" i="1"/>
  <c r="AA137" i="1"/>
  <c r="AC136" i="1"/>
  <c r="AB136" i="1"/>
  <c r="AA136" i="1"/>
  <c r="AC135" i="1"/>
  <c r="AB135" i="1"/>
  <c r="AA135" i="1"/>
  <c r="AC134" i="1"/>
  <c r="AB134" i="1"/>
  <c r="AA134" i="1"/>
  <c r="AC133" i="1"/>
  <c r="AB133" i="1"/>
  <c r="AA133" i="1"/>
  <c r="AC132" i="1"/>
  <c r="AB132" i="1"/>
  <c r="AA132" i="1"/>
  <c r="AC131" i="1"/>
  <c r="AB131" i="1"/>
  <c r="AA131" i="1"/>
  <c r="AC130" i="1"/>
  <c r="AB130" i="1"/>
  <c r="AA130" i="1"/>
  <c r="AC129" i="1"/>
  <c r="AB129" i="1"/>
  <c r="AA129" i="1"/>
  <c r="AC128" i="1"/>
  <c r="AB128" i="1"/>
  <c r="AA128" i="1"/>
  <c r="AC127" i="1"/>
  <c r="AB127" i="1"/>
  <c r="AA127" i="1"/>
  <c r="AC126" i="1"/>
  <c r="AB126" i="1"/>
  <c r="AA126" i="1"/>
  <c r="AC125" i="1"/>
  <c r="AB125" i="1"/>
  <c r="AA125" i="1"/>
  <c r="AC124" i="1"/>
  <c r="AB124" i="1"/>
  <c r="AA124" i="1"/>
  <c r="AC123" i="1"/>
  <c r="AB123" i="1"/>
  <c r="AA123" i="1"/>
  <c r="AC122" i="1"/>
  <c r="AB122" i="1"/>
  <c r="AA122" i="1"/>
  <c r="AC121" i="1"/>
  <c r="AB121" i="1"/>
  <c r="AA121" i="1"/>
  <c r="AC120" i="1"/>
  <c r="AB120" i="1"/>
  <c r="AA120" i="1"/>
  <c r="AC119" i="1"/>
  <c r="AB119" i="1"/>
  <c r="AA119" i="1"/>
  <c r="AC118" i="1"/>
  <c r="AB118" i="1"/>
  <c r="AA118" i="1"/>
  <c r="AC117" i="1"/>
  <c r="AB117" i="1"/>
  <c r="AA117" i="1"/>
  <c r="AC116" i="1"/>
  <c r="AB116" i="1"/>
  <c r="AA116" i="1"/>
  <c r="AC115" i="1"/>
  <c r="AB115" i="1"/>
  <c r="AA115" i="1"/>
  <c r="AC114" i="1"/>
  <c r="AB114" i="1"/>
  <c r="AA114" i="1"/>
  <c r="AC113" i="1"/>
  <c r="AB113" i="1"/>
  <c r="AA113" i="1"/>
  <c r="AC112" i="1"/>
  <c r="AB112" i="1"/>
  <c r="AA112" i="1"/>
  <c r="AC111" i="1"/>
  <c r="AB111" i="1"/>
  <c r="AA111" i="1"/>
  <c r="AC110" i="1"/>
  <c r="AB110" i="1"/>
  <c r="AA110" i="1"/>
  <c r="AC109" i="1"/>
  <c r="AB109" i="1"/>
  <c r="AA109" i="1"/>
  <c r="AC108" i="1"/>
  <c r="AB108" i="1"/>
  <c r="AA108" i="1"/>
  <c r="AC107" i="1"/>
  <c r="AB107" i="1"/>
  <c r="AA107" i="1"/>
  <c r="AC106" i="1"/>
  <c r="AB106" i="1"/>
  <c r="AA106" i="1"/>
  <c r="AC105" i="1"/>
  <c r="AB105" i="1"/>
  <c r="AA105" i="1"/>
  <c r="AC104" i="1"/>
  <c r="AB104" i="1"/>
  <c r="AA104" i="1"/>
  <c r="AC103" i="1"/>
  <c r="AB103" i="1"/>
  <c r="AA103" i="1"/>
  <c r="AC102" i="1"/>
  <c r="AB102" i="1"/>
  <c r="AA102" i="1"/>
  <c r="AC101" i="1"/>
  <c r="AB101" i="1"/>
  <c r="AA101" i="1"/>
  <c r="AC100" i="1"/>
  <c r="AB100" i="1"/>
  <c r="AA100" i="1"/>
  <c r="AC99" i="1"/>
  <c r="AB99" i="1"/>
  <c r="AA99" i="1"/>
  <c r="AC98" i="1"/>
  <c r="AB98" i="1"/>
  <c r="AA98" i="1"/>
  <c r="AC97" i="1"/>
  <c r="AB97" i="1"/>
  <c r="AA97" i="1"/>
  <c r="AC96" i="1"/>
  <c r="AB96" i="1"/>
  <c r="AA96" i="1"/>
  <c r="AC95" i="1"/>
  <c r="AB95" i="1"/>
  <c r="AA95" i="1"/>
  <c r="AC94" i="1"/>
  <c r="AB94" i="1"/>
  <c r="AA94" i="1"/>
  <c r="AC93" i="1"/>
  <c r="AB93" i="1"/>
  <c r="AA93" i="1"/>
  <c r="AC92" i="1"/>
  <c r="AB92" i="1"/>
  <c r="AA92" i="1"/>
  <c r="AC91" i="1"/>
  <c r="AB91" i="1"/>
  <c r="AA91" i="1"/>
  <c r="AC90" i="1"/>
  <c r="AB90" i="1"/>
  <c r="AA90" i="1"/>
  <c r="AC89" i="1"/>
  <c r="AB89" i="1"/>
  <c r="AA89" i="1"/>
  <c r="AC88" i="1"/>
  <c r="AB88" i="1"/>
  <c r="AA88" i="1"/>
  <c r="AC87" i="1"/>
  <c r="AB87" i="1"/>
  <c r="AA87" i="1"/>
  <c r="AC86" i="1"/>
  <c r="AB86" i="1"/>
  <c r="AA86" i="1"/>
  <c r="AC85" i="1"/>
  <c r="AB85" i="1"/>
  <c r="AA85" i="1"/>
  <c r="AC84" i="1"/>
  <c r="AB84" i="1"/>
  <c r="AA84" i="1"/>
  <c r="AC83" i="1"/>
  <c r="AB83" i="1"/>
  <c r="AA83" i="1"/>
  <c r="AC82" i="1"/>
  <c r="AB82" i="1"/>
  <c r="AA82" i="1"/>
  <c r="AC81" i="1"/>
  <c r="AB81" i="1"/>
  <c r="AA81" i="1"/>
  <c r="AC80" i="1"/>
  <c r="AB80" i="1"/>
  <c r="AA80" i="1"/>
  <c r="AC79" i="1"/>
  <c r="AB79" i="1"/>
  <c r="AA79" i="1"/>
  <c r="AC78" i="1"/>
  <c r="AB78" i="1"/>
  <c r="AA78" i="1"/>
  <c r="AC77" i="1"/>
  <c r="AB77" i="1"/>
  <c r="AA77" i="1"/>
  <c r="AC76" i="1"/>
  <c r="AB76" i="1"/>
  <c r="AA76" i="1"/>
  <c r="AC75" i="1"/>
  <c r="AB75" i="1"/>
  <c r="AA75" i="1"/>
  <c r="AC74" i="1"/>
  <c r="AB74" i="1"/>
  <c r="AA74" i="1"/>
  <c r="AC73" i="1"/>
  <c r="AB73" i="1"/>
  <c r="AA73" i="1"/>
  <c r="AC72" i="1"/>
  <c r="AB72" i="1"/>
  <c r="AA72" i="1"/>
  <c r="AC71" i="1"/>
  <c r="AB71" i="1"/>
  <c r="AA71" i="1"/>
  <c r="AC70" i="1"/>
  <c r="AB70" i="1"/>
  <c r="AA70" i="1"/>
  <c r="AC69" i="1"/>
  <c r="AB69" i="1"/>
  <c r="AA69" i="1"/>
  <c r="AC68" i="1"/>
  <c r="AB68" i="1"/>
  <c r="AA68" i="1"/>
  <c r="AC67" i="1"/>
  <c r="AB67" i="1"/>
  <c r="AA67" i="1"/>
  <c r="AC66" i="1"/>
  <c r="AB66" i="1"/>
  <c r="AA66" i="1"/>
  <c r="AC65" i="1"/>
  <c r="AB65" i="1"/>
  <c r="AA65" i="1"/>
  <c r="AC64" i="1"/>
  <c r="AB64" i="1"/>
  <c r="AA64" i="1"/>
  <c r="AC63" i="1"/>
  <c r="AB63" i="1"/>
  <c r="AA63" i="1"/>
  <c r="AC62" i="1"/>
  <c r="AB62" i="1"/>
  <c r="AA62" i="1"/>
  <c r="AC61" i="1"/>
  <c r="AB61" i="1"/>
  <c r="AA61" i="1"/>
  <c r="AC60" i="1"/>
  <c r="AB60" i="1"/>
  <c r="AA60" i="1"/>
  <c r="AC59" i="1"/>
  <c r="AB59" i="1"/>
  <c r="AA59" i="1"/>
  <c r="AC58" i="1"/>
  <c r="AB58" i="1"/>
  <c r="AA58" i="1"/>
  <c r="AC57" i="1"/>
  <c r="AB57" i="1"/>
  <c r="AA57" i="1"/>
  <c r="AC56" i="1"/>
  <c r="AB56" i="1"/>
  <c r="AA56" i="1"/>
  <c r="AC55" i="1"/>
  <c r="AB55" i="1"/>
  <c r="AA55" i="1"/>
  <c r="AC54" i="1"/>
  <c r="AB54" i="1"/>
  <c r="AA54" i="1"/>
  <c r="AC53" i="1"/>
  <c r="AB53" i="1"/>
  <c r="AA53" i="1"/>
  <c r="AC52" i="1"/>
  <c r="AB52" i="1"/>
  <c r="AA52" i="1"/>
  <c r="AC51" i="1"/>
  <c r="AB51" i="1"/>
  <c r="AA51" i="1"/>
  <c r="AC50" i="1"/>
  <c r="AB50" i="1"/>
  <c r="AA50" i="1"/>
  <c r="AC49" i="1"/>
  <c r="AB49" i="1"/>
  <c r="AA49" i="1"/>
  <c r="AC48" i="1"/>
  <c r="AB48" i="1"/>
  <c r="AA48" i="1"/>
  <c r="AC47" i="1"/>
  <c r="AB47" i="1"/>
  <c r="AA47" i="1"/>
  <c r="AC46" i="1"/>
  <c r="AB46" i="1"/>
  <c r="AA46" i="1"/>
  <c r="AC45" i="1"/>
  <c r="AB45" i="1"/>
  <c r="AA45" i="1"/>
  <c r="AC44" i="1"/>
  <c r="AB44" i="1"/>
  <c r="AA44" i="1"/>
  <c r="AC43" i="1"/>
  <c r="AB43" i="1"/>
  <c r="AA43" i="1"/>
  <c r="AC42" i="1"/>
  <c r="AB42" i="1"/>
  <c r="AA42" i="1"/>
  <c r="AC41" i="1"/>
  <c r="AB41" i="1"/>
  <c r="AA41" i="1"/>
  <c r="AC40" i="1"/>
  <c r="AB40" i="1"/>
  <c r="AA40" i="1"/>
  <c r="AC39" i="1"/>
  <c r="AB39" i="1"/>
  <c r="AA39" i="1"/>
  <c r="AC38" i="1"/>
  <c r="AB38" i="1"/>
  <c r="AA38" i="1"/>
  <c r="AC37" i="1"/>
  <c r="AB37" i="1"/>
  <c r="AA37" i="1"/>
  <c r="AC36" i="1"/>
  <c r="AB36" i="1"/>
  <c r="AA36" i="1"/>
  <c r="AC35" i="1"/>
  <c r="AB35" i="1"/>
  <c r="AA35" i="1"/>
  <c r="AC34" i="1"/>
  <c r="AB34" i="1"/>
  <c r="AA34" i="1"/>
  <c r="AC33" i="1"/>
  <c r="AB33" i="1"/>
  <c r="AA33" i="1"/>
  <c r="AC32" i="1"/>
  <c r="AB32" i="1"/>
  <c r="AA32" i="1"/>
  <c r="AC31" i="1"/>
  <c r="AB31" i="1"/>
  <c r="AA31" i="1"/>
  <c r="AC30" i="1"/>
  <c r="AB30" i="1"/>
  <c r="AA30" i="1"/>
  <c r="AC29" i="1"/>
  <c r="AB29" i="1"/>
  <c r="AA29" i="1"/>
  <c r="AC28" i="1"/>
  <c r="AB28" i="1"/>
  <c r="AA28" i="1"/>
  <c r="AC27" i="1"/>
  <c r="AB27" i="1"/>
  <c r="AA27" i="1"/>
  <c r="AC26" i="1"/>
  <c r="AB26" i="1"/>
  <c r="AA26" i="1"/>
  <c r="AC25" i="1"/>
  <c r="AB25" i="1"/>
  <c r="AA25" i="1"/>
  <c r="AC24" i="1"/>
  <c r="AB24" i="1"/>
  <c r="AA24" i="1"/>
  <c r="AC23" i="1"/>
  <c r="AB23" i="1"/>
  <c r="AA23" i="1"/>
  <c r="AC22" i="1"/>
  <c r="AB22" i="1"/>
  <c r="AA22" i="1"/>
  <c r="AC21" i="1"/>
  <c r="AB21" i="1"/>
  <c r="AA21" i="1"/>
  <c r="AC20" i="1"/>
  <c r="AB20" i="1"/>
  <c r="AA20" i="1"/>
  <c r="AC19" i="1"/>
  <c r="AB19" i="1"/>
  <c r="AA19" i="1"/>
  <c r="AC18" i="1"/>
  <c r="AB18" i="1"/>
  <c r="AA18" i="1"/>
  <c r="AC17" i="1"/>
  <c r="AB17" i="1"/>
  <c r="AA17" i="1"/>
  <c r="AC16" i="1"/>
  <c r="AB16" i="1"/>
  <c r="AA16" i="1"/>
  <c r="AC15" i="1"/>
  <c r="AB15" i="1"/>
  <c r="AA15" i="1"/>
  <c r="AC14" i="1"/>
  <c r="AB14" i="1"/>
  <c r="AA14" i="1"/>
  <c r="AC13" i="1"/>
  <c r="AB13" i="1"/>
  <c r="AA13" i="1"/>
  <c r="AC12" i="1"/>
  <c r="AB12" i="1"/>
  <c r="AA12" i="1"/>
  <c r="AC11" i="1"/>
  <c r="AB11" i="1"/>
  <c r="AA11" i="1"/>
  <c r="AC10" i="1"/>
  <c r="AB10" i="1"/>
  <c r="AA10" i="1"/>
  <c r="AC9" i="1"/>
  <c r="AB9" i="1"/>
  <c r="AA9" i="1"/>
  <c r="AC8" i="1"/>
  <c r="AB8" i="1"/>
  <c r="AA8" i="1"/>
  <c r="AC7" i="1"/>
  <c r="AB7" i="1"/>
  <c r="AA7" i="1"/>
  <c r="AC6" i="1"/>
  <c r="AB6" i="1"/>
  <c r="AA6" i="1"/>
  <c r="AC5" i="1"/>
  <c r="AB5" i="1"/>
  <c r="AA5" i="1"/>
  <c r="AC4" i="1"/>
  <c r="AB4" i="1"/>
  <c r="AA4" i="1"/>
  <c r="AC3" i="1"/>
  <c r="AB3" i="1"/>
  <c r="AA3" i="1"/>
  <c r="AC2" i="1"/>
  <c r="AB2" i="1"/>
  <c r="AA2" i="1"/>
</calcChain>
</file>

<file path=xl/sharedStrings.xml><?xml version="1.0" encoding="utf-8"?>
<sst xmlns="http://schemas.openxmlformats.org/spreadsheetml/2006/main" count="10763" uniqueCount="2359">
  <si>
    <t>ETABLISSEMENT_I01</t>
  </si>
  <si>
    <t>CODE_ETAB_I02</t>
  </si>
  <si>
    <t>DATE_MEP_I03</t>
  </si>
  <si>
    <t>CHA_ORI_I04</t>
  </si>
  <si>
    <t>NATURE_PRET_I05</t>
  </si>
  <si>
    <t>BENEFICIAIRE_I06</t>
  </si>
  <si>
    <t>CATEGORIE_BENEF_I07</t>
  </si>
  <si>
    <t>LIEU_RESIDENCE_I08</t>
  </si>
  <si>
    <t>SECT_ACT_I09</t>
  </si>
  <si>
    <t>MONTANT_CHAF_I10</t>
  </si>
  <si>
    <t>EFFECTIF_I11</t>
  </si>
  <si>
    <t>PROFESSION_I12</t>
  </si>
  <si>
    <t>MONTANT_PRET_I13</t>
  </si>
  <si>
    <t>DUREE_I14</t>
  </si>
  <si>
    <t>DUREE_DIFFERRE_I15</t>
  </si>
  <si>
    <t>FREQ_REMB_I16</t>
  </si>
  <si>
    <t>TAUX_NOMINAL_I17</t>
  </si>
  <si>
    <t>FRAIS_DOSSIER_I18</t>
  </si>
  <si>
    <t>MODALITEPAIEMENT_ASS_I19</t>
  </si>
  <si>
    <t>MONTANTASSURANCE_I20</t>
  </si>
  <si>
    <t>FRAIS_ANNEXE_I21</t>
  </si>
  <si>
    <t>MODEREMBOURSEMENT_I22</t>
  </si>
  <si>
    <t>MONTANT_ECHEANCE_I23</t>
  </si>
  <si>
    <t>MODE_DEBLOCAGE_I24</t>
  </si>
  <si>
    <t>SITUATION_CREANCE_I25</t>
  </si>
  <si>
    <t>TEG_I26</t>
  </si>
  <si>
    <t>Maturité</t>
  </si>
  <si>
    <t>TINMP</t>
  </si>
  <si>
    <t>TEGMP</t>
  </si>
  <si>
    <t>BOA CONGO</t>
  </si>
  <si>
    <t>MALONGA</t>
  </si>
  <si>
    <t>Brazzaville</t>
  </si>
  <si>
    <t>EMPLOYE DE LA FONCTION PUBLIQUE</t>
  </si>
  <si>
    <t>OBAMBI</t>
  </si>
  <si>
    <t>MILITAIRE</t>
  </si>
  <si>
    <t>OKO</t>
  </si>
  <si>
    <t>POLICIER</t>
  </si>
  <si>
    <t>NGOUONI</t>
  </si>
  <si>
    <t>EMPLOYE DU SECTEUR PRIVE</t>
  </si>
  <si>
    <t>IBATA</t>
  </si>
  <si>
    <t>RETRAITE</t>
  </si>
  <si>
    <t>MILONGO BOUESSO</t>
  </si>
  <si>
    <t>ISSONGO GAPELA</t>
  </si>
  <si>
    <t>MOUTABANDZA NGATSE</t>
  </si>
  <si>
    <t>ANDZI</t>
  </si>
  <si>
    <t>MBONGO</t>
  </si>
  <si>
    <t>MAHOUNGOU</t>
  </si>
  <si>
    <t>PEA</t>
  </si>
  <si>
    <t>MOUSSAVOU OUGNOUNZA</t>
  </si>
  <si>
    <t>ETOU</t>
  </si>
  <si>
    <t>AKIANA</t>
  </si>
  <si>
    <t>NKOUA</t>
  </si>
  <si>
    <t>ISSONGO</t>
  </si>
  <si>
    <t>MAPASSI</t>
  </si>
  <si>
    <t>PROFESSEUR</t>
  </si>
  <si>
    <t>MABOUNDOU</t>
  </si>
  <si>
    <t>MASSAMBA BANZOUZI</t>
  </si>
  <si>
    <t>ONDONGO</t>
  </si>
  <si>
    <t>BONGO</t>
  </si>
  <si>
    <t>IBARA</t>
  </si>
  <si>
    <t>GASSAYES</t>
  </si>
  <si>
    <t>CHAUFFEUR</t>
  </si>
  <si>
    <t>NGANGA</t>
  </si>
  <si>
    <t>NGOMA</t>
  </si>
  <si>
    <t>ELENGA</t>
  </si>
  <si>
    <t>BILALA</t>
  </si>
  <si>
    <t>MOUANDZIBI</t>
  </si>
  <si>
    <t>MABIALA</t>
  </si>
  <si>
    <t>NIAMA</t>
  </si>
  <si>
    <t>ATIPO</t>
  </si>
  <si>
    <t>MOUANDA</t>
  </si>
  <si>
    <t>CADRE ADMINSTRATIF/COMMERCIAL</t>
  </si>
  <si>
    <t>NDINGA</t>
  </si>
  <si>
    <t>MALANDA</t>
  </si>
  <si>
    <t>MASSAMBA</t>
  </si>
  <si>
    <t>ONDON</t>
  </si>
  <si>
    <t>BEMBA</t>
  </si>
  <si>
    <t>MAMPOUYA</t>
  </si>
  <si>
    <t>HOLLANGA</t>
  </si>
  <si>
    <t>LOUYA NZINGOULA</t>
  </si>
  <si>
    <t>OSSANDA</t>
  </si>
  <si>
    <t>AYA</t>
  </si>
  <si>
    <t>MIASSOBA</t>
  </si>
  <si>
    <t>MOUELE</t>
  </si>
  <si>
    <t>MAGGIE</t>
  </si>
  <si>
    <t>GOMA</t>
  </si>
  <si>
    <t>MAVOUNGOU</t>
  </si>
  <si>
    <t>GALOUO</t>
  </si>
  <si>
    <t>TSONDA TSIMBA</t>
  </si>
  <si>
    <t>NGOUA ISSOKO</t>
  </si>
  <si>
    <t>MABIKA</t>
  </si>
  <si>
    <t>KOKOLO</t>
  </si>
  <si>
    <t>NIANGA</t>
  </si>
  <si>
    <t>KABAFOUAKO</t>
  </si>
  <si>
    <t>NZAOU</t>
  </si>
  <si>
    <t>NGOUALA</t>
  </si>
  <si>
    <t>ADJOINT AU DIRECTEUR</t>
  </si>
  <si>
    <t>MOTHO</t>
  </si>
  <si>
    <t>MANKITA</t>
  </si>
  <si>
    <t>MAKITA</t>
  </si>
  <si>
    <t>MBOUMBA</t>
  </si>
  <si>
    <t>MILANDOU</t>
  </si>
  <si>
    <t>BANTSIMBA</t>
  </si>
  <si>
    <t>BOUTANDOU</t>
  </si>
  <si>
    <t>CADRE DE LA FONCTION PUBLIQUE</t>
  </si>
  <si>
    <t>LOUBONGO</t>
  </si>
  <si>
    <t>NZILA</t>
  </si>
  <si>
    <t>INGOBA</t>
  </si>
  <si>
    <t>MEDECIN</t>
  </si>
  <si>
    <t xml:space="preserve"> </t>
  </si>
  <si>
    <t>MAKOSSO</t>
  </si>
  <si>
    <t>GATSE</t>
  </si>
  <si>
    <t>NGOYI</t>
  </si>
  <si>
    <t>LOEMBA</t>
  </si>
  <si>
    <t>NZASSA MENGA</t>
  </si>
  <si>
    <t>SAMBA</t>
  </si>
  <si>
    <t>MFOUTOU</t>
  </si>
  <si>
    <t>YOKA</t>
  </si>
  <si>
    <t>VOUALA</t>
  </si>
  <si>
    <t>BABINDAMANA</t>
  </si>
  <si>
    <t>MBOUNGOU</t>
  </si>
  <si>
    <t>MOUNIELLE</t>
  </si>
  <si>
    <t>MAKOUNDOU</t>
  </si>
  <si>
    <t>COMPTABLE/EXPERT COMPTABLE</t>
  </si>
  <si>
    <t>YAKEZI AYALIYELA</t>
  </si>
  <si>
    <t>OKOUERE</t>
  </si>
  <si>
    <t>MATONDO</t>
  </si>
  <si>
    <t>NDAKOU</t>
  </si>
  <si>
    <t>ABOULASSAMBO</t>
  </si>
  <si>
    <t>NZAU MBAMBI</t>
  </si>
  <si>
    <t>INFORMATICIEN</t>
  </si>
  <si>
    <t>ONIANGUE</t>
  </si>
  <si>
    <t>NGAOUILA</t>
  </si>
  <si>
    <t>MOMBO</t>
  </si>
  <si>
    <t>OTTO</t>
  </si>
  <si>
    <t>NGOUABI</t>
  </si>
  <si>
    <t>BANZOUZI</t>
  </si>
  <si>
    <t>DINGA</t>
  </si>
  <si>
    <t>MBANI</t>
  </si>
  <si>
    <t>PAMBOU</t>
  </si>
  <si>
    <t>OLESSONGO</t>
  </si>
  <si>
    <t>NKOUNKOU</t>
  </si>
  <si>
    <t>DIBALA</t>
  </si>
  <si>
    <t>IBOUANGA</t>
  </si>
  <si>
    <t>SITOU</t>
  </si>
  <si>
    <t>ETALI</t>
  </si>
  <si>
    <t>MBAMA</t>
  </si>
  <si>
    <t>IMENGOLO</t>
  </si>
  <si>
    <t>MBOU</t>
  </si>
  <si>
    <t>MAKAYA</t>
  </si>
  <si>
    <t>ODOU</t>
  </si>
  <si>
    <t>MOMBOULI</t>
  </si>
  <si>
    <t>BOUNDA</t>
  </si>
  <si>
    <t>TONGO MOUKILA</t>
  </si>
  <si>
    <t>OSSAKETO</t>
  </si>
  <si>
    <t>NKOUAYA</t>
  </si>
  <si>
    <t>OUVRIER</t>
  </si>
  <si>
    <t>MBEMBA</t>
  </si>
  <si>
    <t>NGOBA</t>
  </si>
  <si>
    <t>TATY</t>
  </si>
  <si>
    <t>TSAKOU</t>
  </si>
  <si>
    <t>KANDZA</t>
  </si>
  <si>
    <t>OKOMBI</t>
  </si>
  <si>
    <t>NKOUANDA</t>
  </si>
  <si>
    <t>NDENGUE</t>
  </si>
  <si>
    <t>ELECTRICIEN</t>
  </si>
  <si>
    <t>MBIA</t>
  </si>
  <si>
    <t>BIKINDOU</t>
  </si>
  <si>
    <t>NGOPAKA   YEMBA</t>
  </si>
  <si>
    <t>INGENIEUR/CADRE TECHNIQUE</t>
  </si>
  <si>
    <t>BENINGO LELLOT</t>
  </si>
  <si>
    <t>AUTRE PROFESSION</t>
  </si>
  <si>
    <t>AKOLI</t>
  </si>
  <si>
    <t>OKOLA</t>
  </si>
  <si>
    <t>POATI</t>
  </si>
  <si>
    <t>NGOMBE</t>
  </si>
  <si>
    <t>DIRECTEUR GENERAL</t>
  </si>
  <si>
    <t>NGATALI</t>
  </si>
  <si>
    <t>NDAMBA MALANDA</t>
  </si>
  <si>
    <t>NGOULOU</t>
  </si>
  <si>
    <t>MASSALA</t>
  </si>
  <si>
    <t>NGOUALA EHOUANGO</t>
  </si>
  <si>
    <t>PHARMACIEN</t>
  </si>
  <si>
    <t>MOUSSOUNDA</t>
  </si>
  <si>
    <t>LOEMBE</t>
  </si>
  <si>
    <t>NGAKOSSO</t>
  </si>
  <si>
    <t>NANITELAMIO</t>
  </si>
  <si>
    <t>ADMINISTRATEUR  DU SOCIETE</t>
  </si>
  <si>
    <t>NKOUKA</t>
  </si>
  <si>
    <t>DEPUTE</t>
  </si>
  <si>
    <t>MADZOU</t>
  </si>
  <si>
    <t>ITOUA</t>
  </si>
  <si>
    <t>OBONGO</t>
  </si>
  <si>
    <t>MAMPASSI</t>
  </si>
  <si>
    <t>MOUANDZA</t>
  </si>
  <si>
    <t>MAYINDOU</t>
  </si>
  <si>
    <t>NGATSE</t>
  </si>
  <si>
    <t>BOUNGOU</t>
  </si>
  <si>
    <t>OKOUYA</t>
  </si>
  <si>
    <t>NKODIA</t>
  </si>
  <si>
    <t>SOCIETE AFRICAINE D ALIMENTATION</t>
  </si>
  <si>
    <t>31</t>
  </si>
  <si>
    <t>Commerce</t>
  </si>
  <si>
    <t>OUAMBA</t>
  </si>
  <si>
    <t>SCI LE PALMIER</t>
  </si>
  <si>
    <t>32</t>
  </si>
  <si>
    <t xml:space="preserve">Promotion immobilière </t>
  </si>
  <si>
    <t>BIBILA KISSANGOU</t>
  </si>
  <si>
    <t>MPIKA</t>
  </si>
  <si>
    <t>BAYENO DIÉLÉ</t>
  </si>
  <si>
    <t>BCH</t>
  </si>
  <si>
    <t>31150709</t>
  </si>
  <si>
    <t xml:space="preserve">ABANDZA INDONGA  FIDELE  </t>
  </si>
  <si>
    <t>ADMIN PUB ET DEFENSE NATIONALE</t>
  </si>
  <si>
    <t xml:space="preserve">MILITAIRE                     </t>
  </si>
  <si>
    <t>32160708</t>
  </si>
  <si>
    <t>32160706</t>
  </si>
  <si>
    <t>ATIPO  AUDREY  TADDY</t>
  </si>
  <si>
    <t xml:space="preserve">BAKANGUISSA  DAVY  </t>
  </si>
  <si>
    <t xml:space="preserve">BANGUISSA NGANGOULA  GABERCA  </t>
  </si>
  <si>
    <t xml:space="preserve">ENSEIGNANT                    </t>
  </si>
  <si>
    <t xml:space="preserve">BIENASSY  AUSTON  </t>
  </si>
  <si>
    <t>BOUDZOUMOU  ROVEROLL  ARLYN</t>
  </si>
  <si>
    <t>EYOKA  VICTORIEN  RAOUL</t>
  </si>
  <si>
    <t>GOMA NSOUNDA  RINEL  MISE</t>
  </si>
  <si>
    <t xml:space="preserve">ITOUA  ARMAND  </t>
  </si>
  <si>
    <t>ITOUA  FRED  ROSTAND</t>
  </si>
  <si>
    <t>ITOUA  GUY  SERGE</t>
  </si>
  <si>
    <t>ITOUA WANDO  URBAIN  CLAVER</t>
  </si>
  <si>
    <t>LOEMBET  CHRIST AUBIN  ULRICH</t>
  </si>
  <si>
    <t xml:space="preserve">HOPITAUX ET CLINIQUES         </t>
  </si>
  <si>
    <t xml:space="preserve">TECHNICIEN                    </t>
  </si>
  <si>
    <t>MAMPOUYA SAMBA  RUTHIN WULFRAN  PATERNE</t>
  </si>
  <si>
    <t>SYLVICULTURE-EXPLOI FORESTIERE</t>
  </si>
  <si>
    <t xml:space="preserve">MENUISIER                     </t>
  </si>
  <si>
    <t xml:space="preserve">MBIOKELE-ZINGA  CHANNEL  </t>
  </si>
  <si>
    <t xml:space="preserve">COMPTABLE                     </t>
  </si>
  <si>
    <t xml:space="preserve">MBOLA  FISTON  </t>
  </si>
  <si>
    <t xml:space="preserve">MESSAM  DANIEL  </t>
  </si>
  <si>
    <t>32160701</t>
  </si>
  <si>
    <t>MINDOUDI  FRED  BERTRAND</t>
  </si>
  <si>
    <t>COM DE GROS ET DETAIL NON SPEC</t>
  </si>
  <si>
    <t xml:space="preserve">INGENIEUR                     </t>
  </si>
  <si>
    <t>M'PAN DE NGUIE  FRANCESMILE  DUCLAIR</t>
  </si>
  <si>
    <t xml:space="preserve">ATTACHE D'ADMINISTRATION      </t>
  </si>
  <si>
    <t>NGAKEGNI  ALAIN  PARFAIT</t>
  </si>
  <si>
    <t>31130702</t>
  </si>
  <si>
    <t xml:space="preserve">NGAMBOU  GUELOR  </t>
  </si>
  <si>
    <t>NGOUABI OTSOU  KARL  RODRIGUE</t>
  </si>
  <si>
    <t>NTSIBA  SERVAIS  GODEFROY</t>
  </si>
  <si>
    <t>NTZITA  ORLY  JOLDAN</t>
  </si>
  <si>
    <t xml:space="preserve">OBAMI  ALFRED  </t>
  </si>
  <si>
    <t>OKIMBI NGALEKIRA  BONIFACE  PATIENCE</t>
  </si>
  <si>
    <t xml:space="preserve">AGENT ADMINISTRATIF           </t>
  </si>
  <si>
    <t xml:space="preserve">OKO  BOREL  </t>
  </si>
  <si>
    <t xml:space="preserve">POLICIER                      </t>
  </si>
  <si>
    <t>TSAMAS  ANNONCIATE  ELSE</t>
  </si>
  <si>
    <t>YANDIBENE  ANGE SNEL  IGOR</t>
  </si>
  <si>
    <t xml:space="preserve">SERVICES FOURNIS AUX ENTREP.  </t>
  </si>
  <si>
    <t>BCI</t>
  </si>
  <si>
    <t>MAGNALET RENAUD DELPHIN CAREL</t>
  </si>
  <si>
    <t xml:space="preserve">ARMEE ET POLICE               </t>
  </si>
  <si>
    <t xml:space="preserve">BALOUNGUISSA CHARTELLE ELLIE                                       </t>
  </si>
  <si>
    <t xml:space="preserve">KENDAKA RUFIN                                                      </t>
  </si>
  <si>
    <t xml:space="preserve">NIAKISSA MAKANY BIANCHINI LARWEIN DESIRE                           </t>
  </si>
  <si>
    <t xml:space="preserve">MOUELE IMINOU MBOUMBA ROMAIN                                       </t>
  </si>
  <si>
    <t xml:space="preserve">CADRES ADMINISTRATIFS SUPERI. </t>
  </si>
  <si>
    <t xml:space="preserve">NTSAON NICODEME                                                    </t>
  </si>
  <si>
    <t xml:space="preserve">NON CLASSES                   </t>
  </si>
  <si>
    <t xml:space="preserve">PEA OKOUMOME GUERMI                                                </t>
  </si>
  <si>
    <t xml:space="preserve">EMPLOYES DE BUREAU            </t>
  </si>
  <si>
    <t xml:space="preserve">ESSANGHA ROLAND DAMASE                                             </t>
  </si>
  <si>
    <t>BGFIBANK CONGO</t>
  </si>
  <si>
    <t>AVOUANGONGO EDYANE LYFHDA</t>
  </si>
  <si>
    <t>Kouilou</t>
  </si>
  <si>
    <t>Activites de menages en tant q</t>
  </si>
  <si>
    <t>Employe</t>
  </si>
  <si>
    <t>BOULINGUI DITEVIE-</t>
  </si>
  <si>
    <t>Bouenza</t>
  </si>
  <si>
    <t>Fabrication de ciment, de mate</t>
  </si>
  <si>
    <t>BONGUETTE FRANCK RICHARD</t>
  </si>
  <si>
    <t>Transports aeriens</t>
  </si>
  <si>
    <t>MOUNZIKA-KOKOLO JOSEPH</t>
  </si>
  <si>
    <t>Activites extractives diverses</t>
  </si>
  <si>
    <t>BAMOUENI MAYINGUIDI</t>
  </si>
  <si>
    <t>Activites d'administration gen</t>
  </si>
  <si>
    <t>HILL-MATA JEAN BAPTISTE</t>
  </si>
  <si>
    <t>Autres activites de services f</t>
  </si>
  <si>
    <t>GOLENGO DAVID MICHELE</t>
  </si>
  <si>
    <t>Entretien et reparation de veh</t>
  </si>
  <si>
    <t>DUPEL-BOUKOULOU PATRICK</t>
  </si>
  <si>
    <t>Activites de services personne</t>
  </si>
  <si>
    <t>NZOUKA HAMONA WILFRIED</t>
  </si>
  <si>
    <t>BAILLE PHILIPPE</t>
  </si>
  <si>
    <t>Assurance</t>
  </si>
  <si>
    <t>Directeur de societe privee</t>
  </si>
  <si>
    <t>NKOKOLO MBOUYOU PATRICK AUDREY</t>
  </si>
  <si>
    <t>BONGAMA DIBEKE FAUSTINO</t>
  </si>
  <si>
    <t>Travaux de finition</t>
  </si>
  <si>
    <t>PAMBOU ANGELE CHANCELLE ROSELINE</t>
  </si>
  <si>
    <t>NSANGOU DYLAN  CARLYLE</t>
  </si>
  <si>
    <t>Technicien</t>
  </si>
  <si>
    <t>NDINGA STEPHANE</t>
  </si>
  <si>
    <t xml:space="preserve">ALKING ASSOCIATES </t>
  </si>
  <si>
    <t>PEMBELLOT GEORGES NOBEL</t>
  </si>
  <si>
    <t>Commerce de gros de produits i</t>
  </si>
  <si>
    <t>MOMBOUNZA MPENA AUDE</t>
  </si>
  <si>
    <t>Commerce de detail hors magasi</t>
  </si>
  <si>
    <t>NZABA KOUTIKA JEAN</t>
  </si>
  <si>
    <t>Activites de jeux, activites s</t>
  </si>
  <si>
    <t>Cadre moyen commercial</t>
  </si>
  <si>
    <t>BINAKI ROSELINE</t>
  </si>
  <si>
    <t>Travaux d'installation</t>
  </si>
  <si>
    <t>TATHY FRANCIS</t>
  </si>
  <si>
    <t>LIVOUMBA PASCAL</t>
  </si>
  <si>
    <t>MAKOUNDOU SERAPHIN</t>
  </si>
  <si>
    <t>Entrepreneur individuel</t>
  </si>
  <si>
    <t>GUIMBI NGOT BRICE PHILIPPE</t>
  </si>
  <si>
    <t>LAKOUO ALAIN THIERRY</t>
  </si>
  <si>
    <t>Securite sociale obligatoire</t>
  </si>
  <si>
    <t>LASME YVES</t>
  </si>
  <si>
    <t>Commerce de gros de produits a</t>
  </si>
  <si>
    <t>Cadre superieur commercial</t>
  </si>
  <si>
    <t>AISSEGBE HOUMENOU HOTEGNI MATHIAS</t>
  </si>
  <si>
    <t>Activites pour la sante humain</t>
  </si>
  <si>
    <t>LOUVOUEZO DJAMBOU STANISLAS CLAUDE</t>
  </si>
  <si>
    <t>MOHOUA FOUNDOU HERIDIA LISETTE</t>
  </si>
  <si>
    <t>BOKANDJI ROBERT AIME SERAPHIN</t>
  </si>
  <si>
    <t>KIBINDA-NGOUMA MICHEL</t>
  </si>
  <si>
    <t>MPANDZOU LUTHER BONAVENTURE</t>
  </si>
  <si>
    <t>Cadre superieur technique</t>
  </si>
  <si>
    <t>LOEMBA SAMBOU FABRICE</t>
  </si>
  <si>
    <t>LOEMBA NDEMBI AUDE PATIENCE BERCILIA</t>
  </si>
  <si>
    <t>MBEMBA NTANDOU STAEL</t>
  </si>
  <si>
    <t>MBALOULA HUBERT LUCRES DERRICK</t>
  </si>
  <si>
    <t>Commerce de detail de carburan</t>
  </si>
  <si>
    <t>BETE-SIBA AIME CESAIRE</t>
  </si>
  <si>
    <t>Cadre moyen administratif</t>
  </si>
  <si>
    <t>PAKA NOMBO TAMAN PAPIN</t>
  </si>
  <si>
    <t>SABOGA ALBERT GASTON GABRIEL</t>
  </si>
  <si>
    <t>NGOMA MARLHY</t>
  </si>
  <si>
    <t>Preparation des sites</t>
  </si>
  <si>
    <t>BAZIMOUNINA ALAIN</t>
  </si>
  <si>
    <t>SOUAMOUNOU LOUMPANGOU SANDRA</t>
  </si>
  <si>
    <t>Production de gaz, distributio</t>
  </si>
  <si>
    <t>BINTSITA TEDDY</t>
  </si>
  <si>
    <t>SAMBA BARTHELEMY</t>
  </si>
  <si>
    <t>NKODIA BANTSIMBA Fasdelie  Fasthele</t>
  </si>
  <si>
    <t>Maintenance de materiels infor</t>
  </si>
  <si>
    <t>KOULEBI MONGO TANK ROD</t>
  </si>
  <si>
    <t>Transports maritimes et cotier</t>
  </si>
  <si>
    <t>NDINGA MAKANDA AXEL</t>
  </si>
  <si>
    <t>Extraction de petrole brut et</t>
  </si>
  <si>
    <t>BOUYA OBAMBO LEONCE</t>
  </si>
  <si>
    <t>Activites de prerogative publi</t>
  </si>
  <si>
    <t>MOUYABI REMY</t>
  </si>
  <si>
    <t>OBAMBI IKOUNGA PAUL ODZE LABOMI</t>
  </si>
  <si>
    <t>MILONGO SAMBA FREDD WITHNOLD</t>
  </si>
  <si>
    <t>Transports par conduites</t>
  </si>
  <si>
    <t>N'KAYA N'GOKO ELIE GHISLAIN PACOME</t>
  </si>
  <si>
    <t>ELENGO ANDOUA HUGUES FREDERYC</t>
  </si>
  <si>
    <t>SAMBA CHRISS</t>
  </si>
  <si>
    <t>MVOUANGA BORCEL DUTRONC DJAMS</t>
  </si>
  <si>
    <t>GANDZIEN GRACE FRANSNEL</t>
  </si>
  <si>
    <t>GOMA ERIC  HUGUES</t>
  </si>
  <si>
    <t>M'PASSY LOUIS -BLAISE</t>
  </si>
  <si>
    <t>NKOUAYA BONA SYNTOVIE GLOIRE</t>
  </si>
  <si>
    <t>ELOULOU CHRISLAIN FRANCE</t>
  </si>
  <si>
    <t>SAVIGNI ENRICO</t>
  </si>
  <si>
    <t>Cadre superieur administratif,</t>
  </si>
  <si>
    <t>MASSAMBA PHILIPPE NERY</t>
  </si>
  <si>
    <t>MOUANDA MAKOUNDI CLAUDE ARNOLD</t>
  </si>
  <si>
    <t>Transports routiers de passage</t>
  </si>
  <si>
    <t>AZUMY TOSSA</t>
  </si>
  <si>
    <t>Telecommunications</t>
  </si>
  <si>
    <t>LEMBE JONAS</t>
  </si>
  <si>
    <t>KOUHOUATILA VERDIER</t>
  </si>
  <si>
    <t>Edition</t>
  </si>
  <si>
    <t>IBARA ONGANIA JOCLARA</t>
  </si>
  <si>
    <t>BAYACK MOUSSOLO LANDES</t>
  </si>
  <si>
    <t>AKOUBA KINZONZI DEUTSCH</t>
  </si>
  <si>
    <t>DZOUZI ODILON</t>
  </si>
  <si>
    <t>NGANGOU GILBERT</t>
  </si>
  <si>
    <t>SAMBA TSINA CHRISTELLE OLIVE</t>
  </si>
  <si>
    <t>Activites d'auxiliaires financ</t>
  </si>
  <si>
    <t>NKOUTA CAMILLE</t>
  </si>
  <si>
    <t>MOBONE NOVIANICK</t>
  </si>
  <si>
    <t>KOUAKOUA FREDERIC</t>
  </si>
  <si>
    <t>NZOHO  NGOYI FAYET</t>
  </si>
  <si>
    <t>MVOUNDI LEANDRE KEVIN</t>
  </si>
  <si>
    <t>SOUNDA JEAN</t>
  </si>
  <si>
    <t>NGABELET AUGUSTE</t>
  </si>
  <si>
    <t>AKOUALA GAMBOU FRANCIS</t>
  </si>
  <si>
    <t>NIANG AMADOU</t>
  </si>
  <si>
    <t>MAVOUENZELA SYLVESTRE DIDIER</t>
  </si>
  <si>
    <t>NANITELAMIO MAKIZA BASIME</t>
  </si>
  <si>
    <t>MAHOUNGOU ARNAUD</t>
  </si>
  <si>
    <t>MBADINGA KIMBATSA MURIEL</t>
  </si>
  <si>
    <t>Raffinage petrolier</t>
  </si>
  <si>
    <t>FOUKA BENTO CARDINI CHANCELVY</t>
  </si>
  <si>
    <t>MISSAMOU ROSINE IPHIGENIE</t>
  </si>
  <si>
    <t>CASIMIRO NIORLAIN</t>
  </si>
  <si>
    <t>Hotels et autres moyens d'hebe</t>
  </si>
  <si>
    <t>BIAKOU SINEDE JEASICK</t>
  </si>
  <si>
    <t>MOE-POUATY ERMETE</t>
  </si>
  <si>
    <t>MABIALA LOULENDO KENEDIT</t>
  </si>
  <si>
    <t>NAMEKONG GASTON</t>
  </si>
  <si>
    <t xml:space="preserve">INTERCONTINENTAL SERVICES </t>
  </si>
  <si>
    <t>EVANGELISTA BIENVENU</t>
  </si>
  <si>
    <t>KARIKI INGOBA ROLLIN</t>
  </si>
  <si>
    <t>MOUNGONDO YAN</t>
  </si>
  <si>
    <t>Fabrication de produits alimen</t>
  </si>
  <si>
    <t>KOMBO BLAIVLY DIEUBRAVE</t>
  </si>
  <si>
    <t>MBAKISSI RENE DEBOULET GEOCHARIE</t>
  </si>
  <si>
    <t>MBAMA DANIEL</t>
  </si>
  <si>
    <t>NGOMA MISSAMOU PIERRE</t>
  </si>
  <si>
    <t>BAZIMOUNINA NSEMI SADRON RODOLPH</t>
  </si>
  <si>
    <t>MISSAMOU DIEUDONNE ROGER</t>
  </si>
  <si>
    <t>BIKALLOUD AUDRIE LAURY NANA</t>
  </si>
  <si>
    <t>Activites juridiques, comptabl</t>
  </si>
  <si>
    <t>PASSY BEMBA PATCHELY</t>
  </si>
  <si>
    <t>PENA DANIEL PARACLET</t>
  </si>
  <si>
    <t>MAMPOUYA MILEBET HERMANN BORIS</t>
  </si>
  <si>
    <t>ESSOU MABIALA ERMAN AUDRE</t>
  </si>
  <si>
    <t>WATOUNDA CELESTIN</t>
  </si>
  <si>
    <t>Ouvrier</t>
  </si>
  <si>
    <t xml:space="preserve">STEAM ECO CLEANING </t>
  </si>
  <si>
    <t>Activites annexes a l'extracti</t>
  </si>
  <si>
    <t>INKARI BENOIT</t>
  </si>
  <si>
    <t>GABIOT VALENTIN</t>
  </si>
  <si>
    <t>Construction de batiments, gen</t>
  </si>
  <si>
    <t>NDANGANA NEE ITOUA NGALA EDDIE CARMELLE</t>
  </si>
  <si>
    <t>KIELE ALOBO PATRICIA SYLVIE NOELLE</t>
  </si>
  <si>
    <t>ZAMBY ZINGOR LUC OFARNY</t>
  </si>
  <si>
    <t>MOUKENGUE GYSS JOSFREL</t>
  </si>
  <si>
    <t>ZOROME IDRISSA</t>
  </si>
  <si>
    <t>MOKELI-MOKE BRICE</t>
  </si>
  <si>
    <t>MOSSEMBAKOTO MOBOLOU BERTRAND MELAINE</t>
  </si>
  <si>
    <t>Commerce de detail en magasin</t>
  </si>
  <si>
    <t>GAMASSA MICHEL PATRICK</t>
  </si>
  <si>
    <t>Autres professions liberales</t>
  </si>
  <si>
    <t>MATONDO MBAKOULOU DENIS</t>
  </si>
  <si>
    <t>MOUISSOU MAKOSSO PRINCE</t>
  </si>
  <si>
    <t>Transports routiers de marchan</t>
  </si>
  <si>
    <t>NFONTE OUSMANOU</t>
  </si>
  <si>
    <t>BOU MAVOUNGOU DICK PEIFER</t>
  </si>
  <si>
    <t>BREYTON FREDERIC</t>
  </si>
  <si>
    <t>MALONGA JUDICAEL DAVY BORIS</t>
  </si>
  <si>
    <t>BOUSSOUKOU ARMEL DAVY</t>
  </si>
  <si>
    <t>EBILIKA GERVAIS</t>
  </si>
  <si>
    <t>ONDZOKO ROCK WILFRID</t>
  </si>
  <si>
    <t>Elevage</t>
  </si>
  <si>
    <t>LOUBOULA SALOMON</t>
  </si>
  <si>
    <t>Notaire</t>
  </si>
  <si>
    <t>OKANDZA AUDREY MARTIAL</t>
  </si>
  <si>
    <t>LEPEMBE NEE  PINA - SILAS MICHELLE</t>
  </si>
  <si>
    <t>NTSOMI MAMPOUYA HABIB GUENOLE</t>
  </si>
  <si>
    <t>NDELLI DEDIKA ADONAI</t>
  </si>
  <si>
    <t>BIKOUMBOU GHISLAIN</t>
  </si>
  <si>
    <t>MBEMBA ARMEL</t>
  </si>
  <si>
    <t>BOUSSIENGUET JOSEPH</t>
  </si>
  <si>
    <t>BOUKINDA GEOFFROY ABDON</t>
  </si>
  <si>
    <t>KOMBO - MAMPASSI BENOIT</t>
  </si>
  <si>
    <t>CISSOKO THIAM YANNICK GEMAEL</t>
  </si>
  <si>
    <t>OTONGUI ENZANZA GHISLAIN</t>
  </si>
  <si>
    <t>NGATSE LOUIS ERNEST</t>
  </si>
  <si>
    <t>KOMBO MELY ULRICH</t>
  </si>
  <si>
    <t>MBOU NORBERT</t>
  </si>
  <si>
    <t>Haut fonctionnaire dans le pub</t>
  </si>
  <si>
    <t>MAHOUKOU PATRICK EMERY</t>
  </si>
  <si>
    <t>PITRA ZENGA MPASSI GILDAS</t>
  </si>
  <si>
    <t>LEPOUA JEAN</t>
  </si>
  <si>
    <t>Retraite</t>
  </si>
  <si>
    <t>BADIA GUY HILAIRE</t>
  </si>
  <si>
    <t>TSIELA MISSAMOU SAGESSE</t>
  </si>
  <si>
    <t>MBOSSA ELVIS</t>
  </si>
  <si>
    <t>MBILAMPASSI MATONDO CHRIST</t>
  </si>
  <si>
    <t>KOLELA -LUTA GEVIALE AUDREY</t>
  </si>
  <si>
    <t>OMPOU GUIRAND JEAN</t>
  </si>
  <si>
    <t>Autres commerces</t>
  </si>
  <si>
    <t>TSASSOUL KOUBA DIEUDONNE</t>
  </si>
  <si>
    <t>KOULEMBOUANGA TCHITEMBO ALBERT</t>
  </si>
  <si>
    <t>MAMONOME LENGOUENDE GONTRAN</t>
  </si>
  <si>
    <t>NGASSA LEYAKO OVEMONI</t>
  </si>
  <si>
    <t>ADEBO ABDOU RAFIOU</t>
  </si>
  <si>
    <t>LOMBARD MARITHE FRANCE SAURIANE</t>
  </si>
  <si>
    <t>MPIHI MOUNGANI JEAN HEDDY</t>
  </si>
  <si>
    <t>MBOUMBA TALANI AVRAD CHRISTEL</t>
  </si>
  <si>
    <t>Expert comptable,comptable agr</t>
  </si>
  <si>
    <t xml:space="preserve">E-MARKET ERA CLEANING </t>
  </si>
  <si>
    <t>MAYANDZA ROSAN</t>
  </si>
  <si>
    <t>KIMONEKENE RUTH ALARIC  AUDE</t>
  </si>
  <si>
    <t>KOUANGOU GIMENEZE HORLAND</t>
  </si>
  <si>
    <t>MORANGA MBONGO JAMISCA RIAN OU MILINGOU EPENDI LOUISE</t>
  </si>
  <si>
    <t>KILONGA GUY ROGER</t>
  </si>
  <si>
    <t>DIOUF ELHADJI</t>
  </si>
  <si>
    <t>NDANGANI MICHEL PLATINI</t>
  </si>
  <si>
    <t>IMANAKESSI PATRICK</t>
  </si>
  <si>
    <t>Culture de cereales et autres</t>
  </si>
  <si>
    <t>EDZOBI JOEL</t>
  </si>
  <si>
    <t>LEMBISSA ANGE</t>
  </si>
  <si>
    <t>AWE OKEMBA GABIN JOEL</t>
  </si>
  <si>
    <t>DZAMBI NATHAN HASSEL REGIS</t>
  </si>
  <si>
    <t>DJEMBO VANG-SI ROUZ CHRETIEN</t>
  </si>
  <si>
    <t>NDINGA KOUMOU DANIEL</t>
  </si>
  <si>
    <t>MAMBOUANA OLIVIER SEDRIC</t>
  </si>
  <si>
    <t>MOUKEMO CLAYSH LARTHEY</t>
  </si>
  <si>
    <t>DIEFAGA BAKARY</t>
  </si>
  <si>
    <t xml:space="preserve">JRB MULTI-SERVICES </t>
  </si>
  <si>
    <t>BOURGOIS MICHEL</t>
  </si>
  <si>
    <t>LOLO Rostand</t>
  </si>
  <si>
    <t>NKOUNKOU LOGAN CHARNAIQUE</t>
  </si>
  <si>
    <t>Activites d'intermediaires du</t>
  </si>
  <si>
    <t>MALONGA ARISTIDE BIENVENU GHYCHEL</t>
  </si>
  <si>
    <t>BIDIE JACVY UGLASS</t>
  </si>
  <si>
    <t>BAVOUIDITSI JEAN CLAUDE</t>
  </si>
  <si>
    <t>TSOUMOU JONAS MATHIEU</t>
  </si>
  <si>
    <t>EKOUNDA NDEHAKA SABINE THERESE</t>
  </si>
  <si>
    <t>NDINGA PATRICK</t>
  </si>
  <si>
    <t>MOUSSAVOU FRIDRICH</t>
  </si>
  <si>
    <t>Conseiller juridique dirigeant</t>
  </si>
  <si>
    <t>OSSETE OBELAS JOYICE JOSE</t>
  </si>
  <si>
    <t xml:space="preserve">VENDOME LOUNGE </t>
  </si>
  <si>
    <t>Restaurants, debits de boisson</t>
  </si>
  <si>
    <t>KOUKABA-NTONTOLO NELLY RAISSA CESARINE</t>
  </si>
  <si>
    <t>BADIANGA KITSOUKOU alvi mygnon</t>
  </si>
  <si>
    <t xml:space="preserve">SOCIETE AFRICAINE DES VINS ET SPIRIT </t>
  </si>
  <si>
    <t>Fabrication de boissons</t>
  </si>
  <si>
    <t xml:space="preserve">AFRICA OIL &amp; GAS CORPORATION DISTRIB </t>
  </si>
  <si>
    <t>BIALOUNGOULOU OUATANGOU FRIDA</t>
  </si>
  <si>
    <t>DIAMOUANGANA DIASSOSSISSA ARISTIDE</t>
  </si>
  <si>
    <t>OKANDZA BANGUID DALONGO</t>
  </si>
  <si>
    <t>KITSORO MAX</t>
  </si>
  <si>
    <t>GAMBI MBOULOULA PARVELI LAUGLHIN</t>
  </si>
  <si>
    <t>KOUBEMBA FRANCK</t>
  </si>
  <si>
    <t>DOCKO FIAZOL ANSELME</t>
  </si>
  <si>
    <t>MOUKEME MOUSSOUNDA ALVARESSE</t>
  </si>
  <si>
    <t>MVOUONDO LENDET</t>
  </si>
  <si>
    <t>INSTITUTEUR</t>
  </si>
  <si>
    <t>EBOKA</t>
  </si>
  <si>
    <t>OSSENDZA</t>
  </si>
  <si>
    <t>AMBINDA EKONGA</t>
  </si>
  <si>
    <t>BENDO</t>
  </si>
  <si>
    <t>MEGOH EKOULA</t>
  </si>
  <si>
    <t>NGANDZOBO</t>
  </si>
  <si>
    <t>MOUAYA</t>
  </si>
  <si>
    <t>MATSOUELE MOULONGO</t>
  </si>
  <si>
    <t>ONDAYE</t>
  </si>
  <si>
    <t>MPOUETI KISSANGOU</t>
  </si>
  <si>
    <t>ELENGA ONDZE</t>
  </si>
  <si>
    <t>OSSIE AMBOLO</t>
  </si>
  <si>
    <t>OLINGOU</t>
  </si>
  <si>
    <t>EFONOUA ONDIALA</t>
  </si>
  <si>
    <t>YONGO   KOUSSO</t>
  </si>
  <si>
    <t>OLLESSA MEKOYO</t>
  </si>
  <si>
    <t>SAMA</t>
  </si>
  <si>
    <t>DIAFOUKA MOUNOKO</t>
  </si>
  <si>
    <t>BANOUANINA BOUDZOUMOU</t>
  </si>
  <si>
    <t>EYOURAYO OTSIA</t>
  </si>
  <si>
    <t>OLENGA AYINGA</t>
  </si>
  <si>
    <t>ETOU OWEN</t>
  </si>
  <si>
    <t>MAFOUA</t>
  </si>
  <si>
    <t>TABAKA EBENGA</t>
  </si>
  <si>
    <t>BATSIESSE</t>
  </si>
  <si>
    <t>KITSOUKOU MAVOUNGOU</t>
  </si>
  <si>
    <t>MAPOUMBELE</t>
  </si>
  <si>
    <t>MAVOUNGOU MOUAYA</t>
  </si>
  <si>
    <t>NSEKE BOBOBA</t>
  </si>
  <si>
    <t>KOULOUNDA</t>
  </si>
  <si>
    <t>ITOUA GOBALI</t>
  </si>
  <si>
    <t>NGOUBILI</t>
  </si>
  <si>
    <t>NGAPANA</t>
  </si>
  <si>
    <t>MAVOUNGOU PONDI</t>
  </si>
  <si>
    <t>MAVOUNGOU KOUMBA</t>
  </si>
  <si>
    <t>KOULOUMBOU KELILI</t>
  </si>
  <si>
    <t>GLEZA</t>
  </si>
  <si>
    <t>BIDOULO NEE MEKOULAMBA BISSA</t>
  </si>
  <si>
    <t>GUIMBI</t>
  </si>
  <si>
    <t>EKEMANDE</t>
  </si>
  <si>
    <t>NGAKOSSO DE MBOUSSA</t>
  </si>
  <si>
    <t>NGOKOUBA</t>
  </si>
  <si>
    <t>KIFIYA MILANDOU</t>
  </si>
  <si>
    <t>OKENDZA</t>
  </si>
  <si>
    <t>MOMBOULA</t>
  </si>
  <si>
    <t>MAYINGA</t>
  </si>
  <si>
    <t>ZOLAMON</t>
  </si>
  <si>
    <t>MBONAZEBI BABOKA</t>
  </si>
  <si>
    <t>OTTA LONDZIS</t>
  </si>
  <si>
    <t>BOMANDOU</t>
  </si>
  <si>
    <t>PASSY</t>
  </si>
  <si>
    <t>BOUKOULOU KENGUE</t>
  </si>
  <si>
    <t>ITONI LOUFOUMA</t>
  </si>
  <si>
    <t>OSSELE</t>
  </si>
  <si>
    <t>OBA APOUNOU</t>
  </si>
  <si>
    <t>BIKOKO NGOYI</t>
  </si>
  <si>
    <t>EBOKE IKIRI</t>
  </si>
  <si>
    <t>ZOKA ECKOMBAULT</t>
  </si>
  <si>
    <t>OMBANDZA</t>
  </si>
  <si>
    <t>MAKAYA KAMBISSI</t>
  </si>
  <si>
    <t>MANKITA SIBALI</t>
  </si>
  <si>
    <t>MOZANGO</t>
  </si>
  <si>
    <t>MPANDZOU NGANGA</t>
  </si>
  <si>
    <t>MANTOUMY</t>
  </si>
  <si>
    <t>BEAPAMI OKABANDE</t>
  </si>
  <si>
    <t>EHINI</t>
  </si>
  <si>
    <t>MAKANI</t>
  </si>
  <si>
    <t>NSONGA MILANDOU</t>
  </si>
  <si>
    <t>MIABANGILA</t>
  </si>
  <si>
    <t>TSG SERVICES</t>
  </si>
  <si>
    <t>Services</t>
  </si>
  <si>
    <t>BENDA</t>
  </si>
  <si>
    <t>OFFELET OKOBO</t>
  </si>
  <si>
    <t>MOUYOKO</t>
  </si>
  <si>
    <t>BONDZEKA</t>
  </si>
  <si>
    <t>LIKINA</t>
  </si>
  <si>
    <t>LOUTAYA</t>
  </si>
  <si>
    <t>NGUEMBO</t>
  </si>
  <si>
    <t>NGONAUT MOUDIONGUI</t>
  </si>
  <si>
    <t>MIEKAMONA</t>
  </si>
  <si>
    <t>DJAMBONG</t>
  </si>
  <si>
    <t>GOMA CROUZET</t>
  </si>
  <si>
    <t>NGONO MOUKONGO</t>
  </si>
  <si>
    <t>KIBAMBA</t>
  </si>
  <si>
    <t>ANDESSA</t>
  </si>
  <si>
    <t>NTSIKAMANOU</t>
  </si>
  <si>
    <t>KIGNOUAN</t>
  </si>
  <si>
    <t>MONGO KABA</t>
  </si>
  <si>
    <t>MPALA</t>
  </si>
  <si>
    <t>NGOMBE AYE</t>
  </si>
  <si>
    <t>NDEKO</t>
  </si>
  <si>
    <t>LEWA LET MANDAH</t>
  </si>
  <si>
    <t>KITSOUKOU MAHILI</t>
  </si>
  <si>
    <t>ELOLE</t>
  </si>
  <si>
    <t>KIHOUNI</t>
  </si>
  <si>
    <t>GAYE</t>
  </si>
  <si>
    <t>BAHONDA NEE NKOUNKOU</t>
  </si>
  <si>
    <t>NDEBANI</t>
  </si>
  <si>
    <t>AYESSA LECKOUNDZOU IBARA</t>
  </si>
  <si>
    <t>KYDZOUAHD</t>
  </si>
  <si>
    <t>EBONOLA</t>
  </si>
  <si>
    <t>POATY MOUISSOU</t>
  </si>
  <si>
    <t>OKEMBA ELENGA</t>
  </si>
  <si>
    <t>SAMBA BATIA</t>
  </si>
  <si>
    <t>NGUIE</t>
  </si>
  <si>
    <t>NGOUBILI TSITSAGUI</t>
  </si>
  <si>
    <t>ITOUA GAMBE</t>
  </si>
  <si>
    <t>MOUKOURI</t>
  </si>
  <si>
    <t>LETUAIRE MOPOUNDJOUKOU</t>
  </si>
  <si>
    <t>MOUKOUA</t>
  </si>
  <si>
    <t>LENGADA</t>
  </si>
  <si>
    <t>KIYENGUI</t>
  </si>
  <si>
    <t>OUASSOPO</t>
  </si>
  <si>
    <t>MALEKAT</t>
  </si>
  <si>
    <t>MEKEDOUM</t>
  </si>
  <si>
    <t>DINATONDOUA</t>
  </si>
  <si>
    <t>MABIALA MOUKOUMA</t>
  </si>
  <si>
    <t>OTHE ITOUAKAÏ</t>
  </si>
  <si>
    <t>MONGO MEMENDJI</t>
  </si>
  <si>
    <t>ENGUELA ATIBALEA</t>
  </si>
  <si>
    <t>BATH TRADING</t>
  </si>
  <si>
    <t>Industries métallurgiques et mécaniques</t>
  </si>
  <si>
    <t>NTSIBA</t>
  </si>
  <si>
    <t>Bâtiment et Travaux Publics</t>
  </si>
  <si>
    <t>TSOUMOU</t>
  </si>
  <si>
    <t>TCHICAYA</t>
  </si>
  <si>
    <t>Transport et logistiques</t>
  </si>
  <si>
    <t>PHARMACIE ESSENGO</t>
  </si>
  <si>
    <t>Industrie chimiques et parachimiques</t>
  </si>
  <si>
    <t>PHARMACIE TROIS FRANCS</t>
  </si>
  <si>
    <t>Administration publique et collectivités sociales</t>
  </si>
  <si>
    <t>ADIC</t>
  </si>
  <si>
    <t>TELECOMMUNICATIONS</t>
  </si>
  <si>
    <t>ACTIV ANNEX EXTR PETRO BGAZ N</t>
  </si>
  <si>
    <t>ACTIV DE PREROGATIVE PUBLIQUE</t>
  </si>
  <si>
    <t>7</t>
  </si>
  <si>
    <t>EXTRACT PETROL BRUT ET GAZ NAT</t>
  </si>
  <si>
    <t>ACTI JURIDI COMPTA CON GESTION</t>
  </si>
  <si>
    <t>PRIMA MARKET CONGO</t>
  </si>
  <si>
    <t>COMM DETAIL MAGASIN NON SPECIA</t>
  </si>
  <si>
    <t xml:space="preserve">PROMOTION IMMOBILIERE         </t>
  </si>
  <si>
    <t xml:space="preserve">TELECOMMUNICATIONS            </t>
  </si>
  <si>
    <t>NTONTOLO DIKELE NGONGHO  SIMON  ROCH</t>
  </si>
  <si>
    <t>OBAMBE  AIMARD  MAIXENT</t>
  </si>
  <si>
    <t>OKOGNA ONDZE  ALPHONSE  DALLAS</t>
  </si>
  <si>
    <t xml:space="preserve">OMBOULA OKANDZE  CHIRAC  </t>
  </si>
  <si>
    <t xml:space="preserve">OUVRIERS QUALIFIES            </t>
  </si>
  <si>
    <t xml:space="preserve">AUTRES PERSONNELS DE SERVICES </t>
  </si>
  <si>
    <t>INSTITUTEURS,PROF.INTELLEC. DV</t>
  </si>
  <si>
    <t>PRODUCTION DISTRIB. ELECTRICIT</t>
  </si>
  <si>
    <t>ELENGA TOUSSAIN WILFRID</t>
  </si>
  <si>
    <t xml:space="preserve">CADRES ADMINISTRATIFS MOYENS  </t>
  </si>
  <si>
    <t xml:space="preserve">SERVICES MEDICAUX &amp; SOCIAUX   </t>
  </si>
  <si>
    <t xml:space="preserve">INGENIEURS                    </t>
  </si>
  <si>
    <t>PROFESSEURS, PROF LITTR &amp; SCI.</t>
  </si>
  <si>
    <t xml:space="preserve">TRANSPORTS TERRESTRES         </t>
  </si>
  <si>
    <t>85.1</t>
  </si>
  <si>
    <t>INCONNU</t>
  </si>
  <si>
    <t>ANCIENS SALARIES SECTEUR PRIVE</t>
  </si>
  <si>
    <t xml:space="preserve">OUVRIERS SPECIALISES          </t>
  </si>
  <si>
    <t>ADMINIST. PUBL ET DEFENSE NAT.</t>
  </si>
  <si>
    <t xml:space="preserve">MILITAIRES DU CONTINGENT      </t>
  </si>
  <si>
    <t>NIANGA ARNAUD</t>
  </si>
  <si>
    <t xml:space="preserve">SERVICES FINANCIERS           </t>
  </si>
  <si>
    <t>DOKOU DOMINIQUE</t>
  </si>
  <si>
    <t>NGUELE JEAN JACQUES</t>
  </si>
  <si>
    <t>YEMBI HENRI</t>
  </si>
  <si>
    <t xml:space="preserve">ACTIVITES BANCAIRES           </t>
  </si>
  <si>
    <t>BASSENANGA STEVE YANNICK</t>
  </si>
  <si>
    <t>MASSOUMOU LOUZOLO CHRISTIA</t>
  </si>
  <si>
    <t xml:space="preserve">TRANSPORTS PAR AIR            </t>
  </si>
  <si>
    <t xml:space="preserve">MANOEUVRES                    </t>
  </si>
  <si>
    <t>OKOUERE GUY</t>
  </si>
  <si>
    <t>MONKA YVRA CHRISOPHEL</t>
  </si>
  <si>
    <t>KOUMOU BOSSA DONALD ARMEL</t>
  </si>
  <si>
    <t>MELE GOTSIA ANCY MEN</t>
  </si>
  <si>
    <t xml:space="preserve">MARINS ET PECHEURS            </t>
  </si>
  <si>
    <t xml:space="preserve">EMPLOYES DE COMMERCE          </t>
  </si>
  <si>
    <t xml:space="preserve">RETRAITES DU SECTEUR PUBLIC   </t>
  </si>
  <si>
    <t>NGASSAKI HERVE PAMPHILE</t>
  </si>
  <si>
    <t>PASSY BOUANGA MIGNON CHRIST</t>
  </si>
  <si>
    <t>OKEMBA GUY NORBERT</t>
  </si>
  <si>
    <t>MELINGUI ROMUALD ROCH ALAIN</t>
  </si>
  <si>
    <t>PASSY LANDRY SYLVAIN</t>
  </si>
  <si>
    <t>MASSAMBA STELLA MAGALIE ARIETTE</t>
  </si>
  <si>
    <t>ONGAGNA-YOKA RODRIGUE</t>
  </si>
  <si>
    <t>DIMI HERMANN</t>
  </si>
  <si>
    <t xml:space="preserve">RAFFINAGE DE PETROLE          </t>
  </si>
  <si>
    <t xml:space="preserve">COMMERCE DE DETAIL            </t>
  </si>
  <si>
    <t xml:space="preserve">BPC  </t>
  </si>
  <si>
    <t>SERV ADM REGIONALES ET LOCALES</t>
  </si>
  <si>
    <t xml:space="preserve">     </t>
  </si>
  <si>
    <t>SIRIGUI FOSCARIE</t>
  </si>
  <si>
    <t>NGOUYA LOVESTEL</t>
  </si>
  <si>
    <t>ONGAGNA DAS</t>
  </si>
  <si>
    <t>ONDONDA GUY</t>
  </si>
  <si>
    <t xml:space="preserve">COMMERCE DE GROS              </t>
  </si>
  <si>
    <t>NGOUALA CHARLES</t>
  </si>
  <si>
    <t>OBERE FRANGELY</t>
  </si>
  <si>
    <t>PRIMA MARKET CONGO SARL</t>
  </si>
  <si>
    <t>OKINDOU RODRIGUE</t>
  </si>
  <si>
    <t xml:space="preserve">BATIMENTS ET TRAVAUX PUBLICS  </t>
  </si>
  <si>
    <t>TONY LETEBE KAREL</t>
  </si>
  <si>
    <t>OPASSA REMY</t>
  </si>
  <si>
    <t>POUELE GILBERT</t>
  </si>
  <si>
    <t>NGASSAI RISTON</t>
  </si>
  <si>
    <t>ONIANGUE MAHINA TANGUY</t>
  </si>
  <si>
    <t>SAMBA BOUESSO KANT</t>
  </si>
  <si>
    <t>OBAMBI FERRY</t>
  </si>
  <si>
    <t>NGUIA ARTHUR</t>
  </si>
  <si>
    <t>YOMBI NGALA HUBERTE</t>
  </si>
  <si>
    <t>SAMINOU ADELE</t>
  </si>
  <si>
    <t>YOKA PATOU</t>
  </si>
  <si>
    <t>OWABIRA OTOMBA BRELL</t>
  </si>
  <si>
    <t>OSSINIKA JACQUES</t>
  </si>
  <si>
    <t xml:space="preserve">INDUSTRIE DU BOIS ET F        </t>
  </si>
  <si>
    <t>YENGO CHATEL</t>
  </si>
  <si>
    <t>SAMBA CHRISTEL</t>
  </si>
  <si>
    <t>NKOMBO CYRILLE</t>
  </si>
  <si>
    <t>SOCIETE NATIONALE DES PETROLES DU CO</t>
  </si>
  <si>
    <t>1</t>
  </si>
  <si>
    <t>SAGESSE CHERIF DIVIN</t>
  </si>
  <si>
    <t>BSCA</t>
  </si>
  <si>
    <t>6</t>
  </si>
  <si>
    <t>CDCO</t>
  </si>
  <si>
    <t>30011</t>
  </si>
  <si>
    <t xml:space="preserve">PRODUCTION PETROLE            </t>
  </si>
  <si>
    <t xml:space="preserve">COMMERCE GENERAL              </t>
  </si>
  <si>
    <t>SERVICE DESTINE AUX ENTREPRISE</t>
  </si>
  <si>
    <t xml:space="preserve">ADMINISTRATION PUBLIQUE       </t>
  </si>
  <si>
    <t xml:space="preserve">SANTE HUMAINE                 </t>
  </si>
  <si>
    <t xml:space="preserve">INDUSTRIE METALLIQUE          </t>
  </si>
  <si>
    <t xml:space="preserve">INFORMATIQUE                  </t>
  </si>
  <si>
    <t xml:space="preserve">INDUSTRIE DE PEINTURE         </t>
  </si>
  <si>
    <t xml:space="preserve">AUTRES SERVICES MARCHANDS     </t>
  </si>
  <si>
    <t xml:space="preserve">TRANSPORT TERRESTRE           </t>
  </si>
  <si>
    <t xml:space="preserve">PRODUCTION DISTRIBUTION EAU   </t>
  </si>
  <si>
    <t>NGOMA DIEUDONNE</t>
  </si>
  <si>
    <t>ECOBANK CONGO</t>
  </si>
  <si>
    <t>OKO FRANCOIS</t>
  </si>
  <si>
    <t>POINTE NOIRE</t>
  </si>
  <si>
    <t>OUESSO</t>
  </si>
  <si>
    <t xml:space="preserve">SAPAGNE CONGO </t>
  </si>
  <si>
    <t>Location de materiels de trans</t>
  </si>
  <si>
    <t>30015</t>
  </si>
  <si>
    <t xml:space="preserve">BRAZZAVILLE                   </t>
  </si>
  <si>
    <t>COMMERCE GENERAL</t>
  </si>
  <si>
    <t>30020</t>
  </si>
  <si>
    <t xml:space="preserve">SOCIETE NATIONALE DES PETROLES DU CO                               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</si>
  <si>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</si>
  <si>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</si>
  <si>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</si>
  <si>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</si>
  <si>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</si>
  <si>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</si>
  <si>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</si>
  <si>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</si>
  <si>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</si>
  <si>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</si>
  <si>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</si>
  <si>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</si>
  <si>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</si>
  <si>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</si>
  <si>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</si>
  <si>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</si>
  <si>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</si>
  <si>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BRAZZAVILLE</t>
  </si>
  <si>
    <t xml:space="preserve">SOCIETE AGRICOLE DE RAFFINAGE INDUST </t>
  </si>
  <si>
    <t xml:space="preserve">SOCIETE OFIS </t>
  </si>
  <si>
    <t>Autres activites informatiques</t>
  </si>
  <si>
    <t xml:space="preserve">TRANSPORT PETROLIER AFRICAIN </t>
  </si>
  <si>
    <t xml:space="preserve">ZOE TRANSPORT &amp; LOGISTIQUE </t>
  </si>
  <si>
    <t xml:space="preserve">SOCIETE SERVTEC CONGO </t>
  </si>
  <si>
    <t xml:space="preserve">TOP ENTRETIEN SERVICES SARL </t>
  </si>
  <si>
    <t xml:space="preserve">SOCIETE B.J. SERVICES </t>
  </si>
  <si>
    <t>Construction et menuiserie met</t>
  </si>
  <si>
    <t>SEME</t>
  </si>
  <si>
    <t>Concession Automobiles</t>
  </si>
  <si>
    <t>TRANSIT EXPRESS</t>
  </si>
  <si>
    <t>PEYA           MICHEL INNOCE</t>
  </si>
  <si>
    <t>POINTE-NOIRE</t>
  </si>
  <si>
    <t>SOCIETE HYDROTECH</t>
  </si>
  <si>
    <t>SIENGUE        ALBERT</t>
  </si>
  <si>
    <t>DOLISIE</t>
  </si>
  <si>
    <t>SAMBA BIYENGUI JEAN CLAUDE</t>
  </si>
  <si>
    <t>NKENZO KOUTIBA ARSENNE</t>
  </si>
  <si>
    <t>PREMIUM OIL SERVICES</t>
  </si>
  <si>
    <t>OKO                             DANIEL</t>
  </si>
  <si>
    <t>RAWDA SERVICES</t>
  </si>
  <si>
    <t>SOCIETE BOCOUM</t>
  </si>
  <si>
    <t>SUPER MD SERVICES</t>
  </si>
  <si>
    <t>STE CELL STOR</t>
  </si>
  <si>
    <t>TATY                            LYONNEL FRANCY</t>
  </si>
  <si>
    <t>NGOUMA                          GILDAS ROLAND</t>
  </si>
  <si>
    <t>TSOUBOU BOURE                   ALOISE RICARDO VANH</t>
  </si>
  <si>
    <t>TELECOM ET SITE MASTERS</t>
  </si>
  <si>
    <t>Communication et télécommunication</t>
  </si>
  <si>
    <t>YEKE KOKOLO                     FLORENT</t>
  </si>
  <si>
    <t>NKAYI</t>
  </si>
  <si>
    <t>NKANZA KALUWAKO                 SYL ARNAUD TEY</t>
  </si>
  <si>
    <t>NGUINDA MIAYOUKOU               MARCELIN</t>
  </si>
  <si>
    <t>SOCIETE 7RICHFINDER INTERNATIONA</t>
  </si>
  <si>
    <t>OBAMBE</t>
  </si>
  <si>
    <t>NGOUALA EHOUANGO                MICHEL JEAN DE DIEU</t>
  </si>
  <si>
    <t>SODELCO</t>
  </si>
  <si>
    <t>TROUMA SARLU</t>
  </si>
  <si>
    <t>SOCIETE MONT CARMEL</t>
  </si>
  <si>
    <t>VICTOIRE</t>
  </si>
  <si>
    <t>OPIMBAT</t>
  </si>
  <si>
    <t>SAAB</t>
  </si>
  <si>
    <t>ALTHA GROUPE CONGO</t>
  </si>
  <si>
    <t>TSOUMOU                         FRANCK GHISLAIN</t>
  </si>
  <si>
    <t>NGOUEDI                         PAUL LECLAIR</t>
  </si>
  <si>
    <t>OYO</t>
  </si>
  <si>
    <t>OSSAKA                          NESTOR</t>
  </si>
  <si>
    <t>TSAMBI INGOBA                   ESTELLE FRANCISCA</t>
  </si>
  <si>
    <t>OSSEBI         MARGUERITE</t>
  </si>
  <si>
    <t>TECH CAMPANY</t>
  </si>
  <si>
    <t>NGOUMBAMPASSY                   VICTOIRE GILDAS</t>
  </si>
  <si>
    <t>NZINGOULA NAMBOU               GRACIA GABINE HORNELLA</t>
  </si>
  <si>
    <t>NGOUONI                         VICTOR</t>
  </si>
  <si>
    <t>TANDIA DISTRIBUTION</t>
  </si>
  <si>
    <t>NIETSI                          CELESTIN</t>
  </si>
  <si>
    <t>YOMBI OBOROPENGUE               CAMILLE</t>
  </si>
  <si>
    <t>NGOUALA                         SERGE FRANCIS</t>
  </si>
  <si>
    <t>YOUBOULA                        MALAHIM CHRIST DARNICHICOV</t>
  </si>
  <si>
    <t>NGANKIMA                        SANVEY</t>
  </si>
  <si>
    <t>NGOUVOULOU                      CLAUDIN SMARTH</t>
  </si>
  <si>
    <t>TATY GOMA                       ALIAS DIEUDONNE</t>
  </si>
  <si>
    <t>PAMBOU                          DENIS SANDREL</t>
  </si>
  <si>
    <t>OLOUENGUE                       YVES</t>
  </si>
  <si>
    <t>OKOUMINA                        ROBERT</t>
  </si>
  <si>
    <t>NGANKOUE                        ANTOINETTE</t>
  </si>
  <si>
    <t>ONTSOUKA NGABOY                 RAISSA</t>
  </si>
  <si>
    <t>NKEOUA                          ACHILLE</t>
  </si>
  <si>
    <t>OTANTSOUI                       VIAREL PIERLY</t>
  </si>
  <si>
    <t>POUMBOU MBOUMBA                 /</t>
  </si>
  <si>
    <t>NIANGA OBAMBI                   FIDELE</t>
  </si>
  <si>
    <t>NZOUTANI                        LAMBERT</t>
  </si>
  <si>
    <t>OKANDZE ELENGA                  KEVIN</t>
  </si>
  <si>
    <t>TSADI PAMBOU                    ALPHONSINE</t>
  </si>
  <si>
    <t>NGOUARI MBOUNGOU                DAVY PRISCA</t>
  </si>
  <si>
    <t>OKANDZE                         ARMAND SERGE</t>
  </si>
  <si>
    <t>PAKA SAMBA</t>
  </si>
  <si>
    <t>SALAWE                          PATIENCE</t>
  </si>
  <si>
    <t>NGOMA                           MARIE NOËLLE</t>
  </si>
  <si>
    <t>OKOUERE AMBOULOU                DIMITRI</t>
  </si>
  <si>
    <t>OKO PEA                         JULIEN</t>
  </si>
  <si>
    <t>PANDI                           CHISLAIN REICH STEVEL</t>
  </si>
  <si>
    <t>PIKOU                           GERTRICE JUVET YVON PATRICK</t>
  </si>
  <si>
    <t>SENSO                           CHRISTIAN CLAVY</t>
  </si>
  <si>
    <t>NZAU MBAMBI                     SMILE</t>
  </si>
  <si>
    <t>SANGOUET                        CLEMENCE VICTOIRE</t>
  </si>
  <si>
    <t>SOCIETE VILLAGE DU              BONHEUR</t>
  </si>
  <si>
    <t>OSSEBI                          BARTHELEMY JONAS</t>
  </si>
  <si>
    <t>OBAH ELENGA                     JEAN ROGER   /ABAK IMONGUI PETRO</t>
  </si>
  <si>
    <t>NGANGOYI                        HILAIRE</t>
  </si>
  <si>
    <t>SOCIETE SIGA CHANGE</t>
  </si>
  <si>
    <t>NZOUNGANI                       HÉLÈNE</t>
  </si>
  <si>
    <t>OBAMBI GUECKO                   OBAMBI GUECKO</t>
  </si>
  <si>
    <t>OBAMBI                          ALEXIS CLOTAIRE</t>
  </si>
  <si>
    <t>SAMBA                           PROSPER</t>
  </si>
  <si>
    <t>NTOUNOU MIAKASSISSA N T B N</t>
  </si>
  <si>
    <t>SCI ROUCAS</t>
  </si>
  <si>
    <t>YOKA           Georges</t>
  </si>
  <si>
    <t>OPPELET WENCESLAS               TOSHI</t>
  </si>
  <si>
    <t>TSHAMBOU MBONDZAKA             FIDEL RHAUL</t>
  </si>
  <si>
    <t>WU</t>
  </si>
  <si>
    <t>NGUIE STERLY</t>
  </si>
  <si>
    <t>SARAKA</t>
  </si>
  <si>
    <t>NTADI ULRICH CYR G RAUD</t>
  </si>
  <si>
    <t>TRAORE</t>
  </si>
  <si>
    <t>SONG SAIQIANG</t>
  </si>
  <si>
    <t>NZONZI MBEMBA</t>
  </si>
  <si>
    <t>YATTASSAYE ABDOULAYE</t>
  </si>
  <si>
    <t>NGUEMBOLO      GILLES PIERRE</t>
  </si>
  <si>
    <t>NIANGADOU</t>
  </si>
  <si>
    <t>SALOWE BALLY</t>
  </si>
  <si>
    <t>YALA BOUSSANA</t>
  </si>
  <si>
    <t>YARA</t>
  </si>
  <si>
    <t>ONZE D OR</t>
  </si>
  <si>
    <t>NIAMA KOUMBA NIKHE</t>
  </si>
  <si>
    <t>WAGUE</t>
  </si>
  <si>
    <t>NKWA IBARA FRANCIS</t>
  </si>
  <si>
    <t>TALLA BLAISE PASCAL</t>
  </si>
  <si>
    <t>YOUMAS SARL</t>
  </si>
  <si>
    <t>NZINZELET OMBOU</t>
  </si>
  <si>
    <t>TOURE</t>
  </si>
  <si>
    <t>SOUSSA</t>
  </si>
  <si>
    <t>OLOY                            VICTORINE</t>
  </si>
  <si>
    <t>TOSI NOEL  JOSEPH</t>
  </si>
  <si>
    <t>OBAMBO MAZABA  ALEXANDRE WEN</t>
  </si>
  <si>
    <t>SOCIETE DES SERVICES DE BATI</t>
  </si>
  <si>
    <t>NKOUNKOU                        BERTHOLDE</t>
  </si>
  <si>
    <t>OKIORINAND                      GASTEMI GRACE</t>
  </si>
  <si>
    <t>OPOULOU ENGAMBE                 FRANÇIS</t>
  </si>
  <si>
    <t>ONE WORLD SERVICES</t>
  </si>
  <si>
    <t>NZOMPOKO PEMBA                  BEAU BRIN</t>
  </si>
  <si>
    <t>ONGATEKE ONKAGNI                ALAIN JEAN RAYMOND</t>
  </si>
  <si>
    <t>NOMAD MARKET</t>
  </si>
  <si>
    <t>SANA                            ADRIEN REICH</t>
  </si>
  <si>
    <t>NGANGOULA                       BERNADETTE</t>
  </si>
  <si>
    <t>NTIC CORPORATION</t>
  </si>
  <si>
    <t>STE CHRISNA</t>
  </si>
  <si>
    <t>PINOBA                          ARCEL JURRY BERTRAND</t>
  </si>
  <si>
    <t>SABOUKOULOU                     COLETTE</t>
  </si>
  <si>
    <t>OBAMBI                          JEAN PIERRE</t>
  </si>
  <si>
    <t>ROFINE                          LOUIS DIMITRI</t>
  </si>
  <si>
    <t>SOYAF SARLU</t>
  </si>
  <si>
    <t>PAMI PARTNERS CONGO BRAZZAVILLE</t>
  </si>
  <si>
    <t>NKOUNKOU                        FREDERIC</t>
  </si>
  <si>
    <t>NIANGA                          JOSEPH</t>
  </si>
  <si>
    <t>TSOUARI                         PAUL</t>
  </si>
  <si>
    <t>SAMA ITOUA                      LEONARD</t>
  </si>
  <si>
    <t>TESSANI                         EDOUARD</t>
  </si>
  <si>
    <t>POATY NDZONGO                   GUY SERGE</t>
  </si>
  <si>
    <t>NGUIE                           BLAISE</t>
  </si>
  <si>
    <t>NGOUARI                         JEAN AIME</t>
  </si>
  <si>
    <t>ONGOUNDOU AWANDZA               CYRE DELORIA</t>
  </si>
  <si>
    <t>SCI SIEPL</t>
  </si>
  <si>
    <t>NZIENGUI MOMBO                  HANDEL LAURY</t>
  </si>
  <si>
    <t>OKIEMY                          ARMEL</t>
  </si>
  <si>
    <t>PEYA                            VALERE MICHEL</t>
  </si>
  <si>
    <t>ONGOUYA</t>
  </si>
  <si>
    <t>YAMALEY                         MILTRAND LAUMERGE PAGETY</t>
  </si>
  <si>
    <t>PACKA MAKOSSO                   SIMEON JEAN DIEUDONNE</t>
  </si>
  <si>
    <t>OBONGUI                         ALPHONSE</t>
  </si>
  <si>
    <t>NTSADZAKO                       FRANCK</t>
  </si>
  <si>
    <t>OWOUONO NEE MAHOGNAN            DENISE</t>
  </si>
  <si>
    <t>NZIKOU MABIALA                  REMY CELESTIN</t>
  </si>
  <si>
    <t>NGOUISSANI                      FRANCOIS</t>
  </si>
  <si>
    <t>NGOMO KIMBATSA                  MEREL TRONET</t>
  </si>
  <si>
    <t>YILANGO                         JEAN JACQUES ADAM</t>
  </si>
  <si>
    <t>NKOUNKOU                        JONAS</t>
  </si>
  <si>
    <t>NGASSAKI                        DESTIN</t>
  </si>
  <si>
    <t>OKOUNDOU ABIRA                  ALPHAVIE STATELICHE</t>
  </si>
  <si>
    <t>YOKA                            GERVAIS NICAISE</t>
  </si>
  <si>
    <t>NZAOU                           WILFRID NAZAIRE</t>
  </si>
  <si>
    <t>TOUSSEWO                        ALPHAYEL EXAUCE NOELPHA</t>
  </si>
  <si>
    <t>OKANDZE                         MASCOTE</t>
  </si>
  <si>
    <t>YON                             DAVID JUSCOU</t>
  </si>
  <si>
    <t>ONDONGO                         URBAIN IGOR JUDICAEL</t>
  </si>
  <si>
    <t>NKOU                            BERTIN</t>
  </si>
  <si>
    <t>OSSEBY</t>
  </si>
  <si>
    <t>NGOULOUBI      YVON ROLIEN</t>
  </si>
  <si>
    <t>NGATSE TSANA                    CYR NAROL</t>
  </si>
  <si>
    <t>NGATALI                         ARISTIDE PASCALE</t>
  </si>
  <si>
    <t>NGUEKO NGALEBAYI                GILDAS IGOR</t>
  </si>
  <si>
    <t>NGOUENDE                        JEAN CLAUDE</t>
  </si>
  <si>
    <t>TALA</t>
  </si>
  <si>
    <t>NGANGOUBA                       PATRICK GERVAIS</t>
  </si>
  <si>
    <t>NGATSE                          AIME VIVIEN</t>
  </si>
  <si>
    <t>YIDIKA                          AUGUSTINE</t>
  </si>
  <si>
    <t>PANGOU MATOUTI                  FELIX</t>
  </si>
  <si>
    <t>NGATSONGO NEE ISSONGO</t>
  </si>
  <si>
    <t>VOUVOU                          ELISABETH</t>
  </si>
  <si>
    <t>OKESSI</t>
  </si>
  <si>
    <t>NKENZO ISIDORE</t>
  </si>
  <si>
    <t>SUN XUEXIAN</t>
  </si>
  <si>
    <t>NGOMA ANDRE</t>
  </si>
  <si>
    <t>SYLLA ISMAILA</t>
  </si>
  <si>
    <t>TOUADE</t>
  </si>
  <si>
    <t>SAID OUMAR</t>
  </si>
  <si>
    <t>SOMBO guy noel</t>
  </si>
  <si>
    <t>YATTASSAYE</t>
  </si>
  <si>
    <t>SIDIBI</t>
  </si>
  <si>
    <t>SOUAMOUNOU</t>
  </si>
  <si>
    <t>YAMA</t>
  </si>
  <si>
    <t>OKOMBA PATRICKADEODAT</t>
  </si>
  <si>
    <t>NGOMBE OLEA ANTONNELLA DZEREME</t>
  </si>
  <si>
    <t>OKANDZE        BIENVENU</t>
  </si>
  <si>
    <t>NZOUNGANI BANZOUZI</t>
  </si>
  <si>
    <t>OBOUNDZA       ROCK</t>
  </si>
  <si>
    <t>OKOMBE</t>
  </si>
  <si>
    <t>NIANGADOU HAMADI</t>
  </si>
  <si>
    <t xml:space="preserve">ZANGBA NGAGNON  </t>
  </si>
  <si>
    <t>SOW</t>
  </si>
  <si>
    <t>SOVEMAC</t>
  </si>
  <si>
    <t>UNLIMITED SERVICES</t>
  </si>
  <si>
    <t>SAM</t>
  </si>
  <si>
    <t>STE GROUPE CYR ET FRERES</t>
  </si>
  <si>
    <t>SOLAF TRADING</t>
  </si>
  <si>
    <t>SOCOTRANS</t>
  </si>
  <si>
    <t>OBELA                           GREGOIRE</t>
  </si>
  <si>
    <t>OPONGO                          SAMUEL</t>
  </si>
  <si>
    <t>OLYMPIA</t>
  </si>
  <si>
    <t>Industries extractives</t>
  </si>
  <si>
    <t>NGATSIE MANKITI                 YVES</t>
  </si>
  <si>
    <t>OPANDZA                         EMILE</t>
  </si>
  <si>
    <t>NGAOUILA                        STENIC BEHIBER</t>
  </si>
  <si>
    <t>TSAKOU                          ANDRE</t>
  </si>
  <si>
    <t>OKO NGATSE                      LYRMA DONALD</t>
  </si>
  <si>
    <t>OKOUNI                          FIDEL</t>
  </si>
  <si>
    <t>NIELLE                          HORSOCOPE MARINE LENON</t>
  </si>
  <si>
    <t>OSSIL OKILI                     CLEMENT EXAUCE</t>
  </si>
  <si>
    <t>SUNSET BEACH</t>
  </si>
  <si>
    <t>NZOBO</t>
  </si>
  <si>
    <t>SOCIETE GENERAL COMPANY OF</t>
  </si>
  <si>
    <t>TCHIBINDA                       RODRIGUE LANDRY</t>
  </si>
  <si>
    <t>OUAKABAKA                       JEAN AIME</t>
  </si>
  <si>
    <t>PAKA                            CHRIST ROMANO</t>
  </si>
  <si>
    <t>OSSELE                          ANDRE ASCAR</t>
  </si>
  <si>
    <t>NGOMA NEE MAFOUKILA             HENRIETTE</t>
  </si>
  <si>
    <t>NKOUIKANI                       JONAS</t>
  </si>
  <si>
    <t>PHARMAPOLIS SANTE</t>
  </si>
  <si>
    <t>SAMBA NKODIA                    PRINCE DELLON</t>
  </si>
  <si>
    <t>OLONI                           JOCELIN</t>
  </si>
  <si>
    <t>OBIE                            WILFRID</t>
  </si>
  <si>
    <t>NGOUA ISSOKO                    SEVERIN</t>
  </si>
  <si>
    <t>NIANGUI                         ANDRE</t>
  </si>
  <si>
    <t>YAMBOULA BANDIKISSA             FRESNELLE VAVLY</t>
  </si>
  <si>
    <t>OBOUNGA                         JEAN PIERRE</t>
  </si>
  <si>
    <t>SOCIETE GENERALE DU COMMERCE    TRADING</t>
  </si>
  <si>
    <t>YOBOKO NGONDZI                  BIENVENU</t>
  </si>
  <si>
    <t>ONDON                           FERNAND NICAISE</t>
  </si>
  <si>
    <t>TATY GOMA                       MOLLI GISCARD</t>
  </si>
  <si>
    <t>VOUALA                          JEAN THOMAS</t>
  </si>
  <si>
    <t>NGASSAI                         ANDRE</t>
  </si>
  <si>
    <t>NZINGA                         ISIDORE ALPHONSE</t>
  </si>
  <si>
    <t>POUABOU NIAMBI                  SYLVAIN</t>
  </si>
  <si>
    <t>ONDON                           BARRES BENOIT</t>
  </si>
  <si>
    <t>PEHI                            BERTRAND</t>
  </si>
  <si>
    <t>NGOKO                           NORBERT</t>
  </si>
  <si>
    <t>NGOMA                           LEONARD</t>
  </si>
  <si>
    <t>PEKO                            SIMON MARIE</t>
  </si>
  <si>
    <t>OLENGOBA                        ALPHONSE</t>
  </si>
  <si>
    <t>NGOYI                           PIERRE CLAVER</t>
  </si>
  <si>
    <t>PANORAMA GROUP SARLU</t>
  </si>
  <si>
    <t>OUAMBA                          JILDAS CANEL</t>
  </si>
  <si>
    <t>PADONOU NEE MAMBOUENI           FRANCOISE MIREILLE</t>
  </si>
  <si>
    <t>OFOULA                          LÉONIE ROSE MICHELLE</t>
  </si>
  <si>
    <t>OKOMBI                          BEATRICE</t>
  </si>
  <si>
    <t>PHARMACIE VERT DO</t>
  </si>
  <si>
    <t>OLELI NIAGAME                   ULRICH WENCESLAS</t>
  </si>
  <si>
    <t>PAMBOU                          ROBERTE PATRICIA</t>
  </si>
  <si>
    <t>NZAKA                           VERNET BIENVENU</t>
  </si>
  <si>
    <t>OKANDZE                         HENRI</t>
  </si>
  <si>
    <t>NGUIE                           GABIN LEANDRE</t>
  </si>
  <si>
    <t>PACKOU SABOUEYI                 ANTOINE</t>
  </si>
  <si>
    <t>TSETOU MBOUALE                  AURORE ANNICK GERMAINE</t>
  </si>
  <si>
    <t>TABAWE                          NADINE</t>
  </si>
  <si>
    <t>NGONO                           JEAN AIME</t>
  </si>
  <si>
    <t>NIATI                           BARTHELEMY</t>
  </si>
  <si>
    <t>OPALA                           SALOMON</t>
  </si>
  <si>
    <t>NKONN OUBOTH                    BRICE MAVIE</t>
  </si>
  <si>
    <t>SOCIETE TRINET LAYERS</t>
  </si>
  <si>
    <t>NGOYI                           JEAN BITCHEL</t>
  </si>
  <si>
    <t>POATY                           DIEUDONNE</t>
  </si>
  <si>
    <t>NOUNI                           CONSTANT JEAN STANISLAS</t>
  </si>
  <si>
    <t>SANDY DE MBAKO</t>
  </si>
  <si>
    <t>NIANGADOU AMADOU</t>
  </si>
  <si>
    <t>SISSOKO MOUSSA</t>
  </si>
  <si>
    <t>SISSOKO SOULEYMANE</t>
  </si>
  <si>
    <t>SOCIETE CONGOLAISE DES GENS</t>
  </si>
  <si>
    <t>NGOMA                           ROGER</t>
  </si>
  <si>
    <t>NZAOU                           VALETHE CLAUDE</t>
  </si>
  <si>
    <t>ONDONGO                         RUBEN FRICK JUNIOR</t>
  </si>
  <si>
    <t>PAMBOU                          VINCENT</t>
  </si>
  <si>
    <t>ONDELE                          ARISTIDE</t>
  </si>
  <si>
    <t>NKODIA TSANTSOULOU              GERVAIS</t>
  </si>
  <si>
    <t>TALANTSI n e BIGINETTE</t>
  </si>
  <si>
    <t>SOBAT SERVICES</t>
  </si>
  <si>
    <t>SARR MAMADOU MOUSSA</t>
  </si>
  <si>
    <t>ROUSSEAU EPOUSE BARROS</t>
  </si>
  <si>
    <t>ZHANG</t>
  </si>
  <si>
    <t>OLLANDZOBO MOUELENGA</t>
  </si>
  <si>
    <t>OKOULIKOUA  MAMEBAMI</t>
  </si>
  <si>
    <t>OSSIBI TREX DIETRICH  PRECIEUX</t>
  </si>
  <si>
    <t>ZHU</t>
  </si>
  <si>
    <t>NTSOUMOU NGAMBOU</t>
  </si>
  <si>
    <t>TCHILENDO</t>
  </si>
  <si>
    <t>YE</t>
  </si>
  <si>
    <t>SYLLA</t>
  </si>
  <si>
    <t>PAMBOU                          GUY ROGER</t>
  </si>
  <si>
    <t>OSSIALA OKOUO                   ROLAND</t>
  </si>
  <si>
    <t>NZAMBILI THIERRY YVON</t>
  </si>
  <si>
    <t>NGOUAMA MBAYA GHISLAIN</t>
  </si>
  <si>
    <t>TCHIMBOUNGOU NGUIMBI MELAINE RA</t>
  </si>
  <si>
    <t>SARIS CONGO</t>
  </si>
  <si>
    <t>FABRIC DE PROD ALIMENTAIRE NCA</t>
  </si>
  <si>
    <t>SOCIETE LES GRANDS MOULINS DU PHARE</t>
  </si>
  <si>
    <t>UNITED TRANSPORT AFRICA CONGO</t>
  </si>
  <si>
    <t>TRANSPORT ROUTIER MARCHANDISES</t>
  </si>
  <si>
    <t>SOCIETE CONGO EXPLORATION</t>
  </si>
  <si>
    <t>CONSTRUC BATIMENT GENIE CIVIL</t>
  </si>
  <si>
    <t>ACTIVITE DE SERVICES PERSONNEL</t>
  </si>
  <si>
    <t>ACTIV ORGANISATION DES TRANSPO</t>
  </si>
  <si>
    <t xml:space="preserve">TRANS OCEANIC                                                           </t>
  </si>
  <si>
    <t>PHARMACIE AUXANO</t>
  </si>
  <si>
    <t>ACTIVITE POUR LA SANTE HUMAINE</t>
  </si>
  <si>
    <t>OKOLA MOUABOUERE CHADRENE</t>
  </si>
  <si>
    <t>TATY-GOMA CLAUDE LARDYS</t>
  </si>
  <si>
    <t>POATY JEAN ROGER BLANDINE EDITH</t>
  </si>
  <si>
    <t>WASSINGOU LOUSSAKOU ROBENSON GOODYEAR</t>
  </si>
  <si>
    <t>TSOUNGOU BONNEL LEVALLOIS</t>
  </si>
  <si>
    <t>TRANSPORT PAR VOIES NAVIGABLES</t>
  </si>
  <si>
    <t>PEA-IBATA FABRICE</t>
  </si>
  <si>
    <t>N'KOUNGUI ALBERT FRANC STEVE</t>
  </si>
  <si>
    <t>ACTIV ARCHITECTURE INGENIERIE</t>
  </si>
  <si>
    <t>SAMBA NTOMBO CHARLOTTE CARINE</t>
  </si>
  <si>
    <t>SAMBA EDY BEAUDELY</t>
  </si>
  <si>
    <t>OTOU CHARLY DESTIN</t>
  </si>
  <si>
    <t xml:space="preserve">SALLES DE JEUX ET CASINOS     </t>
  </si>
  <si>
    <t>NKOU  ALAIN  ROCK</t>
  </si>
  <si>
    <t>NTAMBA  JEAN  DOMINIQUE</t>
  </si>
  <si>
    <t>NZABA  KOFFMAN  COWELL</t>
  </si>
  <si>
    <t>OBA  FELIE  CHRISTEL LAUDE</t>
  </si>
  <si>
    <t>OBAMBO LEKOGNY  ALEXANDRE  DUCRECH</t>
  </si>
  <si>
    <t xml:space="preserve">OBOBA  REGINEL  </t>
  </si>
  <si>
    <t xml:space="preserve">OKO IBARA  DANICE  </t>
  </si>
  <si>
    <t xml:space="preserve">OKOFOUE  FREDERIC  </t>
  </si>
  <si>
    <t>OKOMBI NGALA  LETICIA  HORLANDE</t>
  </si>
  <si>
    <t xml:space="preserve">OKOMBI OLINGOU  ABELLE  </t>
  </si>
  <si>
    <t xml:space="preserve">OLANDZOBO BOUALA  GILDAS  </t>
  </si>
  <si>
    <t>ONDELE MBOSSA  AYMAR  INES</t>
  </si>
  <si>
    <t>ONDONGO FOUNGUI  SHIRLEY  VERETT</t>
  </si>
  <si>
    <t xml:space="preserve">OPEPE  THIERRY LAMBERT  </t>
  </si>
  <si>
    <t>PANDZOKO  EMMANUEL  RICHY</t>
  </si>
  <si>
    <t xml:space="preserve">PHARMACIE PLACE PARAFIFI    </t>
  </si>
  <si>
    <t xml:space="preserve">SILISSILI GATLI  DETLEV ERICH  </t>
  </si>
  <si>
    <t xml:space="preserve">SOCIETE D'EXPLOIATION ET DE DEVELOPP    </t>
  </si>
  <si>
    <t xml:space="preserve">SOCIETE FOURNITURES ET MACHINES INDU    </t>
  </si>
  <si>
    <t xml:space="preserve">SOCIETE MAMBOJI ANGOLA CONGO    </t>
  </si>
  <si>
    <t xml:space="preserve">SOCIETE PRIMA MARKET CONGO    </t>
  </si>
  <si>
    <t xml:space="preserve">COMMERCE ALIMENTAIRE          </t>
  </si>
  <si>
    <t xml:space="preserve">TALAKI  ULRICH  </t>
  </si>
  <si>
    <t>TONGO MOUKOUARI  BRUYERE  JUNIOR</t>
  </si>
  <si>
    <t xml:space="preserve">OUESSO                        </t>
  </si>
  <si>
    <t xml:space="preserve">YELA NDOUNDOU  HALNADIE  </t>
  </si>
  <si>
    <t>YOCKA  DIDI  CELINE</t>
  </si>
  <si>
    <t xml:space="preserve">YOU BUSINESS    </t>
  </si>
  <si>
    <t>11.1</t>
  </si>
  <si>
    <t>OREGON (ETS)</t>
  </si>
  <si>
    <t>TOUT POUR L'INDUSTRIE</t>
  </si>
  <si>
    <t>51.5</t>
  </si>
  <si>
    <t>PELLEGRINI CATERING CONGO</t>
  </si>
  <si>
    <t>55.2</t>
  </si>
  <si>
    <t>RHEN-DISTRIBUTION</t>
  </si>
  <si>
    <t>51.2</t>
  </si>
  <si>
    <t xml:space="preserve">NKAYI                         </t>
  </si>
  <si>
    <t>15.8</t>
  </si>
  <si>
    <t>UBIPHARM CONGO</t>
  </si>
  <si>
    <t>74.3</t>
  </si>
  <si>
    <t>63.1</t>
  </si>
  <si>
    <t xml:space="preserve">SOCIETE H.P.M SERVICES                                             </t>
  </si>
  <si>
    <t xml:space="preserve">74.3                         </t>
  </si>
  <si>
    <t xml:space="preserve">PUMA INTERNATIONAL CONGO                                           </t>
  </si>
  <si>
    <t xml:space="preserve">50.5                        </t>
  </si>
  <si>
    <t xml:space="preserve">SUPER MARKET DISTRIBUTION                                          </t>
  </si>
  <si>
    <t xml:space="preserve">51.2                        </t>
  </si>
  <si>
    <t xml:space="preserve">PRECIEUX SERVICES                                                  </t>
  </si>
  <si>
    <t xml:space="preserve">TOTALENERGIES MARKETING CONGO SA                                   </t>
  </si>
  <si>
    <t xml:space="preserve">11.2                         </t>
  </si>
  <si>
    <t>BPC</t>
  </si>
  <si>
    <t>COMMERCE DE GROS</t>
  </si>
  <si>
    <t>PARTICULIERS</t>
  </si>
  <si>
    <t>SALARIES</t>
  </si>
  <si>
    <t>AUTRES VILLES CONGO</t>
  </si>
  <si>
    <t>NKOMBO NGOUNDA KARL</t>
  </si>
  <si>
    <t>SECTEUR NON IDENTIFIABLE</t>
  </si>
  <si>
    <t>SAMBA BAPTISTA</t>
  </si>
  <si>
    <t>SOUARI TANIA</t>
  </si>
  <si>
    <t>TSAMBI GEORGES</t>
  </si>
  <si>
    <t>IMPORT ET DISTRIBUTION</t>
  </si>
  <si>
    <t xml:space="preserve">SIBITI                   </t>
  </si>
  <si>
    <t>NTINOU MOUYABI JEAN</t>
  </si>
  <si>
    <t>ONZET OMVOUNZET BEAUDOUIN</t>
  </si>
  <si>
    <t>EDUCATION NATIONALE</t>
  </si>
  <si>
    <t>NGOMA MILONGA GILLES</t>
  </si>
  <si>
    <t>NZOULANI NGOTENI YVES</t>
  </si>
  <si>
    <t>OBANDZA FAUSTIN</t>
  </si>
  <si>
    <t>INDUSTRIE DU BOIS ET F</t>
  </si>
  <si>
    <t>TCHIBINDA PWANASS GYSLEY</t>
  </si>
  <si>
    <t>TCHIBINDA PWANASS SYSLEY</t>
  </si>
  <si>
    <t>NGOYA BRICE</t>
  </si>
  <si>
    <t>OKOLA GACKSON ROLAND</t>
  </si>
  <si>
    <t>AUTRES ACTIVITES ANNEXES</t>
  </si>
  <si>
    <t>OKOMBI ONDZIE LIONEL</t>
  </si>
  <si>
    <t>ONONGO LEPETIH</t>
  </si>
  <si>
    <t>OTAMBA LUCRECE</t>
  </si>
  <si>
    <t>OUAMBA NTONDELE PRINSLY</t>
  </si>
  <si>
    <t>SITA ELIANE</t>
  </si>
  <si>
    <t>TSIBA EVELIN</t>
  </si>
  <si>
    <t>INDUSTRIE DE L EAU</t>
  </si>
  <si>
    <t>YOCKA ODZALA GLADYS</t>
  </si>
  <si>
    <t>NGONA LANZ</t>
  </si>
  <si>
    <t>NSOUZA FLAURIAN</t>
  </si>
  <si>
    <t>OLOMAYA HENRI</t>
  </si>
  <si>
    <t>ONDO KANDZA MIODIEN</t>
  </si>
  <si>
    <t>PEYA DAREL</t>
  </si>
  <si>
    <t>ADM PUBL ET DEFENSE NATIONALE</t>
  </si>
  <si>
    <t>NGUIMBI GUTEMBERG</t>
  </si>
  <si>
    <t>N'KENZO CLAUDE</t>
  </si>
  <si>
    <t>NKOUKA CELESTIN</t>
  </si>
  <si>
    <t>NSONDE FRANGEL</t>
  </si>
  <si>
    <t>OKEMBA PULCHERIE</t>
  </si>
  <si>
    <t>ONDAYE GUELOR</t>
  </si>
  <si>
    <t>SALEMON HERMANN</t>
  </si>
  <si>
    <t>SARIS CONGO S.A</t>
  </si>
  <si>
    <t>BOUENZA                       AUTRES VILLES CONGO</t>
  </si>
  <si>
    <t>INDUSTRIE DU SUCRE</t>
  </si>
  <si>
    <t>SOCIETE BUSINESS TRANSPOR</t>
  </si>
  <si>
    <t>NGOMA MOUKAYE GANCE HERMESS</t>
  </si>
  <si>
    <t>NKAYI                         MADINGOU</t>
  </si>
  <si>
    <t>OKIA OYEKE ROMEO</t>
  </si>
  <si>
    <t>SOALA MALANDA NESS</t>
  </si>
  <si>
    <t>NGATSALA EPAMA EMMANUEL</t>
  </si>
  <si>
    <t>OKEMBA ERIC MARIEN</t>
  </si>
  <si>
    <t>POBA MAHOUNGOU FREDERIC</t>
  </si>
  <si>
    <t>ZIMADJILA LAURETENSIA</t>
  </si>
  <si>
    <t>NGOUALA YAMBA HERMANN</t>
  </si>
  <si>
    <t>NGOUAMBANI RUTH</t>
  </si>
  <si>
    <t>NKASSA ELONGO CHANICK</t>
  </si>
  <si>
    <t>NKOUNKOU CHARLES</t>
  </si>
  <si>
    <t>OKONGO FARREL</t>
  </si>
  <si>
    <t>OTTA MARIE</t>
  </si>
  <si>
    <t>OWASSA OKEMBA SERGE</t>
  </si>
  <si>
    <t>TSIMBOU ARMEL</t>
  </si>
  <si>
    <t>NGOMA FRANCK JERRY</t>
  </si>
  <si>
    <t>NKONDI YAYA EMMANUEL</t>
  </si>
  <si>
    <t>OMOUE PEA BRICE</t>
  </si>
  <si>
    <t>ONDZE FRANCOIS</t>
  </si>
  <si>
    <t>OTOKA GINODE GEMAEL</t>
  </si>
  <si>
    <t>OUAMBOUAMA MOMBE DONALD</t>
  </si>
  <si>
    <t>VINGHA BIAMAMBOU GHISLAIN</t>
  </si>
  <si>
    <t>NIELENGA NDINGA AURELIE</t>
  </si>
  <si>
    <t>NZEYI ROCK</t>
  </si>
  <si>
    <t>OBA MICHELINE</t>
  </si>
  <si>
    <t>OBOBA GAEL</t>
  </si>
  <si>
    <t>RYOS TSOUN GRYPHFET</t>
  </si>
  <si>
    <t>SALOMON JULES</t>
  </si>
  <si>
    <t>TSOBO TSOBO CEDRICK</t>
  </si>
  <si>
    <t>SOCIETE DES POSTES ET DE L'EPARGNE</t>
  </si>
  <si>
    <t>POSTES ET COMMUNICATIO</t>
  </si>
  <si>
    <t>OBODOUROU ALFRED</t>
  </si>
  <si>
    <t>OFOKO REMY</t>
  </si>
  <si>
    <t>NGUENGORO ADELAIDE</t>
  </si>
  <si>
    <t>OSSOMBI GHISLAIN</t>
  </si>
  <si>
    <t>OYINA SIMOVEY CHRIST</t>
  </si>
  <si>
    <t>NGUYET MADZOU JUDICAEL</t>
  </si>
  <si>
    <t>EXPLOITATION FOREST.TV</t>
  </si>
  <si>
    <t>OBAMI GALIN</t>
  </si>
  <si>
    <t>NGOKA BOUAVO RICHARD</t>
  </si>
  <si>
    <t>NGUIE AIME</t>
  </si>
  <si>
    <t>NIANGA POUTOU CHINE</t>
  </si>
  <si>
    <t>NTELAMANOU NDOUNDOU CHEIDLY</t>
  </si>
  <si>
    <t>OBOYO CYR IKAFILOFOULA</t>
  </si>
  <si>
    <t>OKEMBA FOUNGA DESTIN</t>
  </si>
  <si>
    <t>SAFOULA MILONGO PHILIPPE</t>
  </si>
  <si>
    <t>BATIMENTS ET TRAVAUX PUBLICS</t>
  </si>
  <si>
    <t>ODZIE FRANCK JOVEL</t>
  </si>
  <si>
    <t>OLANGA NORBERT</t>
  </si>
  <si>
    <t>OLONZA KANGALA HERMAN</t>
  </si>
  <si>
    <t>TCHIKAYA YASMINE</t>
  </si>
  <si>
    <t>SOCIETE NOUVELLE DES BOIS IMPREGNES</t>
  </si>
  <si>
    <t>NGO REGIS</t>
  </si>
  <si>
    <t>NGOKA CHRISTIAN</t>
  </si>
  <si>
    <t>NGONDO YOUKOU FARICE</t>
  </si>
  <si>
    <t>OKANDZA LOUIS</t>
  </si>
  <si>
    <t>OKANDZE PEA ROCK</t>
  </si>
  <si>
    <t>OKOUA CLARBIN</t>
  </si>
  <si>
    <t>YIDIKA JOSEPHINE</t>
  </si>
  <si>
    <t>RESTAURANTS HOTELS</t>
  </si>
  <si>
    <t>NGOMA CHRISNADI</t>
  </si>
  <si>
    <t>PEA ARTHUR SIMPLICE</t>
  </si>
  <si>
    <t>NGONDO THEOLVIE</t>
  </si>
  <si>
    <t>NGUEMBO GUELBOTCH NINA RUFIN</t>
  </si>
  <si>
    <t>OKIELI ESTACHE</t>
  </si>
  <si>
    <t>OKO BIENVENU</t>
  </si>
  <si>
    <t>NGUIE MATHIEU</t>
  </si>
  <si>
    <t>OBAMBO JEAN</t>
  </si>
  <si>
    <t>NGUENKOU NKABA PAS DE PRENOM</t>
  </si>
  <si>
    <t>NGATSONGO PROSPER</t>
  </si>
  <si>
    <t>OMVOUNDZE JEUNE</t>
  </si>
  <si>
    <t>OBESSOU IBOKO WILFRID</t>
  </si>
  <si>
    <t>NGOMA CHARCYLE</t>
  </si>
  <si>
    <t>OUBATSILA STEVARD</t>
  </si>
  <si>
    <t>SERV ADM CEN. DEFENSE</t>
  </si>
  <si>
    <t>OKERE AMBENDA ALAIN</t>
  </si>
  <si>
    <t>OUAMBA AWADA</t>
  </si>
  <si>
    <t>TCHITEMBO LAURENT</t>
  </si>
  <si>
    <t>SAMBA SAMBA LOUZ</t>
  </si>
  <si>
    <t>OPOKI ROGER</t>
  </si>
  <si>
    <t>SOKO NDONGO ROOSLY</t>
  </si>
  <si>
    <t>TOUKOU BOULONDO BLIZIRI</t>
  </si>
  <si>
    <t>OSSELET NDZAYIBOUA LEA</t>
  </si>
  <si>
    <t>NKOUE ESPOIR</t>
  </si>
  <si>
    <t>TIAKOULOU BAZEMBA RAYMOND</t>
  </si>
  <si>
    <t>NKOUKA JAPHIL</t>
  </si>
  <si>
    <t>OBAMBO KEMBE ELVIRE</t>
  </si>
  <si>
    <t>ONDONGO TSAMA ANDZELEY</t>
  </si>
  <si>
    <t>NGOMA STELLA</t>
  </si>
  <si>
    <t>NGOMA GUY</t>
  </si>
  <si>
    <t>OKOMBI ROMAINE</t>
  </si>
  <si>
    <t>OSSOBE IGOR</t>
  </si>
  <si>
    <t>ONDONGO ALICE</t>
  </si>
  <si>
    <t>PIKA LOUBAKI WILFRID</t>
  </si>
  <si>
    <t>NGUIMBI NGO GILDAS</t>
  </si>
  <si>
    <t>YOMBI INGANO FREDERIC</t>
  </si>
  <si>
    <t>OTSENGUE GUY</t>
  </si>
  <si>
    <t>NGOUOBAH CONSTANT</t>
  </si>
  <si>
    <t>NSIBA RUCHE</t>
  </si>
  <si>
    <t>NGONGO PRINCE</t>
  </si>
  <si>
    <t>NKODIA NICLAIN</t>
  </si>
  <si>
    <t>SERVICES NET PLUS SARL</t>
  </si>
  <si>
    <t>ARR.1 EMERY P. LUMUMBA        POINTE NOIRE</t>
  </si>
  <si>
    <t>COMMERCE GENERAL D IMP</t>
  </si>
  <si>
    <t>SOLO ERGASSE</t>
  </si>
  <si>
    <t>NGOLO BARDET</t>
  </si>
  <si>
    <t>YELO KANI JUSTE</t>
  </si>
  <si>
    <t>OGNIMBA LYDIE</t>
  </si>
  <si>
    <t>OLO GAUTIER</t>
  </si>
  <si>
    <t>NGOLOU EKINDE NADEGE</t>
  </si>
  <si>
    <t>NKODIA FELIX</t>
  </si>
  <si>
    <t>PEA ELEE TCHOUNY</t>
  </si>
  <si>
    <t>NKABA SERGE VIANNEY</t>
  </si>
  <si>
    <t>OKO BORA DORAMAY CHRISTIA</t>
  </si>
  <si>
    <t>OBY AKOULAFA GISELE</t>
  </si>
  <si>
    <t>NKOUKA MAYALA DIMITRI</t>
  </si>
  <si>
    <t>ONGAGNA OYOMBI HUIVINE</t>
  </si>
  <si>
    <t>NGOLO OPINA AUDREY</t>
  </si>
  <si>
    <t>YOKA GUY</t>
  </si>
  <si>
    <t>NGOYO FRANCIS</t>
  </si>
  <si>
    <t>SOUAMY PRISCILIA</t>
  </si>
  <si>
    <t>ODOUA RICHARD</t>
  </si>
  <si>
    <t>NGOUMA KILOUEMBE CHRISTIE</t>
  </si>
  <si>
    <t>NKOUA ALFRED</t>
  </si>
  <si>
    <t>DOLISIE                       MBE</t>
  </si>
  <si>
    <t>SALA LOUNGARY DIHIZIDI MONDESIR</t>
  </si>
  <si>
    <t>ANIMATION RURALE</t>
  </si>
  <si>
    <t>OKO ANTOINE</t>
  </si>
  <si>
    <t>P E I E S</t>
  </si>
  <si>
    <t>NIONIO NICAISE</t>
  </si>
  <si>
    <t>ONDONGO IBARA FABRICE</t>
  </si>
  <si>
    <t>NKAYI                         AUTRES VILLES CONGO</t>
  </si>
  <si>
    <t>OTHONGUI DIMI DECHANCEL</t>
  </si>
  <si>
    <t>SEDAR MEHA DIEU BENI</t>
  </si>
  <si>
    <t>NGOUAKA ARMEL</t>
  </si>
  <si>
    <t>OMBELE MAMIE</t>
  </si>
  <si>
    <t>NGASSAKI NDONGO CELSA</t>
  </si>
  <si>
    <t>PEYA KOUSSOLA NAKISY</t>
  </si>
  <si>
    <t>NTADI VALERIE</t>
  </si>
  <si>
    <t>OKOUA NGALA MARIE</t>
  </si>
  <si>
    <t>OGNANGUE NDINGA WILFRID</t>
  </si>
  <si>
    <t>PAKA BREL</t>
  </si>
  <si>
    <t>TSOUMOU GAVOUKA TEGE</t>
  </si>
  <si>
    <t>NZAHOU KOUSSIKANA AKHENATON</t>
  </si>
  <si>
    <t>SAYA ALBERT</t>
  </si>
  <si>
    <t>OYENO AIMEE</t>
  </si>
  <si>
    <t>OKIEMBA CHRISTIEN CYRIAQUE MAXIME</t>
  </si>
  <si>
    <t>NGOMA CYBELLE</t>
  </si>
  <si>
    <t>NGONDZA MPOUO EUGIX</t>
  </si>
  <si>
    <t>SERVICES SOCIAUX ET CONNEXES</t>
  </si>
  <si>
    <t>OWANDO                        AUTRES VILLES CONGO</t>
  </si>
  <si>
    <t>PONGUI PICKA BIENVENUE</t>
  </si>
  <si>
    <t>POSSI-POSSI ENGANDZO ECLAIR</t>
  </si>
  <si>
    <t>TSANGAKONO HURMAIN</t>
  </si>
  <si>
    <t>NGOTH MAURIAC</t>
  </si>
  <si>
    <t>OFELE ONOUNOU FRANCIS</t>
  </si>
  <si>
    <t>ONFOULA NGAMBOU JENNIFER</t>
  </si>
  <si>
    <t>OTALET PEA VIVIEN</t>
  </si>
  <si>
    <t>SOUNGOU GOMA MIREILLE</t>
  </si>
  <si>
    <t>NGANTSIBI AYMARD</t>
  </si>
  <si>
    <t>NGOUONI GHISLAIN</t>
  </si>
  <si>
    <t>OKIEMBA PHILIPPE</t>
  </si>
  <si>
    <t>ONGOYI FALLY</t>
  </si>
  <si>
    <t>ONTSOUKA VIVIEN</t>
  </si>
  <si>
    <t>SOCIETE D'ETUDES ET DE TRAVAUX SPECI</t>
  </si>
  <si>
    <t>TCHIBINDA PASSY AIME</t>
  </si>
  <si>
    <t>NIMBI EDMOND</t>
  </si>
  <si>
    <t>NKOMBO MAKAYA MEME</t>
  </si>
  <si>
    <t>ODZALA BERMEL</t>
  </si>
  <si>
    <t>OKOMBI PANGOU ARNAUD</t>
  </si>
  <si>
    <t>NKOUI JONAS</t>
  </si>
  <si>
    <t>OKANBANDE JEAN SERGE EDOU</t>
  </si>
  <si>
    <t>OKEMBA IBARA AIME</t>
  </si>
  <si>
    <t>OMBIANGO GLAY</t>
  </si>
  <si>
    <t>ONDZIE ICK ARICHE</t>
  </si>
  <si>
    <t>ONGAGNA OCKOKO AYMARD</t>
  </si>
  <si>
    <t>ONGANGUI ABEL</t>
  </si>
  <si>
    <t>OSSETE ELIS</t>
  </si>
  <si>
    <t>OSSOUSSA LENINE</t>
  </si>
  <si>
    <t>PANDZOU CHAI PAULTUVIER</t>
  </si>
  <si>
    <t>NGOKOUBA GRACE</t>
  </si>
  <si>
    <t>NTADI VIVIAN</t>
  </si>
  <si>
    <t>NTOUTOU GEORGES</t>
  </si>
  <si>
    <t>NKAYI                         NKAYI</t>
  </si>
  <si>
    <t>ONDZIE DIEUDONNE</t>
  </si>
  <si>
    <t>ONDZIMA PRISCA</t>
  </si>
  <si>
    <t>OTABO BONDO INGOBA PP</t>
  </si>
  <si>
    <t>PINGANA NIMI FRED</t>
  </si>
  <si>
    <t>POUELE KINIOUNGOU HUGUES</t>
  </si>
  <si>
    <t>NGOLELE PHILIANCE</t>
  </si>
  <si>
    <t>NIAMA GILDAS</t>
  </si>
  <si>
    <t>DOLISIE                       MOSSENDJO</t>
  </si>
  <si>
    <t>NTSIBA BIENVENU</t>
  </si>
  <si>
    <t>NZILA BANZOUZI KELLY</t>
  </si>
  <si>
    <t>OKION BERNADETTE</t>
  </si>
  <si>
    <t>OKOMBI PROSPER</t>
  </si>
  <si>
    <t>IMPFONDO</t>
  </si>
  <si>
    <t>TCHICAYA MA PENSE</t>
  </si>
  <si>
    <t>TOMBE MAURICE</t>
  </si>
  <si>
    <t>OKANDZE ALBERT</t>
  </si>
  <si>
    <t>ONDONGO VICTORIEN</t>
  </si>
  <si>
    <t>OTOLO ONYENGUE CATUSSE</t>
  </si>
  <si>
    <t>YOKA MANIBALOUTA SERGES</t>
  </si>
  <si>
    <t>OTSAMPION JOSPIN</t>
  </si>
  <si>
    <t>POUTOUKOU JEAN</t>
  </si>
  <si>
    <t>EXPLOITATION FORESTIER</t>
  </si>
  <si>
    <t>NIANGA BRUNO</t>
  </si>
  <si>
    <t>NTSAKOU DOMINIQUE</t>
  </si>
  <si>
    <t>NTSONDE YOMBO RODRIGUE</t>
  </si>
  <si>
    <t>TSAKALA TSONI LYRETTE</t>
  </si>
  <si>
    <t>YOULOU MALANDA CHABROL</t>
  </si>
  <si>
    <t>SOCIETE ZANDO</t>
  </si>
  <si>
    <t>OMOLO ALAIN</t>
  </si>
  <si>
    <t>OBESSOU PEA ELDA</t>
  </si>
  <si>
    <t>YOUNGUILA LOUTAYA CHRISTELLE</t>
  </si>
  <si>
    <t>NGOTENI ROCK</t>
  </si>
  <si>
    <t>NKANDOU LEOCADIE</t>
  </si>
  <si>
    <t>NKOU WALDEMAR</t>
  </si>
  <si>
    <t>NZONGO JEANNOT</t>
  </si>
  <si>
    <t>OBONIO-EBISSOU JULIEN</t>
  </si>
  <si>
    <t>TSIBA N'TSA CHRIST</t>
  </si>
  <si>
    <t>OKANDZE SAINT</t>
  </si>
  <si>
    <t>ONDZOBOKO TSAMBI ALEX</t>
  </si>
  <si>
    <t>OSSIE LEZIN</t>
  </si>
  <si>
    <t>NGATSE FREDERIC</t>
  </si>
  <si>
    <t>NGOMA KOUDIMBA SIMPLICE</t>
  </si>
  <si>
    <t>NGOMA DORVALIE</t>
  </si>
  <si>
    <t>NGUISSALIKI KITNER</t>
  </si>
  <si>
    <t>NTOUMI LOUEZI ROLAND</t>
  </si>
  <si>
    <t>NZENGUE ITONGO BIDJO</t>
  </si>
  <si>
    <t>OBAS STYVIE</t>
  </si>
  <si>
    <t>TCHIMBOUKA CHIMENE</t>
  </si>
  <si>
    <t>TOMA FRED</t>
  </si>
  <si>
    <t>NGANGUIA KANGA RICHARD</t>
  </si>
  <si>
    <t>NGOUABI OHEKAT ROGER MARTIN</t>
  </si>
  <si>
    <t>NGUEKIBENI EXHAUSSE</t>
  </si>
  <si>
    <t>NTOUALANI BIKANKA VINCIANE</t>
  </si>
  <si>
    <t>OKOLA ELENGA MISSET</t>
  </si>
  <si>
    <t>OKOUYA DIGNE</t>
  </si>
  <si>
    <t>OLEGNA BEATRICE</t>
  </si>
  <si>
    <t>MBOUALE                       ODIKANGO</t>
  </si>
  <si>
    <t>OYOULOU IMBENGA ELEMBA</t>
  </si>
  <si>
    <t>SIENDE ULBRICHE</t>
  </si>
  <si>
    <t>TOMBE RICHARD</t>
  </si>
  <si>
    <t>TSIELO SEVERIN</t>
  </si>
  <si>
    <t>YELOLO MABONZO ENRIKE</t>
  </si>
  <si>
    <t>BSCABANK</t>
  </si>
  <si>
    <t xml:space="preserve">SCAB CONGO                                                         </t>
  </si>
  <si>
    <t>GARDIENNAGE</t>
  </si>
  <si>
    <t xml:space="preserve">SOCIETE OCEANA                                                     </t>
  </si>
  <si>
    <t>BTP</t>
  </si>
  <si>
    <t xml:space="preserve">SOCIETE SEME                                                       </t>
  </si>
  <si>
    <t>PRESTATION DE SERVICES</t>
  </si>
  <si>
    <t>EXPLOITATION PETROLIERE</t>
  </si>
  <si>
    <t>CDCo</t>
  </si>
  <si>
    <t xml:space="preserve">SOCIETE DE PEINTURE, ECHAFAUDAGE DE CONSTRUCTION DU CONGO          </t>
  </si>
  <si>
    <t xml:space="preserve">NTSAMBA LEON                                                       </t>
  </si>
  <si>
    <t xml:space="preserve">PLANETE 2000                                                       </t>
  </si>
  <si>
    <t xml:space="preserve">NKOUKA NEE MAGANGA MARIANNE                                        </t>
  </si>
  <si>
    <t xml:space="preserve">TAMISS SARLU                                                       </t>
  </si>
  <si>
    <t xml:space="preserve">UBIPHARM CONGO STE                                                 </t>
  </si>
  <si>
    <t xml:space="preserve">OLYMPIA                                                            </t>
  </si>
  <si>
    <t xml:space="preserve">SOCIETE CONGOLAISE DE TRANSPORT                                    </t>
  </si>
  <si>
    <t xml:space="preserve">UBA </t>
  </si>
  <si>
    <t>SOCIETE MADINA CONGO (SARLU)</t>
  </si>
  <si>
    <t>SOCIETE NATIONALE D ELECTRICITE</t>
  </si>
  <si>
    <t>PETROLE</t>
  </si>
  <si>
    <t>REGAL</t>
  </si>
  <si>
    <t>commerce</t>
  </si>
  <si>
    <t>BRASSERIES DU CONGO</t>
  </si>
  <si>
    <t>30014</t>
  </si>
  <si>
    <t>SOCIETE BUROTOP IRIS</t>
  </si>
  <si>
    <t xml:space="preserve">TRESOR PUBLIC                 </t>
  </si>
  <si>
    <t>Pointe-Noire</t>
  </si>
  <si>
    <t xml:space="preserve">X OIL CONGO                   </t>
  </si>
  <si>
    <t xml:space="preserve">UNITE DE COORDINATION DU PROJ </t>
  </si>
  <si>
    <t xml:space="preserve">UNITE DE COODINATION DU PROJE </t>
  </si>
  <si>
    <t xml:space="preserve">UNICEF                        </t>
  </si>
  <si>
    <t xml:space="preserve">C. OFFRE/SOUMISSION M. PRIVE  </t>
  </si>
  <si>
    <t xml:space="preserve">BEAC                          </t>
  </si>
  <si>
    <t xml:space="preserve">UCP PACIGOF                   </t>
  </si>
  <si>
    <t xml:space="preserve">TOTAL ENERGIES EP CONGO       </t>
  </si>
  <si>
    <t xml:space="preserve">DIRECTION GENERALE DES IMPOTS </t>
  </si>
  <si>
    <t>Aut.serv.march.non compr.aills</t>
  </si>
  <si>
    <t xml:space="preserve">CHINA MACHINERY ENGINEERING CORPORATION CONGO                      </t>
  </si>
  <si>
    <t xml:space="preserve">Bâtiment et travaux publiques </t>
  </si>
  <si>
    <t>Services destinés aux entrepr.</t>
  </si>
  <si>
    <t xml:space="preserve">COTECHCOM                                                          </t>
  </si>
  <si>
    <t xml:space="preserve">Transf. des Prod. Forestiers  </t>
  </si>
  <si>
    <t xml:space="preserve">SINO-CONGO FORET                                                   </t>
  </si>
  <si>
    <t>Aut.commerce non compris aills</t>
  </si>
  <si>
    <t xml:space="preserve">SOCIETE GRANDE QUINCAILLERIE S.A.R.L                               </t>
  </si>
  <si>
    <t>Services Financiers</t>
  </si>
  <si>
    <t>PEEX CONGO</t>
  </si>
  <si>
    <t>Services Divers</t>
  </si>
  <si>
    <t>ULSAN MINING CONGO SAU</t>
  </si>
  <si>
    <t>EVENE SERVICES</t>
  </si>
  <si>
    <t>SOCIETE SUPERMARKET</t>
  </si>
  <si>
    <t>A.G. PARTNERS-CONGO</t>
  </si>
  <si>
    <t>MANUFACTURE BATIMENT ET TRAVAUX PUBL</t>
  </si>
  <si>
    <t xml:space="preserve">NEW AGE CONGO LIMITED                                              </t>
  </si>
  <si>
    <t xml:space="preserve">50.1                         </t>
  </si>
  <si>
    <t xml:space="preserve">CFAO MOBILITY CONGO                                                </t>
  </si>
  <si>
    <t>50.3</t>
  </si>
  <si>
    <t xml:space="preserve">AUTO SHOP                                                          </t>
  </si>
  <si>
    <t xml:space="preserve">PHARMACIE BEATITUDE                                                </t>
  </si>
  <si>
    <t xml:space="preserve">K.C    </t>
  </si>
  <si>
    <t>BATIM TRAV. PUB. NON PETROLIER</t>
  </si>
  <si>
    <t xml:space="preserve">CONGO CONTRACTING    </t>
  </si>
  <si>
    <t>TRANSPORTS ROUTIERS DE PASSAGE</t>
  </si>
  <si>
    <t xml:space="preserve">SOCIETE AFRICAINE DE TRANSPORTS    </t>
  </si>
  <si>
    <t xml:space="preserve">INFRASTRUCTURES DE TELECOMMUNICATION    </t>
  </si>
  <si>
    <t>CONSTRUCTION DE BATIMENTS</t>
  </si>
  <si>
    <t xml:space="preserve">SOCIETE MBTP    </t>
  </si>
  <si>
    <t>COMM DETAIL MAGASIN SPECIALISE</t>
  </si>
  <si>
    <t>CIESPAC</t>
  </si>
  <si>
    <t>COMMER GROS DE BIEN CONSO N.A.</t>
  </si>
  <si>
    <t>PATISEN</t>
  </si>
  <si>
    <t>Bâtiment et Travaux publics</t>
  </si>
  <si>
    <t>SERRU-TOP</t>
  </si>
  <si>
    <t>I.A.T.P.C</t>
  </si>
  <si>
    <t>E.B.C.S</t>
  </si>
  <si>
    <t>AFRICAN SOFTWARE SUPPLY</t>
  </si>
  <si>
    <t>Energie et Eau</t>
  </si>
  <si>
    <t>CHINA MACHINERY ENGINEERING</t>
  </si>
  <si>
    <t>SOYAF</t>
  </si>
  <si>
    <t>INTERNATIONAL NETWORK</t>
  </si>
  <si>
    <t>BON MARCHE &amp; FILS</t>
  </si>
  <si>
    <t>EMPLOI SERVICES CONGO</t>
  </si>
  <si>
    <t>AL-OTHMAN REAL ESTATE GROUP</t>
  </si>
  <si>
    <t>SOCIETE DES PLAQUES ET MULTISERV</t>
  </si>
  <si>
    <t>E2C</t>
  </si>
  <si>
    <t xml:space="preserve">CONGO                         </t>
  </si>
  <si>
    <t>SNPC</t>
  </si>
  <si>
    <t xml:space="preserve">Autres Produits Pétroliers    </t>
  </si>
  <si>
    <t>Autres prod.dérivés du pétrole</t>
  </si>
  <si>
    <t xml:space="preserve">ÉMIRATS ARABES UNIS           </t>
  </si>
  <si>
    <t xml:space="preserve">Raffinage de pétrole          </t>
  </si>
  <si>
    <t xml:space="preserve">ENERGIE ELECTRIQUE DU CONGO         </t>
  </si>
  <si>
    <t xml:space="preserve">STE  TUYAUT CHAUDRON DU CONGO                                      </t>
  </si>
  <si>
    <t xml:space="preserve">SOCIETE DES TRAVAUX DIVER                                         </t>
  </si>
  <si>
    <t xml:space="preserve">3CE SARLU                                                         </t>
  </si>
  <si>
    <t xml:space="preserve">EN FACE DU CLUB HIPPIQUE      </t>
  </si>
  <si>
    <t xml:space="preserve">ST2C                                                              </t>
  </si>
  <si>
    <t xml:space="preserve">AUTRES ACTIVITES ANNEXES      </t>
  </si>
  <si>
    <t xml:space="preserve">POINTE   NOIRE                </t>
  </si>
  <si>
    <t xml:space="preserve">SERVICES INDUSTRIELS ET DES TRAVAUX                               </t>
  </si>
  <si>
    <t xml:space="preserve">SER FOURN AUX ENTR NON CLAS   </t>
  </si>
  <si>
    <t xml:space="preserve">NICOLAS ELOTA SERVICES                                            </t>
  </si>
  <si>
    <t xml:space="preserve">INDUSTRIES METTALURGIQ        </t>
  </si>
  <si>
    <t xml:space="preserve">ATELIER METALLURGIE INDUSTR DU CONGO                              </t>
  </si>
  <si>
    <t xml:space="preserve">COMPAGNY EXQ                                                      </t>
  </si>
  <si>
    <t xml:space="preserve">IMPRIMERIE ET EDITION         </t>
  </si>
  <si>
    <t xml:space="preserve">PNR                           </t>
  </si>
  <si>
    <t xml:space="preserve">IMPRIMERIE PAPETERIE DU CONGO                                     </t>
  </si>
  <si>
    <t xml:space="preserve">AUTRES PRODUITS ALIMENTAIRES  </t>
  </si>
  <si>
    <t xml:space="preserve">ETS AGRO SOCIETY AFRICAN FOOD                                     </t>
  </si>
  <si>
    <t xml:space="preserve">TRANSPORTS ET ENTREPOT        </t>
  </si>
  <si>
    <t xml:space="preserve">S L T C                                                           </t>
  </si>
  <si>
    <t xml:space="preserve">AUTRES COMMERCES DE GR        </t>
  </si>
  <si>
    <t xml:space="preserve">PRESTATIONS CONGOLAISES DE SERVICES                               </t>
  </si>
  <si>
    <t xml:space="preserve">TRANSPORT VOIE TERREST        </t>
  </si>
  <si>
    <t xml:space="preserve">SALOMON GROUP SARLU                                               </t>
  </si>
  <si>
    <t xml:space="preserve">SOCIETE EAS CONGO                                                 </t>
  </si>
  <si>
    <t xml:space="preserve">KIM GESTION &amp; SERVICE                                             </t>
  </si>
  <si>
    <t xml:space="preserve">SOCIETE HEADOFPARTNER SARL                                        </t>
  </si>
  <si>
    <t xml:space="preserve">BILOMBO                             JUST AYMAR                    </t>
  </si>
  <si>
    <t xml:space="preserve">COMMERCE GENERAL D IMP        </t>
  </si>
  <si>
    <t xml:space="preserve">SOCIETE MANMAKER  SA                                              </t>
  </si>
  <si>
    <t xml:space="preserve">SOCIETE NOUVELLE DES BOIS IMPREGNES                               </t>
  </si>
  <si>
    <t xml:space="preserve">JBS SARL                                                          </t>
  </si>
  <si>
    <t xml:space="preserve">TRANSPORTS MARITIMES          </t>
  </si>
  <si>
    <t xml:space="preserve">POINTE NOIRE                  </t>
  </si>
  <si>
    <t xml:space="preserve">PORT AUTONOME DE POINTE NOIRE                                     </t>
  </si>
  <si>
    <t xml:space="preserve">CENTRE VILLE                  </t>
  </si>
  <si>
    <t xml:space="preserve">ENTREPRISE TRANSAFRICAINE DE TRANSPO                              </t>
  </si>
  <si>
    <t xml:space="preserve">SCAFFALL CONGO                                                    </t>
  </si>
  <si>
    <t xml:space="preserve">SOCIETE M B SERVICES                                              </t>
  </si>
  <si>
    <t xml:space="preserve">SOCIETE POWERMAN INTERIM - PROVIDER                               </t>
  </si>
  <si>
    <t xml:space="preserve">IMMEUBLE LES CASCADES         </t>
  </si>
  <si>
    <t xml:space="preserve">BI-VEN-SERVICES SARLU                                             </t>
  </si>
  <si>
    <t>I14</t>
  </si>
  <si>
    <t>I13</t>
  </si>
  <si>
    <t>I12</t>
  </si>
  <si>
    <t>I11</t>
  </si>
  <si>
    <t>I10</t>
  </si>
  <si>
    <t>I09</t>
  </si>
  <si>
    <t>I08</t>
  </si>
  <si>
    <t>I07</t>
  </si>
  <si>
    <t>I06</t>
  </si>
  <si>
    <t>I05</t>
  </si>
  <si>
    <t>I04</t>
  </si>
  <si>
    <t>I03</t>
  </si>
  <si>
    <t>I02</t>
  </si>
  <si>
    <t>I01</t>
  </si>
  <si>
    <t>I15</t>
  </si>
  <si>
    <t>I16</t>
  </si>
  <si>
    <t>I17</t>
  </si>
  <si>
    <t xml:space="preserve">LES GRANDS MOULINS DU PHARE                                        </t>
  </si>
  <si>
    <t>3-1</t>
  </si>
  <si>
    <t xml:space="preserve">POINTE-NOIRE                  </t>
  </si>
  <si>
    <t xml:space="preserve">15.8                         </t>
  </si>
  <si>
    <t>BINOTH PIEERE ALVERA GHIOLE</t>
  </si>
  <si>
    <t>MAFOUA ANICET SERGE</t>
  </si>
  <si>
    <t>MANKOU GASTON</t>
  </si>
  <si>
    <t xml:space="preserve">MOSSENDJO                     </t>
  </si>
  <si>
    <t>OFANA CHADERMAN</t>
  </si>
  <si>
    <t>KOUMBA ARSENE</t>
  </si>
  <si>
    <t xml:space="preserve">DOLISIE                       </t>
  </si>
  <si>
    <t>LEBELA BOUYA JESSICA</t>
  </si>
  <si>
    <t>OKISSAKOSSI OSSOMBI JEAN BRUNO</t>
  </si>
  <si>
    <t>MAMPOUYA MAVOULA LEON NOE</t>
  </si>
  <si>
    <t>MIZHAIRE HILARION BAGEL</t>
  </si>
  <si>
    <t>MABA NGOULOUBI PRINCE LOIQUE</t>
  </si>
  <si>
    <t>MPIKA MASSENGO DIANZENZA ELVIS</t>
  </si>
  <si>
    <t>NGAMAGNOUKA MATOBELE GUY JOEL</t>
  </si>
  <si>
    <t>KOUMBA KALI ROUMANCE JOGUAIE</t>
  </si>
  <si>
    <t>GARYZAS MELLET ORNNECHE CHABRELLE</t>
  </si>
  <si>
    <t>BONGA NGOKIA OMOUEMBET ALFRED</t>
  </si>
  <si>
    <t>BOUMBA- BOUMBA ODILON- ROMARIC</t>
  </si>
  <si>
    <t>MAYAMOU GUY JUSTE</t>
  </si>
  <si>
    <t>BOUKAKA NANITELA PATRICK BERANGER</t>
  </si>
  <si>
    <t>MOUTINDOU-BENI-BELLA FRANCK- RODRIQUE</t>
  </si>
  <si>
    <t>FOUNDOU CHRISTIAN</t>
  </si>
  <si>
    <t>ITOUA CHABREL</t>
  </si>
  <si>
    <t>OKABANDZELE GUY HENRI</t>
  </si>
  <si>
    <t>DESAUFFRET MASSENGO LOIC ULRICH</t>
  </si>
  <si>
    <t>MABOUELA AURIOL AUXENCE</t>
  </si>
  <si>
    <t>TATY MAKAYA HONECKER BRUNEL ROGER</t>
  </si>
  <si>
    <t>BOUKAKA DECH GHINEL</t>
  </si>
  <si>
    <t>OKEMBA GUYCHEL HERBERT</t>
  </si>
  <si>
    <t>MALONGA RIAMAXI EUDRICK MANEL</t>
  </si>
  <si>
    <t>EL-MAF ARMEL ROMARIC ELODE</t>
  </si>
  <si>
    <t>BAMBI MABIKA HABIB SATURNIN</t>
  </si>
  <si>
    <t>NZOUZI MANZOANGANI FRANCE GARCIA</t>
  </si>
  <si>
    <t xml:space="preserve">INDUSTRIELS                   </t>
  </si>
  <si>
    <t>OKOUENGUE ADAN PATHELY</t>
  </si>
  <si>
    <t>MALENGO OKILI CLAUDEL</t>
  </si>
  <si>
    <t>NDALE AMOUR HERMANN</t>
  </si>
  <si>
    <t>IBELA NDONGHASSEINGUET DELAROSE</t>
  </si>
  <si>
    <t>MAKAYA MURDEN WILLIAM CHRISTOPHE</t>
  </si>
  <si>
    <t>KISSENGO MANANGA TOUSSAINT DE STEFANO</t>
  </si>
  <si>
    <t>SAMBA NGANGA GODLOVY NICK LAVY</t>
  </si>
  <si>
    <t>MOUKANI-BATOLA ULRICH REGIS</t>
  </si>
  <si>
    <t>ONGANANGA ELYSEE MARTIAL</t>
  </si>
  <si>
    <t>EBATA ODZISSIA DONNAT HUGUES</t>
  </si>
  <si>
    <t>OBANDZOUROU OLOUNGA ANDREDY GIREL</t>
  </si>
  <si>
    <t xml:space="preserve">IMPFONDO                      </t>
  </si>
  <si>
    <t>DOUNIAMA BALTONNE RICHARD</t>
  </si>
  <si>
    <t>KOUMOU AKOUALA ELENGA</t>
  </si>
  <si>
    <t>MBILA SERGE DAVY</t>
  </si>
  <si>
    <t>GNOUNGOU JOSE MARTY</t>
  </si>
  <si>
    <t>MOBOTI LOREL ARRIAS FREDDY</t>
  </si>
  <si>
    <t>MBONGO GUY FRANCIS</t>
  </si>
  <si>
    <t>NGATSE ANGANDE CARINE</t>
  </si>
  <si>
    <t>GROUPE DE FROID MODERNE</t>
  </si>
  <si>
    <t xml:space="preserve">PETITS CCANTS DETAILLANTS     </t>
  </si>
  <si>
    <t>SAIDOU BOUBA</t>
  </si>
  <si>
    <t>FOUA RENE</t>
  </si>
  <si>
    <t>KANGA YVON ALBAN</t>
  </si>
  <si>
    <t>NTANDOU BOUVIER FABRICE</t>
  </si>
  <si>
    <t>KOUKA GRACIA VIGEE CELINE</t>
  </si>
  <si>
    <t>DIAKABANA JEAN JACQUES CARDORELLE</t>
  </si>
  <si>
    <t>MOUHINGOU KOUSSIAMA GUY EMILE</t>
  </si>
  <si>
    <t>MAKASSY SYNTHIA AURORE</t>
  </si>
  <si>
    <t>DONG-KODONG FICRA PATIENCE</t>
  </si>
  <si>
    <t>OPENDA NKOLI RUDY FARELI</t>
  </si>
  <si>
    <t>GUEKALA OKO WILLIAM</t>
  </si>
  <si>
    <t>BOUMPOUTOU SYLVIE OLGA</t>
  </si>
  <si>
    <t>MBOU PAPA ANTOINE</t>
  </si>
  <si>
    <t>NGAKOSSO ERIC FORTUNE</t>
  </si>
  <si>
    <t>SAMBA VIANNEL EDDY JEANIX</t>
  </si>
  <si>
    <t>NOMBO OLIVIER</t>
  </si>
  <si>
    <t>DALLA FREDY</t>
  </si>
  <si>
    <t>WAVOUTOULOU PACHRIST GELASSE</t>
  </si>
  <si>
    <t>BITOYI MOUSSOUNDA EMMANUEL</t>
  </si>
  <si>
    <t>TOURY KILLY BELY</t>
  </si>
  <si>
    <t>MOUYECKET-OUMBATH JUDITH ROCHIE</t>
  </si>
  <si>
    <t>BAYOULA NKARI GERFI STEINER</t>
  </si>
  <si>
    <t>MBADI JOSELYNE THERESE</t>
  </si>
  <si>
    <t>MBILALOYI ANGELIQUE</t>
  </si>
  <si>
    <t>EBATA ARMEL PAMPHILE</t>
  </si>
  <si>
    <t>MASSAMBA NDIKOU FRANCOIS</t>
  </si>
  <si>
    <t>LOUMBOU MASSIDI MAGALIE KARCINE</t>
  </si>
  <si>
    <t>OSSOULA CAREL FASYM</t>
  </si>
  <si>
    <t>MBE DARLAND SERGE</t>
  </si>
  <si>
    <t>NKODIA KIFOSSA EUDES PATERNE</t>
  </si>
  <si>
    <t>NKOUNKOU MARIE GEORGINE</t>
  </si>
  <si>
    <t>MBO HUGUES STANISLAS</t>
  </si>
  <si>
    <t xml:space="preserve">DJAMBALA                      </t>
  </si>
  <si>
    <t>BONGO GABRIEL RUDY</t>
  </si>
  <si>
    <t>OKO DOUNIAMA ANTOINE</t>
  </si>
  <si>
    <t>MOUSSOKI COLETTE</t>
  </si>
  <si>
    <t>SONDZO ISSABIKONDI SIDOINE</t>
  </si>
  <si>
    <t>NDOBO JEAN PIERRE</t>
  </si>
  <si>
    <t>EKOUYA ABENDE CLEMENTINE</t>
  </si>
  <si>
    <t>GAEBILI OSSONTSIO GIVENCHY PREMIER</t>
  </si>
  <si>
    <t>KIPARI GASTON ALAIN</t>
  </si>
  <si>
    <t>ELION ANNE</t>
  </si>
  <si>
    <t>BIKAKOU GEORGELIE EMMANUELLE</t>
  </si>
  <si>
    <t>PANDZOU LOUIS- BEBERT</t>
  </si>
  <si>
    <t>MONDONGO CHRISTIAN</t>
  </si>
  <si>
    <t>NGANGA JEAN GUSTAVE</t>
  </si>
  <si>
    <t>NGOUALA RONALD IRGEOG</t>
  </si>
  <si>
    <t>IHOU MAKITA PAGE BERLIN</t>
  </si>
  <si>
    <t>OKOMBI BONKIAME BONETTE</t>
  </si>
  <si>
    <t xml:space="preserve">PROFES. LIBERALE PERS. PHYS.  </t>
  </si>
  <si>
    <t>DENGAMOUE ELOUO BIENVENU</t>
  </si>
  <si>
    <t>MABILIBO KOWEN BORJA</t>
  </si>
  <si>
    <t>MBOUOLI MARIANE</t>
  </si>
  <si>
    <t>OKO MEDELI</t>
  </si>
  <si>
    <t>MBOPOUTOU WILLY</t>
  </si>
  <si>
    <t>MOUBE MALANDA MERVEILLE FLEUR CHRISCELLE</t>
  </si>
  <si>
    <t>IWANDZA ARNAUD BAUFIS</t>
  </si>
  <si>
    <t>LEPOUNGA RAISSA PERELLE</t>
  </si>
  <si>
    <t>NTSATOUABAKA MATONDO GILDAS LANDRY</t>
  </si>
  <si>
    <t>MALALOU OLANGALA GHISLAIN CHRIST</t>
  </si>
  <si>
    <t>ONOUABOUO EDINE JOSERUDE</t>
  </si>
  <si>
    <t>NGATSONGO CYR INNOCENT</t>
  </si>
  <si>
    <t>IKANI OKANDA BIENVENU</t>
  </si>
  <si>
    <t>NKODIA PADOVANI MALBRECHE</t>
  </si>
  <si>
    <t xml:space="preserve">EXPLOITANT(Gerant,prop.pltt?) </t>
  </si>
  <si>
    <t>MPASSI JANCHELIE ELICHA</t>
  </si>
  <si>
    <t>NGANKIMA NGAKIE</t>
  </si>
  <si>
    <t>ELENGA YAFA MARLON</t>
  </si>
  <si>
    <t>BOMPOMA IKELE ERNEST</t>
  </si>
  <si>
    <t>TSIBA JEAN</t>
  </si>
  <si>
    <t>NKOUA CHRISTOPHE</t>
  </si>
  <si>
    <t>LOKOUA MANGOKE JEAN LOUIS</t>
  </si>
  <si>
    <t>ANGOUETSAMBE JUSTIN ROLAND</t>
  </si>
  <si>
    <t>NGUEKALA AUGUSTE</t>
  </si>
  <si>
    <t>MBESSI JEREMIE PRISTANT</t>
  </si>
  <si>
    <t>AKOUALA ARMELLE CAROLE</t>
  </si>
  <si>
    <t>ITOUA EKAMBA BEATSAGUI MYLLA MICHELINE</t>
  </si>
  <si>
    <t>M'BEMBA LOUVOUEZO FABRICE AUDREY</t>
  </si>
  <si>
    <t>OCKETE ISSE BIENVENU</t>
  </si>
  <si>
    <t>MAKANI FERDINAND</t>
  </si>
  <si>
    <t>N'ZOUZI AIMAR</t>
  </si>
  <si>
    <t>MALONGA MARCELLIN</t>
  </si>
  <si>
    <t>ELEMBA OKOUO FRIAS NINEL PRESTIGE</t>
  </si>
  <si>
    <t>BOUKAKA LOUBELO ROCHELVY LIDEVEN</t>
  </si>
  <si>
    <t>OKANGA PETER</t>
  </si>
  <si>
    <t>REASSI BONGO-MONE STANISLAS WILFRID</t>
  </si>
  <si>
    <t>SAMBA WILFRID</t>
  </si>
  <si>
    <t>VOUMINA ZOLA TACHELAND</t>
  </si>
  <si>
    <t>MPANE LEBBE REGIS</t>
  </si>
  <si>
    <t>OSSALE THEDI ROSTAND</t>
  </si>
  <si>
    <t>PAHOU TOMBE EMERENCE PRICILIENE</t>
  </si>
  <si>
    <t>OPESSE ICHA DARVELY</t>
  </si>
  <si>
    <t>MIAKORILA PARFAIT ABEL</t>
  </si>
  <si>
    <t xml:space="preserve">MADINGOU                      </t>
  </si>
  <si>
    <t>MAMOULOU-MAMOTHAUX GABIN CYRIAQUE</t>
  </si>
  <si>
    <t>TATHY KOUMOU ISSELE ABANDZA RADIA</t>
  </si>
  <si>
    <t>TATY CATHERINE CHRISTELLE</t>
  </si>
  <si>
    <t>EMBOLO/EMBOLO /HILAIRE/LUCIENNE</t>
  </si>
  <si>
    <t>OTOKA CLEMENCE</t>
  </si>
  <si>
    <t>OTONGA ARTHUR</t>
  </si>
  <si>
    <t>MOSSASSI ABRAHAM</t>
  </si>
  <si>
    <t>BOUZANGA NGONDO RAJIV</t>
  </si>
  <si>
    <t>MAZIKOU SOSTHENE ANICET</t>
  </si>
  <si>
    <t>SONGO MARIE FRANCE</t>
  </si>
  <si>
    <t>MASSIKA GERALDIN KLEIN DAVID</t>
  </si>
  <si>
    <t>EBANA JULES CESAR</t>
  </si>
  <si>
    <t>LESSOMBO MAURICE JOSPIN</t>
  </si>
  <si>
    <t>OKOUO BOB SLENDJE</t>
  </si>
  <si>
    <t>MOUNGUENGUI MOUNDOUNGA FLEURY</t>
  </si>
  <si>
    <t>MAKANGA SAFOU TATY NOBEL HISTON</t>
  </si>
  <si>
    <t>PAKA MAKOSSO PIERGU HILARION</t>
  </si>
  <si>
    <t>BOMBOLO MAWENGA BOB FELY</t>
  </si>
  <si>
    <t>KOUSSIKANA SERVAIS JUVENILE</t>
  </si>
  <si>
    <t>MAMPAKA JOB ADINATH</t>
  </si>
  <si>
    <t>OURGA DAN CHARLYN</t>
  </si>
  <si>
    <t>OHOUSSI OKOKO HERVE</t>
  </si>
  <si>
    <t>ZASSI-ZASSI KARL LYONEL</t>
  </si>
  <si>
    <t>AKIRIDZO MBAYA ALIX</t>
  </si>
  <si>
    <t>NGALOMI MORANGA RODRIGUE</t>
  </si>
  <si>
    <t>GOUELOKO BAYINA MARX ARTHUR</t>
  </si>
  <si>
    <t>MABIALA STANY GERALDINE</t>
  </si>
  <si>
    <t>KOUATOUKA DJORA HARDY</t>
  </si>
  <si>
    <t>BOUKINDA ERMANN LYNS</t>
  </si>
  <si>
    <t>OBAMBI LUCIE PARFAITE</t>
  </si>
  <si>
    <t>DIMI JEFFERELE</t>
  </si>
  <si>
    <t>MOUDZOUMA ALFRED</t>
  </si>
  <si>
    <t>ISSEMIBA MANGA RIGANE</t>
  </si>
  <si>
    <t>OBENDZA EWOCK ARMEL</t>
  </si>
  <si>
    <t>MASSAKA CONSTANTIN</t>
  </si>
  <si>
    <t>SEMBO PHILOMENE</t>
  </si>
  <si>
    <t>OSSEBY FRANCK ALPHIE</t>
  </si>
  <si>
    <t>LOUFILOU SIMBOUTH NADDY ODH ERMSS</t>
  </si>
  <si>
    <t>LONONGO LYCHABERT</t>
  </si>
  <si>
    <t>ISSEMA GUY NOEL</t>
  </si>
  <si>
    <t>OKO JULHENRY HERVIAL</t>
  </si>
  <si>
    <t>MOUDADA ALEM VEULCY</t>
  </si>
  <si>
    <t>ANTSA BERTIN</t>
  </si>
  <si>
    <t>MALOUONA PIERRE PENIEL</t>
  </si>
  <si>
    <t>GANGA SAMHORIN BEAUTE HORLON LINHOS</t>
  </si>
  <si>
    <t>NDOMBI BOUESSO FRANCIA DUVEL</t>
  </si>
  <si>
    <t>EDZOUALIKO BELJANI</t>
  </si>
  <si>
    <t>ONDZE PIERRETTE</t>
  </si>
  <si>
    <t>BOUANGA BENIT PIERVY</t>
  </si>
  <si>
    <t>ABI CISSE FRANGINA</t>
  </si>
  <si>
    <t>MOUTOULA MAKOUANGOU PRUDENCE VICKY</t>
  </si>
  <si>
    <t>MVOULOU KIANGANI PAULIN</t>
  </si>
  <si>
    <t>OKANDZE CHIMENE OLIVE</t>
  </si>
  <si>
    <t>PANDI STANISLAS FRANCIS</t>
  </si>
  <si>
    <t>NGABADA CREPIN</t>
  </si>
  <si>
    <t>NKOMBO MAMPOSSI CHIM DAREL</t>
  </si>
  <si>
    <t>OKOUO ROCK</t>
  </si>
  <si>
    <t>ELIAS ADJIBI</t>
  </si>
  <si>
    <t>3-2</t>
  </si>
  <si>
    <t>51.6</t>
  </si>
  <si>
    <t>MASSAMBA NGOUONI ELIJEATE VENCESLAS</t>
  </si>
  <si>
    <t>NGAYE NAZE</t>
  </si>
  <si>
    <t>TCHIFOUNGA FRANCOIS</t>
  </si>
  <si>
    <t>BATSA MOUKOUANGA ARMAND</t>
  </si>
  <si>
    <t>ITOUA LELA YVON LESAGE</t>
  </si>
  <si>
    <t>TCHOUNY BOUNAKA HENRI</t>
  </si>
  <si>
    <t>IBARA AMY BERLAND</t>
  </si>
  <si>
    <t>MABIALA MAMBOU CHARMELIN</t>
  </si>
  <si>
    <t>EKOKO NDEBE GUY STEPHANE</t>
  </si>
  <si>
    <t>MANDANGA VICTOR NAZAIRE</t>
  </si>
  <si>
    <t>AMBENDET A GOKABA FILS</t>
  </si>
  <si>
    <t>EWOYONGO CLAUDE</t>
  </si>
  <si>
    <t>LIKOUNDOU TASSILA PUISSANCE</t>
  </si>
  <si>
    <t>KIMBEMBE SYRLEY BREGE</t>
  </si>
  <si>
    <t>NKELE BRICE SERVAIS LARCIDUCK</t>
  </si>
  <si>
    <t>BATTANTOU ARMEL ALEX VIVIEN</t>
  </si>
  <si>
    <t>ELENGA OKEMBA FRANCK ARMEL</t>
  </si>
  <si>
    <t>NTSINGANI PRAISE NAULYVA FARGUE</t>
  </si>
  <si>
    <t>NGOULOU FRANCK</t>
  </si>
  <si>
    <t>KOUMOU EKOLA SONIA BERTILLE</t>
  </si>
  <si>
    <t>MIEMBOULA-MALOURA JAVHY TCHAM</t>
  </si>
  <si>
    <t>IBARA AUDREY HERMANN</t>
  </si>
  <si>
    <t>BANHY DIANZENZA YINDOULA VENCESLAS MELAINE</t>
  </si>
  <si>
    <t>OBOUKOULOU-NKOU FREDY</t>
  </si>
  <si>
    <t>MABA NGOVIELE MARCCO DUPLEXE</t>
  </si>
  <si>
    <t>MBOUNGOU GILGA DON-JAIME</t>
  </si>
  <si>
    <t>BOTONGO GERVAIS MODESTE</t>
  </si>
  <si>
    <t>BOUTSANA BENEDICTE</t>
  </si>
  <si>
    <t>KEKOUNDA BOB HADLEY</t>
  </si>
  <si>
    <t>NDEMBI ARNAUD MARIUS</t>
  </si>
  <si>
    <t>NGATSE RENE</t>
  </si>
  <si>
    <t>ITOUA OBELA ULRICH</t>
  </si>
  <si>
    <t>MBOUMBA ROLLAND MESMIN</t>
  </si>
  <si>
    <t>NGOMA FRANCK PARFAIT</t>
  </si>
  <si>
    <t>ALIMBA ARTHUR</t>
  </si>
  <si>
    <t>BAYI GERALD DUCLAIR</t>
  </si>
  <si>
    <t>LOPANDZA JUDELVIE FARNESE</t>
  </si>
  <si>
    <t>WAKA BRICE</t>
  </si>
  <si>
    <t>EKERI AMBILA LEONEL VINY</t>
  </si>
  <si>
    <t>DALAMA BERMANK</t>
  </si>
  <si>
    <t>MIZELE KAMAEL DESTIN</t>
  </si>
  <si>
    <t>PAPANDI GUY ROGER</t>
  </si>
  <si>
    <t>NTSOUMOU RODNEY CHRISTIAN</t>
  </si>
  <si>
    <t>IBIA MBOUNDZOU COSQUER</t>
  </si>
  <si>
    <t>ATIPO POUNA OKASSA APPO</t>
  </si>
  <si>
    <t>DOUNIAMA FABRICE</t>
  </si>
  <si>
    <t>KANZA EPIPHANE JOCELIN</t>
  </si>
  <si>
    <t>PAMBOU FRANCIS ROGER</t>
  </si>
  <si>
    <t>ITOUA SATURNIN BRICE</t>
  </si>
  <si>
    <t>NGASSAKI OKEMBA HERMELAN STELAURE</t>
  </si>
  <si>
    <t>YOKA EDEN</t>
  </si>
  <si>
    <t>MILANDOU ISMAEL JOSUE</t>
  </si>
  <si>
    <t>NDALE AUDE</t>
  </si>
  <si>
    <t>LEBANGO AMOS GERMAIN</t>
  </si>
  <si>
    <t>BIKILA LELO TRESOR</t>
  </si>
  <si>
    <t>OBILI LOLI MOGENE</t>
  </si>
  <si>
    <t>OMBAMBA RAYMOND CAMILLE</t>
  </si>
  <si>
    <t>NGANDZO NICOLAS NOEL</t>
  </si>
  <si>
    <t>EBATA ATIPO ODILON CARTEL</t>
  </si>
  <si>
    <t>SAMBA RACHEL ROSINE ALIANE</t>
  </si>
  <si>
    <t>MOUKOKO CHRISTINE</t>
  </si>
  <si>
    <t>LOUKEMBA EMILE</t>
  </si>
  <si>
    <t>KIMBATSA NINA AGATHE</t>
  </si>
  <si>
    <t>MAKITA SERGE</t>
  </si>
  <si>
    <t>MPEA SAVIO</t>
  </si>
  <si>
    <t>GOLALI CHRISTIAN DE LA VALLE</t>
  </si>
  <si>
    <t>OKO PEROL ALAIN</t>
  </si>
  <si>
    <t>TATY SAGNA CYRIEL KRISHNA</t>
  </si>
  <si>
    <t>ELENGA NORBERT</t>
  </si>
  <si>
    <t>ONGOBO YOLLANDE GERMAINE</t>
  </si>
  <si>
    <t>MASSAMBA MERCIE ENARD</t>
  </si>
  <si>
    <t>ESSISSA ROGER</t>
  </si>
  <si>
    <t xml:space="preserve">EWO                           </t>
  </si>
  <si>
    <t>NGASSAKI IBATA MOREL EVRARD</t>
  </si>
  <si>
    <t>MOUANDZIBI ANDZOLI DELICIA FLODELLE</t>
  </si>
  <si>
    <t>BAKALA ANDRE</t>
  </si>
  <si>
    <t>OKO FREZ</t>
  </si>
  <si>
    <t>ZOLA LOUFOUMA EDALVY AURTHIA</t>
  </si>
  <si>
    <t>NGOYA-IBARA THIERRY</t>
  </si>
  <si>
    <t>BOFOKO NDENGUI ALIDA</t>
  </si>
  <si>
    <t>EDZEBE MBOMO ROLLAND</t>
  </si>
  <si>
    <t>NDINGA AIME NICAISE</t>
  </si>
  <si>
    <t>BOGNEBE JUNIOR CEDRIC</t>
  </si>
  <si>
    <t>ELENGA ROCH ARMAND</t>
  </si>
  <si>
    <t>BOUMANDOKI KONDZI SERAPHIS JEAN REGIS</t>
  </si>
  <si>
    <t>NIAMBI POATY RUDI PAUL SACRE</t>
  </si>
  <si>
    <t>AKIERA LILLYAN</t>
  </si>
  <si>
    <t>MBEMBA DIBANTSA GODEFROY</t>
  </si>
  <si>
    <t>IBOMBO DEVILLERS</t>
  </si>
  <si>
    <t>BOUITY-TCHIBOUANGA PASCAL-ANGE</t>
  </si>
  <si>
    <t>LOUFOUMA TELLY BERTHOLD</t>
  </si>
  <si>
    <t>SOLAT ALAIN SERGE</t>
  </si>
  <si>
    <t>FEVILIYE MBIMPA JEAN BERNARD</t>
  </si>
  <si>
    <t>BAKABADIO KIMINOU GENESE</t>
  </si>
  <si>
    <t>NTOMBOKOLO SOUMBOU JUVALI CHRISHNA</t>
  </si>
  <si>
    <t>ZOBA KANDOT MAURLICE ELVIS</t>
  </si>
  <si>
    <t>NZIBA BASSET</t>
  </si>
  <si>
    <t>NGOUALA FUGGAIN CHABREY PHEDHERSIE</t>
  </si>
  <si>
    <t>MOBENDZA DENISE</t>
  </si>
  <si>
    <t>IKAMA IBARA GHISLAIN</t>
  </si>
  <si>
    <t>GOMEZ MARINA DE FATIMA VIANA</t>
  </si>
  <si>
    <t>M'BECKO VEHUIAH DESIDERIAT MAGNIFICAT</t>
  </si>
  <si>
    <t>KINZONZI FLORA NICHADELE THERESE</t>
  </si>
  <si>
    <t>LOUFOUASSA MELUCHE LYNDA</t>
  </si>
  <si>
    <t>PIMBI VINCES EDGARD CHRIST</t>
  </si>
  <si>
    <t>NGUIYA FREDDY DONALD</t>
  </si>
  <si>
    <t>AYOUMA MARIEN</t>
  </si>
  <si>
    <t>BINDIKA BILOUTHE CHERUBINNE URIELLE DADDY</t>
  </si>
  <si>
    <t>OKEMBA BERGENY LUCRECE</t>
  </si>
  <si>
    <t>ELENGA IBATA LAHISS</t>
  </si>
  <si>
    <t>BAKALA THED ROLAND</t>
  </si>
  <si>
    <t>NDINGA NDZA DANIEL</t>
  </si>
  <si>
    <t>DZABATOU ROCK GERVAIS</t>
  </si>
  <si>
    <t>FOUNDOUMOUNA ZOLA JULTRIDE</t>
  </si>
  <si>
    <t>THOMAS ALEXIS JUDICE</t>
  </si>
  <si>
    <t>ETINGA BRICE FRANCIS</t>
  </si>
  <si>
    <t>ABOU BA</t>
  </si>
  <si>
    <t>BAKOKA SEHOLO GILDAS ULRICH</t>
  </si>
  <si>
    <t>DJOLLE MOKOUNDZI MITCH LIONEL</t>
  </si>
  <si>
    <t>POH RAISSA MIREILLE</t>
  </si>
  <si>
    <t>ASSOUA MBANDZA</t>
  </si>
  <si>
    <t>MOSSALA ALBAN PRINCE BOREL</t>
  </si>
  <si>
    <t>OBAKI MIMIESSE WILFRAND LEDU</t>
  </si>
  <si>
    <t>TATY ANICET</t>
  </si>
  <si>
    <t>NDZIO CHRIST</t>
  </si>
  <si>
    <t>LOUFOUA PIERRE</t>
  </si>
  <si>
    <t>SANGO GUY ALDAR</t>
  </si>
  <si>
    <t>NGUIMBI KIMBATSA MOTOUA</t>
  </si>
  <si>
    <t>MFIRA HYACINTHE</t>
  </si>
  <si>
    <t>NGUIE GISCARD DESTIN</t>
  </si>
  <si>
    <t>ASSEMBA EKANGAMBA BRICE</t>
  </si>
  <si>
    <t>IBATA IBOKO FRANCHELLIN NEVAISE</t>
  </si>
  <si>
    <t>OBONGO DENISE MARIE COLOMBE</t>
  </si>
  <si>
    <t>GOUYA NGOH ROMUALD RONICH</t>
  </si>
  <si>
    <t>MOULOUNDOU ANGE MARTIAL</t>
  </si>
  <si>
    <t>LIBONDO LOMER GUSTAVIN</t>
  </si>
  <si>
    <t>ELOKO IKOURA LIE</t>
  </si>
  <si>
    <t>LOUMOUAMOU VALERIE FRANCOISE</t>
  </si>
  <si>
    <t>LITSOKI DIDEROT ROBERON</t>
  </si>
  <si>
    <t>KONDJI FABRICE TECHA</t>
  </si>
  <si>
    <t>MIKALA ERIC</t>
  </si>
  <si>
    <t>OKOUO BRUNO</t>
  </si>
  <si>
    <t>NSIMBOULOU ROSINE</t>
  </si>
  <si>
    <t>NDEMBI MALEGAMA YVES ANGE PARFAIT</t>
  </si>
  <si>
    <t>NTSALISSAN MIRE-FRANC</t>
  </si>
  <si>
    <t>NTSIBA CONSTANT</t>
  </si>
  <si>
    <t>ONDOUMBOU RAGIS SIMPHOR</t>
  </si>
  <si>
    <t>MALANDA BLAUREL MORGAN GILARCE</t>
  </si>
  <si>
    <t>KOUBINDAMA RUFIN OLIVIER</t>
  </si>
  <si>
    <t>OLESSONGO ARDIT</t>
  </si>
  <si>
    <t>OCEAN DU NORD</t>
  </si>
  <si>
    <t>60.2</t>
  </si>
  <si>
    <t>MOKOKO YOKA QUENTIN</t>
  </si>
  <si>
    <t>BAFINGAT HUGUET LEBEL APOTRE</t>
  </si>
  <si>
    <t>NGAKOSSO IKOBO FAREL DUTRONG</t>
  </si>
  <si>
    <t>ENGAMBE HENRI RODINS</t>
  </si>
  <si>
    <t>ADJALABOTH BOUDHEZ GUELOR</t>
  </si>
  <si>
    <t>OBAMBI MESMIN</t>
  </si>
  <si>
    <t>ESSILA MBANI JOB CHRISTIAN</t>
  </si>
  <si>
    <t>MOUMBA ULRICH EDUVION</t>
  </si>
  <si>
    <t>HOLLANGA CUVENY SERGE SONOR</t>
  </si>
  <si>
    <t>ITOUA JEAN PAUL</t>
  </si>
  <si>
    <t>NGOUMA YVES DESIRE</t>
  </si>
  <si>
    <t>SANZI KEVIN</t>
  </si>
  <si>
    <t xml:space="preserve">EPENA                         </t>
  </si>
  <si>
    <t>KABOUKA ADELAIDE SIDONIE</t>
  </si>
  <si>
    <t>BITHEMOS MONDESIR STANISLAS</t>
  </si>
  <si>
    <t>ITOUA OLHENDO CHADLY FERIOL</t>
  </si>
  <si>
    <t>SAMINOU BRELL LOIC</t>
  </si>
  <si>
    <t>OKOMBA NIASSOUSSA CHRIST PROSPER</t>
  </si>
  <si>
    <t>MAKOSSO TED ANDRICK VIANELLY</t>
  </si>
  <si>
    <t>OSSIZO PASCALINE</t>
  </si>
  <si>
    <t>MOSSA NDZI Belvina Josellie</t>
  </si>
  <si>
    <t>TEMBO/TEMBO/ FLORENTIN/ LILIANE MARIE/ SERGES / PATRICIA</t>
  </si>
  <si>
    <t>ENGAMBE AMBANGUE BOREL BELVIN MICHAEL</t>
  </si>
  <si>
    <t>MOUKILA MOUSSOUNDA ELDA SALOME</t>
  </si>
  <si>
    <t>PANDI PRISCA-ELODIE MARIE NOELLE</t>
  </si>
  <si>
    <t>SEMI MAHOUNGOU PHILIPPE</t>
  </si>
  <si>
    <t>DJO-DJOLO-AYESSA GUY</t>
  </si>
  <si>
    <t>BANDZOUMOUNA YVON CYR</t>
  </si>
  <si>
    <t>MAKOUALA OKO JOANITO CLEVENU</t>
  </si>
  <si>
    <t>PAMBOU-MOUTSINGA JUDICAEL</t>
  </si>
  <si>
    <t>NZINGA MONIKA STEPHANE</t>
  </si>
  <si>
    <t>BOUBOUL BLANCHARD GUISOTAIRE</t>
  </si>
  <si>
    <t>IWANGA MAMIE NICHA</t>
  </si>
  <si>
    <t>NDECKE MARIAM BETTY RUFINE</t>
  </si>
  <si>
    <t>KAMPA AVAKY BEAU FILS</t>
  </si>
  <si>
    <t>IKAMA SIMI</t>
  </si>
  <si>
    <t>NGAMPIKA MOUSSOKI RODRIGUE</t>
  </si>
  <si>
    <t>ENTSEA LUDOVIC</t>
  </si>
  <si>
    <t>MBANEYA EWAZ BAMELLE</t>
  </si>
  <si>
    <t>NGALEBAYE ARMEL</t>
  </si>
  <si>
    <t>EKABA ITOUA HABIB BREL</t>
  </si>
  <si>
    <t>MOUKENGUE AUBIN</t>
  </si>
  <si>
    <t>KENGUET ALAIN BERTIN</t>
  </si>
  <si>
    <t>ONDENDE FRANCK</t>
  </si>
  <si>
    <t>MIERE ONKA PAVEL ODILON</t>
  </si>
  <si>
    <t>IVE - LEMBA BIBI DIEDRICK</t>
  </si>
  <si>
    <t>NGASSAKI LAMBERT</t>
  </si>
  <si>
    <t>NGOUMA MICHEL TOCK</t>
  </si>
  <si>
    <t>NGOTENI CYRIAQUE</t>
  </si>
  <si>
    <t>ABANDZOUNOU RALGI CARVEL</t>
  </si>
  <si>
    <t>OKO IBARA PATIENCE</t>
  </si>
  <si>
    <t>OBAMBO GUY RICHARD</t>
  </si>
  <si>
    <t>BONGO MARIUS POUABOURD</t>
  </si>
  <si>
    <t>MAKITA PHARLY SERGE RODRIGUE</t>
  </si>
  <si>
    <t>PONGUY KENGUE JEAN RICHARD</t>
  </si>
  <si>
    <t>MBOU GINETTE CHIMENE RIVEL</t>
  </si>
  <si>
    <t>KISSIGANE ONKOURI SOREL SISLEY</t>
  </si>
  <si>
    <t>NKERIKI FRANCK</t>
  </si>
  <si>
    <t>NIANGA CHRISTIAN</t>
  </si>
  <si>
    <t>OSSEBI CONSTANTIN JUDENCE</t>
  </si>
  <si>
    <t>ELION PAUL</t>
  </si>
  <si>
    <t>NDZITOUKOULOU-SITA ANDRECY</t>
  </si>
  <si>
    <t>NGUEKO FUDJI GUAM</t>
  </si>
  <si>
    <t>BOUKOUYA ARMAND</t>
  </si>
  <si>
    <t>TCHIKOUNZI MAFOUKA LUNE ROCHELVY</t>
  </si>
  <si>
    <t>OYOMBO LAMBERT BREJNEV</t>
  </si>
  <si>
    <t>IBARA ADAMON</t>
  </si>
  <si>
    <t>OMIERE SAMETONE</t>
  </si>
  <si>
    <t>BOYEMBE MALAKA ROLAND</t>
  </si>
  <si>
    <t>MAKOUANGOU MANTSOUNGA JOSEPHA JUDY STHENE</t>
  </si>
  <si>
    <t>KOUBANGO ALAIN</t>
  </si>
  <si>
    <t>AMPARI BASILE</t>
  </si>
  <si>
    <t>DZON ROCK FULBAUT</t>
  </si>
  <si>
    <t>ODZALA MBOSSA ARMEL SCHADRAC</t>
  </si>
  <si>
    <t>MIKIA DEBA ROLAND PHILEAS</t>
  </si>
  <si>
    <t>NDZAA OKOKO THIERRY GISCARD</t>
  </si>
  <si>
    <t>NGUEKYEGNI-ONDZE-DEMBA STELLA</t>
  </si>
  <si>
    <t>GODOLO PATRICK</t>
  </si>
  <si>
    <t>MAVOUNGOU BOUSSIENGUE GARCIN</t>
  </si>
  <si>
    <t>KUNZEYIKO BAMBELA LAURENT</t>
  </si>
  <si>
    <t>OTAMBA ROVELY ROMARICK BREGINEVE</t>
  </si>
  <si>
    <t>OBOBA JEAN DONALD</t>
  </si>
  <si>
    <t>MORITOUA ROLLE DAICHEL</t>
  </si>
  <si>
    <t>MBOUMA GHISLAIN CLAVER</t>
  </si>
  <si>
    <t>NDINGA KEBALI BONHEUR</t>
  </si>
  <si>
    <t>MOSSELI BOUYAT BERTEDY</t>
  </si>
  <si>
    <t>PASSY FRANCOIS ROLAND</t>
  </si>
  <si>
    <t>MPATA MANGOLLET LEIRIS CHARDEN</t>
  </si>
  <si>
    <t>ONDONGO MARTIN</t>
  </si>
  <si>
    <t>MINGUI MARCKUSTELAIN JAURES</t>
  </si>
  <si>
    <t>OMBANDZA POHO MEDY EXAUCE</t>
  </si>
  <si>
    <t>BILEMBO MATALOLA OCTAVE</t>
  </si>
  <si>
    <t>NGUENDAYI TIMOTHE</t>
  </si>
  <si>
    <t>BAHANDISSA ALBYN PYERRALY</t>
  </si>
  <si>
    <t>NKOLI OBA CAMILLE</t>
  </si>
  <si>
    <t>BITA-KAYA FABRICE</t>
  </si>
  <si>
    <t>TCHIMBAKALA SERGE JACKY</t>
  </si>
  <si>
    <t>DOUNIAMA CLEMARD ENONCHE TRESOR</t>
  </si>
  <si>
    <t>VOUEZOLO MAYIMBI CHRISTOPHE</t>
  </si>
  <si>
    <t>BOBA EKOSSE NODRICE CHAVRAIN</t>
  </si>
  <si>
    <t>MOUYABI NARSON- CLYDE - EUROLD</t>
  </si>
  <si>
    <t>KIKOUNGA NICOMAQUE ARISTOTE</t>
  </si>
  <si>
    <t>ONDONGO NGALLA GATSONGO</t>
  </si>
  <si>
    <t>NGANDOBO LOUISE</t>
  </si>
  <si>
    <t>MABIALA IPARI AMED ULRICH</t>
  </si>
  <si>
    <t>BOKA MAC BOKA SHORTY LECHEF</t>
  </si>
  <si>
    <t>MOUSSIESSE NGANDZIAMI FABRICE OLIVIER</t>
  </si>
  <si>
    <t>NIANGA SIMPLICE</t>
  </si>
  <si>
    <t>BANDO MONGOHINA ENTENTE BANZABEI</t>
  </si>
  <si>
    <t>AKIELE BIENVENU PERCEVY</t>
  </si>
  <si>
    <t>MBATY BLAISE BLERIS</t>
  </si>
  <si>
    <t>GEOLAB CONGO</t>
  </si>
  <si>
    <t>ELENGA PIERRE CLAVER</t>
  </si>
  <si>
    <t>TATHY LUBASSHY JEAN PATRICE LEMADRE</t>
  </si>
  <si>
    <t>OGNANGUE MARTIN</t>
  </si>
  <si>
    <t>OKONDA MBONGO PASSI JUDE CAYEL</t>
  </si>
  <si>
    <t>OYOUBA AXEL MARIUS</t>
  </si>
  <si>
    <t>OSSEBI ROGER GAIMANE</t>
  </si>
  <si>
    <t>EYOKA SIMPLICE</t>
  </si>
  <si>
    <t>NGOLO CLAVY</t>
  </si>
  <si>
    <t>OCKAKA ROLF GUELOR</t>
  </si>
  <si>
    <t>OBAMBI AIMEE</t>
  </si>
  <si>
    <t>NGASSAKI JAPHET</t>
  </si>
  <si>
    <t>ONDONGO ELISEE ROMEO</t>
  </si>
  <si>
    <t>NGOUALA NORBERT</t>
  </si>
  <si>
    <t>LEKOUNDZOU DAVY SOSTHENE</t>
  </si>
  <si>
    <t>MADIZI JEAN SAVINIEN</t>
  </si>
  <si>
    <t>MABA MALONGA</t>
  </si>
  <si>
    <t>MBILA ARISTIDE BRICE</t>
  </si>
  <si>
    <t>NGOUKOULOU MOUSSOUNDA NATHALIE</t>
  </si>
  <si>
    <t>SOMBO SOLEIL SAINT STONE</t>
  </si>
  <si>
    <t>MOKOKI LORIANE PRINCELLIA</t>
  </si>
  <si>
    <t>ITOUA MIVON</t>
  </si>
  <si>
    <t>N'KOU MAUREL INNOCENT</t>
  </si>
  <si>
    <t>OPOSSO LEVEKY SERGIO</t>
  </si>
  <si>
    <t>OBAYA ILOH ARMEL</t>
  </si>
  <si>
    <t>LIKIBI AMOUR BORGELA</t>
  </si>
  <si>
    <t>NDZI JEAN FELIX</t>
  </si>
  <si>
    <t>OBSOU HOMOLO NE-BEAU</t>
  </si>
  <si>
    <t>NDONDA KANI OBAA ELOMBE PIERRE</t>
  </si>
  <si>
    <t>NGAMBOMA GALOUO PRINCE</t>
  </si>
  <si>
    <t>WADANGOYE ROMUALD</t>
  </si>
  <si>
    <t>BOUASSI JUSTY FAREL</t>
  </si>
  <si>
    <t>BIYOUDI WATAMBOUKOU IGOR TARGUI AYMARD</t>
  </si>
  <si>
    <t>MAMBIMONGO WANGOU MONDE</t>
  </si>
  <si>
    <t>BAYENI BINIAKOUNOU SYDNEY CAREL</t>
  </si>
  <si>
    <t>MATONDO MOUSSOTSI ARISTIDE HERMANN</t>
  </si>
  <si>
    <t>TSEYI JEAN JACQUES LEVRAI</t>
  </si>
  <si>
    <t>NGASSAI JEAN FELIX</t>
  </si>
  <si>
    <t>LEKOMBA GUY BERTRAND</t>
  </si>
  <si>
    <t>DIAMESSO HERMANN</t>
  </si>
  <si>
    <t>ONZIE BAKONGA KEVIN GILDAS</t>
  </si>
  <si>
    <t xml:space="preserve">PROD DISTRIBUTION DE GAZ      </t>
  </si>
  <si>
    <t>IYICKA NTSIBA ARNAUD</t>
  </si>
  <si>
    <t>NGAYILA JULDAS MODESTE</t>
  </si>
  <si>
    <t>MBANEYA KEVIN WALTER</t>
  </si>
  <si>
    <t>MOCKOUKA BOSSIMBA FRANCELIN</t>
  </si>
  <si>
    <t>IBARA AMOUR DIEGO</t>
  </si>
  <si>
    <t>MBONGO ELIE ROLAND</t>
  </si>
  <si>
    <t>PAUBATH ALAIN LIONNEL LUCHRIST</t>
  </si>
  <si>
    <t>NGOUERE DORIS CHRISTELLE</t>
  </si>
  <si>
    <t>BOUKA DIPELET ULRICH GAEL</t>
  </si>
  <si>
    <t>GALESSAMI LEA GISELE</t>
  </si>
  <si>
    <t>ALBINO LIONEL PASCAL</t>
  </si>
  <si>
    <t>PITOU-MOUISSOU VIANNEY JEANNIS</t>
  </si>
  <si>
    <t>NGASSAKI RODRIGUE JUDICAEL</t>
  </si>
  <si>
    <t>SOUNDOULOU/SOUNDOULOU /GUY ROGER/PATRICIA SIMONE</t>
  </si>
  <si>
    <t>ELION RUFIN</t>
  </si>
  <si>
    <t>MAPAKOU FELIX NADAR</t>
  </si>
  <si>
    <t>ATSOUTSOU CHRISTIAN DIOR</t>
  </si>
  <si>
    <t>MADZOU TSIBA JEAN BRUNEL</t>
  </si>
  <si>
    <t>IGNONGUI URLAIN SINCLAIR</t>
  </si>
  <si>
    <t>ITOUA OCKOKAUD GRAASS APPAUD OSTEESCHENE</t>
  </si>
  <si>
    <t>OYENGA PAMAGA MARIUS</t>
  </si>
  <si>
    <t>OKEMBA-APENDI PRISCA BENEDICTE</t>
  </si>
  <si>
    <t>APANA OKINA RUDDY STEVE</t>
  </si>
  <si>
    <t>OSSOBA DAVY HERBERT</t>
  </si>
  <si>
    <t>OPOMA FAUSTIN FABRICE</t>
  </si>
  <si>
    <t>BANTSIMBA ALCYDINE TELLIANA</t>
  </si>
  <si>
    <t>KOMBO EUGENE</t>
  </si>
  <si>
    <t>BOPACAH MONGANGOU ULRICH</t>
  </si>
  <si>
    <t>EYOULOU OBAMI FRANKLIN</t>
  </si>
  <si>
    <t>MONGO FORTUNE MARTIAL</t>
  </si>
  <si>
    <t>MOUROU MOYOKA ALEXIS</t>
  </si>
  <si>
    <t>ONGALI ARMAND</t>
  </si>
  <si>
    <t>OKOUO PAVEL WILSONNE</t>
  </si>
  <si>
    <t>N'GAKOSSO YVON FORTUNE SIMPLICE</t>
  </si>
  <si>
    <t>BOWONGO GABRIEL PAULMAREFF</t>
  </si>
  <si>
    <t>GAMA GUY MERLIN</t>
  </si>
  <si>
    <t>MOULEBE GUSTAVE AUDREY</t>
  </si>
  <si>
    <t>ITOUA JEAN PAULIN</t>
  </si>
  <si>
    <t>MAKAYA FRANCIS FREDI</t>
  </si>
  <si>
    <t>AKOUALA KAMBI FAYETTE</t>
  </si>
  <si>
    <t>OYERI OKOUANGUET HABIB ULRICH</t>
  </si>
  <si>
    <t>SALABANZI NANALE ADRINE</t>
  </si>
  <si>
    <t>NSEMI MOUKALA SOPHIAL</t>
  </si>
  <si>
    <t>OBEMBO VERONIQUE MELANIE</t>
  </si>
  <si>
    <t>OKANDZE GADOUA STEVE DAREL</t>
  </si>
  <si>
    <t>OPANGO ITOUA HUGUES CYR</t>
  </si>
  <si>
    <t>IMBOUA ROSELINE SOLANGE</t>
  </si>
  <si>
    <t>MAKAYA MAKOSSO ROCK</t>
  </si>
  <si>
    <t>NIANGA NGANONGO PRINCE</t>
  </si>
  <si>
    <t>KAB-AKOUALA-ONDZI BATCHY</t>
  </si>
  <si>
    <t>OSSIBI BERNARD</t>
  </si>
  <si>
    <t>OBA OKO SANGO CLOTAIRE</t>
  </si>
  <si>
    <t>OBOYA MARTIN</t>
  </si>
  <si>
    <t>IBARA YANNICK MATHIEU</t>
  </si>
  <si>
    <t>GUELE MATH MYGUEL PEYPYTHO</t>
  </si>
  <si>
    <t>IBARRA-OTHE FRANCOIS D'ASSISE MICHEL</t>
  </si>
  <si>
    <t>BOUKONGOU CHARIF LAURENCE</t>
  </si>
  <si>
    <t>MATSIONAT AGNESCA HERMELONDE</t>
  </si>
  <si>
    <t>ESSEMA AYHESSA DIMITRI</t>
  </si>
  <si>
    <t>OMBOUA KOUBET BRUNO KEVIN GILDAS</t>
  </si>
  <si>
    <t>EYONGO-OKONGA LUGARY</t>
  </si>
  <si>
    <t>MOUANDA NZILA ANDRES JUVET</t>
  </si>
  <si>
    <t>GOMA HUGUES</t>
  </si>
  <si>
    <t>MANANGA DAVID</t>
  </si>
  <si>
    <t>EFFEIN OSWALD KELVIN THIERRY</t>
  </si>
  <si>
    <t>BAYOULA NATHALIE CHANTAL</t>
  </si>
  <si>
    <t>OYELI EKINGUE LILIANE</t>
  </si>
  <si>
    <t>MOUNENGUELE-DZABONGOYI ASTRIDE CARELLE</t>
  </si>
  <si>
    <t>MBANI BOUCKETT NESTA CHEOPS -ATON</t>
  </si>
  <si>
    <t>MOUASSIPOSSO MACKONGUY SERVAIS</t>
  </si>
  <si>
    <t>MALONGA CELESTIN HERVE</t>
  </si>
  <si>
    <t>KOUBAMBOUKA DENIS GIRES</t>
  </si>
  <si>
    <t>NGADZANIA ROMI AUDREY</t>
  </si>
  <si>
    <t>NDZALE BOUILLAT</t>
  </si>
  <si>
    <t>NGALIBA OBELOSSOUSSI JUSTELAS</t>
  </si>
  <si>
    <t>OHIDA NKOUA CHARLES MESMIN</t>
  </si>
  <si>
    <t>ETSIBA SYLVANISTE</t>
  </si>
  <si>
    <t>ETS MAKASSI</t>
  </si>
  <si>
    <t>64.2</t>
  </si>
  <si>
    <t>EDOUZE PRISQUE DELPHIN</t>
  </si>
  <si>
    <t>OKOKO OKOMBI CHRISTEL</t>
  </si>
  <si>
    <t>MAMPEMBE ALPHONSE</t>
  </si>
  <si>
    <t>TCHIBINDA JOSEBERD VALDEMAR</t>
  </si>
  <si>
    <t>OKOUBI SISLEY</t>
  </si>
  <si>
    <t>NARI ARMAND NAZAIRE</t>
  </si>
  <si>
    <t>MEKETEBE JEAN LEVY RIGOBERT</t>
  </si>
  <si>
    <t>YOKA OCKYNALT GODEY STEVE</t>
  </si>
  <si>
    <t>NGAKOSSO ATRADE SOCRATE</t>
  </si>
  <si>
    <t>NSALA CONSTANT</t>
  </si>
  <si>
    <t>ATYPO LEA PRISCA</t>
  </si>
  <si>
    <t>DZONTSIE MICHEL</t>
  </si>
  <si>
    <t>MIANGUE NGATSONI GERIF</t>
  </si>
  <si>
    <t>LONZANIABEKA MAPOLA GHISLAIN</t>
  </si>
  <si>
    <t>GOMA MEZZARI</t>
  </si>
  <si>
    <t>EBANA HERLISE CORIELLE MICKLETTE</t>
  </si>
  <si>
    <t>NGANGA BOUESSO JORIS PRIMAEL</t>
  </si>
  <si>
    <t>BIBOKA BERTIN LEONARD</t>
  </si>
  <si>
    <t>ENGOSSO ULRICH</t>
  </si>
  <si>
    <t>MOMBO BLANCHE REGINA</t>
  </si>
  <si>
    <t>ILOKI ALEXIS SEDRIQUE</t>
  </si>
  <si>
    <t>BOBEKETEKE JESMINE VINA</t>
  </si>
  <si>
    <t>PAMPIBI MESMIN</t>
  </si>
  <si>
    <t>ONGUIERE THIBAULT CHANEL</t>
  </si>
  <si>
    <t>OBAMI NOEL</t>
  </si>
  <si>
    <t>AZONA GAZOT LAURINZY RYDELL</t>
  </si>
  <si>
    <t>MALANDA DESTIN LANDRY</t>
  </si>
  <si>
    <t>NABARAGA MBIRI GERAUD GUELORD</t>
  </si>
  <si>
    <t>NDENGUE FERNAND AMEDEE</t>
  </si>
  <si>
    <t>KONDZI KORINA LOVE</t>
  </si>
  <si>
    <t>LECKAKA RANDY GUSS</t>
  </si>
  <si>
    <t>ALOUENE FAUSTANGE GARVELY</t>
  </si>
  <si>
    <t>NGAPOULA ONDONGO JARUSSE</t>
  </si>
  <si>
    <t>KOLO DOURLIA JADORE</t>
  </si>
  <si>
    <t>PANDZOU-TCHIMBAKA FREID KAR DHELY</t>
  </si>
  <si>
    <t>EYABA MAXIME STANISLAS</t>
  </si>
  <si>
    <t>BADINGA VONGA YENOBY GHISLAIN DESTIN</t>
  </si>
  <si>
    <t>KOMBO MABIALA ERICH GREGOIRE</t>
  </si>
  <si>
    <t>NGANTALY RODRIGUE MAYOL RAVEL LUCAS</t>
  </si>
  <si>
    <t>TOMBET ROMEO GUENOLE</t>
  </si>
  <si>
    <t>NGAYIS OLILI SERGE</t>
  </si>
  <si>
    <t>BABANDIKIDI VENGILI</t>
  </si>
  <si>
    <t>DOZOCK-TOUAZOCK AYMARD GILS</t>
  </si>
  <si>
    <t>MAHOUKA DAVY TARTIA</t>
  </si>
  <si>
    <t>KIMIKA TSIKA GUY MELLON CYR</t>
  </si>
  <si>
    <t>MBOUMBA NAWATEKAZABA CHRIST PERRELL</t>
  </si>
  <si>
    <t>YELA JUSTE HERMAN</t>
  </si>
  <si>
    <t>WAMBA MALANDA ILURICHE</t>
  </si>
  <si>
    <t>BONGOU OLANDO VIANNEY</t>
  </si>
  <si>
    <t>MBAN DINAULT FALLER</t>
  </si>
  <si>
    <t>NGAMFINA MERVEILLE</t>
  </si>
  <si>
    <t>OSSOMBO YOMBO REMY</t>
  </si>
  <si>
    <t>EKI URBAIN</t>
  </si>
  <si>
    <t>MBENGUELE BEGIE NYCKELLE</t>
  </si>
  <si>
    <t>BOUSSANA ALAIN MARC</t>
  </si>
  <si>
    <t>NGAKOSSO STAR D'AVENIR</t>
  </si>
  <si>
    <t>OKO YVON BERTRAND</t>
  </si>
  <si>
    <t>OBA WILFRID</t>
  </si>
  <si>
    <t>NTSIBA MADZOU LASSANE</t>
  </si>
  <si>
    <t>NGAMBOUE LARYBA KEDAIRE JOSLY</t>
  </si>
  <si>
    <t>OKOMBI IVERDON</t>
  </si>
  <si>
    <t>BONGO IKILI RICHARD MERVEIL</t>
  </si>
  <si>
    <t>NGAMBOU ETOU VANN</t>
  </si>
  <si>
    <t>MOMBO BORIS ALBAN</t>
  </si>
  <si>
    <t>MANUFACTURE BATIMENTS ET TRAVAUX PUBLICS</t>
  </si>
  <si>
    <t>45.2</t>
  </si>
  <si>
    <t>MATONDO BELFEGAN</t>
  </si>
  <si>
    <t>OBHAT DIANE GLADYS</t>
  </si>
  <si>
    <t>LOXEA CONGO SA</t>
  </si>
  <si>
    <t>POUELE ISRAEL WELCOME</t>
  </si>
  <si>
    <t>BOUKA HONORE</t>
  </si>
  <si>
    <t>NGUEKOUA ARNAUD SYLVER ORLAND</t>
  </si>
  <si>
    <t>LETSO ELIE HUBERT</t>
  </si>
  <si>
    <t>SAMBA JEAN PIERRE</t>
  </si>
  <si>
    <t>MORANGA OBAMBI JOLUCY ANGEBRI</t>
  </si>
  <si>
    <t>MABIALA MOUANDA ROLAND</t>
  </si>
  <si>
    <t>ATIPO AIME</t>
  </si>
  <si>
    <t>ITOUMOU CHANCE ERVET</t>
  </si>
  <si>
    <t>NGAMBOMI TAYLOR KRAFT</t>
  </si>
  <si>
    <t>DINGHA HONDAY HERVE</t>
  </si>
  <si>
    <t>LOUBOUNGOU SAFOU ROCK CHARLEY</t>
  </si>
  <si>
    <t>AMEA OLANGUI BRUNO BERTRAND</t>
  </si>
  <si>
    <t>DIAFOUKA GEDEON BRYNELE</t>
  </si>
  <si>
    <t>MBAKOU BONGO CHARLES VALERY</t>
  </si>
  <si>
    <t>FOUTOU LAURENCE LINELLE</t>
  </si>
  <si>
    <t>NDINGA BENJAMIN</t>
  </si>
  <si>
    <t>ISRAEL VALERIE AMANDINE</t>
  </si>
  <si>
    <t>NGAKOSSO PRINCIA VANESSA</t>
  </si>
  <si>
    <t>DOKOLO FRANCEDY MAXVIER RODELL</t>
  </si>
  <si>
    <t>EHOURIKO LUCIEN</t>
  </si>
  <si>
    <t>ABORAWE NARCISSE</t>
  </si>
  <si>
    <t>KOMIER CHERVAND PERVELIN DANER</t>
  </si>
  <si>
    <t>NDINGA NGALA HERMINE RUDELLE</t>
  </si>
  <si>
    <t>NDOUNDOU MABELE MICHAEL AIME</t>
  </si>
  <si>
    <t>MOUNDOUTA KIMBOUALA ANTOINE</t>
  </si>
  <si>
    <t xml:space="preserve">OYENADZA GUY BAPTEME                                               </t>
  </si>
  <si>
    <t xml:space="preserve">BILOMBO MATONDO CARMEN PRINCIA                                     </t>
  </si>
  <si>
    <t xml:space="preserve">KIBANGOU JEAN                                                      </t>
  </si>
  <si>
    <t xml:space="preserve">LEKANGA MOUSSA BERTIN                                              </t>
  </si>
  <si>
    <t xml:space="preserve">NGAKOSSO GERARD FERIOL                                             </t>
  </si>
  <si>
    <t xml:space="preserve">MOUNKARI JEAN PIERRE                                               </t>
  </si>
  <si>
    <t xml:space="preserve">BOKENDZA FELIX RYTHON                                              </t>
  </si>
  <si>
    <t xml:space="preserve">SAMBILA PARFAIT DIEUDONNE                                          </t>
  </si>
  <si>
    <t xml:space="preserve">OBOUAKA SERGE GATIEN                                               </t>
  </si>
  <si>
    <t xml:space="preserve">OPENDA AMBELA ODZANG                                               </t>
  </si>
  <si>
    <t xml:space="preserve">QUENARD SYLVESTRE BONNE ANNEE                                      </t>
  </si>
  <si>
    <t xml:space="preserve">DEDET VERSACE                                                      </t>
  </si>
  <si>
    <t xml:space="preserve">LOEMBA ALMAD                                                       </t>
  </si>
  <si>
    <t xml:space="preserve">OWONGO BORIS                                                       </t>
  </si>
  <si>
    <t xml:space="preserve">BACKANGA ALFRED ARNAUD ELVIS                                       </t>
  </si>
  <si>
    <t xml:space="preserve">DONGARD CHARISTINE VANESSA                                         </t>
  </si>
  <si>
    <t xml:space="preserve">NGAMAYA AYMARD                                                     </t>
  </si>
  <si>
    <t xml:space="preserve">EBENDZE REMY JEAN CLAUDE                                           </t>
  </si>
  <si>
    <t xml:space="preserve">NGOBANA ATALI AUBIN                                                </t>
  </si>
  <si>
    <t xml:space="preserve">BITSAMANA AMY JAUFFRET EWEZOCK                                     </t>
  </si>
  <si>
    <t xml:space="preserve">MALONGA CORETHA FRANC VARTANT                                      </t>
  </si>
  <si>
    <t xml:space="preserve">OKOMBI VICTOR                                                      </t>
  </si>
  <si>
    <t xml:space="preserve">MOUKOKO NGAPA RODIA                                                </t>
  </si>
  <si>
    <t xml:space="preserve">GAMPIO IMPOULI GUY RENAUD                                          </t>
  </si>
  <si>
    <t xml:space="preserve">NKABA MOMBOULI CHRIST SNEL                                         </t>
  </si>
  <si>
    <t xml:space="preserve">OMAYE ROSE                                                         </t>
  </si>
  <si>
    <t xml:space="preserve">GALOUO MIREILLE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</si>
</sst>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-* #,##0_-;\-* #,##0_-;_-* &quot;-&quot;_-;_-@_-"/>
    <numFmt numFmtId="165" formatCode="_-* #,##0.00_-;\-* #,##0.00_-;_-* &quot;-&quot;??_-;_-@_-"/>
    <numFmt numFmtId="166" formatCode="_-* #,##0.00\ _€_-;\-* #,##0.00\ _€_-;_-* &quot;-&quot;??\ _€_-;_-@_-"/>
    <numFmt numFmtId="167" formatCode="_-* #,##0_-;\-* #,##0_-;_-* &quot;-&quot;??_-;_-@_-"/>
    <numFmt numFmtId="168" formatCode="_-* #,##0\ _€_-;\-* #,##0\ _€_-;_-* &quot;-&quot;??\ _€_-;_-@_-"/>
    <numFmt numFmtId="169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7" fillId="0" borderId="0" applyFont="0" applyFill="0" applyBorder="0" applyAlignment="0" applyProtection="0"/>
  </cellStyleXfs>
  <cellXfs count="58">
    <xf numFmtId="0" fontId="0" fillId="0" borderId="0" xfId="0"/>
    <xf numFmtId="0" fontId="3" fillId="2" borderId="1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67" fontId="3" fillId="2" borderId="1" xfId="1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10" fontId="3" fillId="2" borderId="1" xfId="3" applyNumberFormat="1" applyFont="1" applyFill="1" applyBorder="1" applyAlignment="1">
      <alignment horizontal="center"/>
    </xf>
    <xf numFmtId="0" fontId="3" fillId="0" borderId="0" xfId="0" applyFont="1"/>
    <xf numFmtId="14" fontId="0" fillId="0" borderId="0" xfId="0" applyNumberFormat="1"/>
    <xf numFmtId="168" fontId="0" fillId="0" borderId="0" xfId="1" applyNumberFormat="1" applyFon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/>
    </xf>
    <xf numFmtId="168" fontId="0" fillId="0" borderId="0" xfId="1" applyNumberFormat="1" applyFont="1" applyFill="1"/>
    <xf numFmtId="168" fontId="0" fillId="0" borderId="0" xfId="1" applyNumberFormat="1" applyFont="1" applyFill="1" applyAlignment="1">
      <alignment horizontal="right"/>
    </xf>
    <xf numFmtId="0" fontId="0" fillId="0" borderId="0" xfId="0" applyAlignment="1">
      <alignment horizontal="center"/>
    </xf>
    <xf numFmtId="10" fontId="0" fillId="0" borderId="0" xfId="3" applyNumberFormat="1" applyFont="1"/>
    <xf numFmtId="164" fontId="2" fillId="0" borderId="0" xfId="2" applyFont="1" applyFill="1"/>
    <xf numFmtId="10" fontId="0" fillId="0" borderId="0" xfId="3" applyNumberFormat="1" applyFont="1" applyFill="1"/>
    <xf numFmtId="164" fontId="0" fillId="0" borderId="0" xfId="2" applyFont="1" applyFill="1"/>
    <xf numFmtId="164" fontId="1" fillId="0" borderId="0" xfId="2" applyFont="1" applyFill="1"/>
    <xf numFmtId="164" fontId="4" fillId="0" borderId="0" xfId="2" applyFont="1" applyFill="1"/>
    <xf numFmtId="168" fontId="0" fillId="0" borderId="0" xfId="1" applyNumberFormat="1" applyFont="1" applyFill="1" applyAlignment="1">
      <alignment horizontal="left"/>
    </xf>
    <xf numFmtId="169" fontId="0" fillId="0" borderId="0" xfId="3" applyNumberFormat="1" applyFont="1" applyFill="1"/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0" fontId="0" fillId="0" borderId="0" xfId="0" applyNumberFormat="1"/>
    <xf numFmtId="166" fontId="0" fillId="0" borderId="0" xfId="1" applyFont="1"/>
    <xf numFmtId="0" fontId="0" fillId="0" borderId="0" xfId="0" applyAlignment="1">
      <alignment horizontal="right"/>
    </xf>
    <xf numFmtId="10" fontId="0" fillId="0" borderId="0" xfId="3" applyNumberFormat="1" applyFont="1" applyAlignment="1">
      <alignment horizontal="center"/>
    </xf>
    <xf numFmtId="0" fontId="5" fillId="0" borderId="0" xfId="4"/>
    <xf numFmtId="167" fontId="1" fillId="0" borderId="0" xfId="5" applyNumberFormat="1" applyFont="1" applyFill="1"/>
    <xf numFmtId="14" fontId="5" fillId="0" borderId="0" xfId="4" applyNumberFormat="1"/>
    <xf numFmtId="168" fontId="5" fillId="0" borderId="0" xfId="1" applyNumberFormat="1" applyFont="1" applyFill="1"/>
    <xf numFmtId="10" fontId="1" fillId="0" borderId="0" xfId="6" applyNumberFormat="1" applyFont="1" applyFill="1"/>
    <xf numFmtId="167" fontId="5" fillId="0" borderId="0" xfId="4" applyNumberFormat="1"/>
    <xf numFmtId="167" fontId="4" fillId="0" borderId="0" xfId="5" applyNumberFormat="1" applyFont="1" applyFill="1" applyAlignment="1">
      <alignment horizontal="right"/>
    </xf>
    <xf numFmtId="0" fontId="5" fillId="0" borderId="0" xfId="4" applyAlignment="1">
      <alignment horizontal="center"/>
    </xf>
    <xf numFmtId="0" fontId="6" fillId="0" borderId="0" xfId="4" applyFont="1"/>
    <xf numFmtId="168" fontId="8" fillId="0" borderId="0" xfId="7" applyNumberFormat="1" applyFont="1"/>
    <xf numFmtId="0" fontId="6" fillId="0" borderId="0" xfId="4" applyFont="1" applyAlignment="1">
      <alignment horizontal="center"/>
    </xf>
    <xf numFmtId="167" fontId="3" fillId="0" borderId="0" xfId="5" applyNumberFormat="1" applyFont="1" applyFill="1" applyAlignment="1">
      <alignment horizontal="center"/>
    </xf>
    <xf numFmtId="14" fontId="6" fillId="0" borderId="0" xfId="4" applyNumberFormat="1" applyFont="1" applyAlignment="1">
      <alignment horizontal="center"/>
    </xf>
    <xf numFmtId="0" fontId="3" fillId="3" borderId="1" xfId="0" applyFont="1" applyFill="1" applyBorder="1"/>
    <xf numFmtId="10" fontId="3" fillId="3" borderId="1" xfId="3" applyNumberFormat="1" applyFont="1" applyFill="1" applyBorder="1"/>
    <xf numFmtId="0" fontId="0" fillId="3" borderId="0" xfId="0" applyFill="1"/>
    <xf numFmtId="0" fontId="0" fillId="0" borderId="1" xfId="0" applyBorder="1"/>
    <xf numFmtId="14" fontId="0" fillId="0" borderId="1" xfId="0" applyNumberFormat="1" applyBorder="1"/>
    <xf numFmtId="16" fontId="0" fillId="0" borderId="1" xfId="0" quotePrefix="1" applyNumberFormat="1" applyBorder="1"/>
    <xf numFmtId="3" fontId="0" fillId="0" borderId="1" xfId="0" applyNumberFormat="1" applyBorder="1"/>
    <xf numFmtId="10" fontId="0" fillId="0" borderId="1" xfId="3" applyNumberFormat="1" applyFont="1" applyBorder="1"/>
    <xf numFmtId="10" fontId="3" fillId="3" borderId="0" xfId="3" applyNumberFormat="1" applyFont="1" applyFill="1"/>
    <xf numFmtId="49" fontId="0" fillId="0" borderId="1" xfId="0" applyNumberFormat="1" applyBorder="1"/>
    <xf numFmtId="167" fontId="0" fillId="0" borderId="1" xfId="1" applyNumberFormat="1" applyFont="1" applyBorder="1"/>
    <xf numFmtId="10" fontId="0" fillId="0" borderId="1" xfId="3" applyNumberFormat="1" applyFont="1" applyFill="1" applyBorder="1"/>
    <xf numFmtId="167" fontId="0" fillId="0" borderId="1" xfId="1" applyNumberFormat="1" applyFont="1" applyFill="1" applyBorder="1"/>
    <xf numFmtId="49" fontId="0" fillId="0" borderId="1" xfId="0" quotePrefix="1" applyNumberFormat="1" applyBorder="1"/>
    <xf numFmtId="0" fontId="0" fillId="0" borderId="1" xfId="0" quotePrefix="1" applyBorder="1"/>
  </cellXfs>
  <cellStyles count="8">
    <cellStyle name="Milliers" xfId="1" builtinId="3"/>
    <cellStyle name="Milliers [0]" xfId="2" builtinId="6"/>
    <cellStyle name="Milliers 2" xfId="5"/>
    <cellStyle name="Milliers 3" xfId="7"/>
    <cellStyle name="Normal" xfId="0" builtinId="0"/>
    <cellStyle name="Normal 2" xfId="4"/>
    <cellStyle name="Pourcentage" xfId="3" builtinId="5"/>
    <cellStyle name="Pourcentage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34"/>
  <sheetViews>
    <sheetView tabSelected="1" zoomScale="120" zoomScaleNormal="120" workbookViewId="0">
      <pane ySplit="1" topLeftCell="A827" activePane="bottomLeft" state="frozen"/>
      <selection activeCell="Q1" sqref="Q1"/>
      <selection pane="bottomLeft" activeCell="B689" sqref="B689"/>
    </sheetView>
  </sheetViews>
  <sheetFormatPr baseColWidth="10" defaultRowHeight="15" x14ac:dyDescent="0.25"/>
  <cols>
    <col min="1" max="1" width="20.42578125" customWidth="1"/>
    <col min="2" max="2" width="8.140625" customWidth="1"/>
    <col min="3" max="3" width="19.7109375" style="8" customWidth="1"/>
    <col min="4" max="4" width="20.42578125" customWidth="1"/>
    <col min="5" max="5" width="13.85546875" style="10" customWidth="1"/>
    <col min="6" max="6" width="42.140625" customWidth="1"/>
    <col min="7" max="7" width="15.7109375" style="11" customWidth="1"/>
    <col min="8" max="8" width="13.7109375" customWidth="1"/>
    <col min="9" max="9" width="40.85546875" customWidth="1"/>
    <col min="10" max="10" width="14.5703125" style="12" customWidth="1"/>
    <col min="11" max="11" width="13.85546875" style="12" customWidth="1"/>
    <col min="12" max="12" width="30.5703125" customWidth="1"/>
    <col min="13" max="13" width="17.42578125" style="13" bestFit="1" customWidth="1"/>
    <col min="14" max="14" width="18.85546875" style="14" customWidth="1"/>
    <col min="15" max="15" width="7.7109375" style="14" customWidth="1"/>
    <col min="16" max="16" width="10" style="14" customWidth="1"/>
    <col min="18" max="18" width="15.7109375" style="12" customWidth="1"/>
    <col min="19" max="19" width="7.85546875" style="12" customWidth="1"/>
    <col min="20" max="20" width="13.28515625" style="12" customWidth="1"/>
    <col min="21" max="21" width="18.7109375" style="12" customWidth="1"/>
    <col min="22" max="22" width="7.7109375" style="12" customWidth="1"/>
    <col min="23" max="23" width="20.7109375" style="12" customWidth="1"/>
    <col min="24" max="24" width="7.28515625" customWidth="1"/>
    <col min="25" max="25" width="6.7109375" customWidth="1"/>
    <col min="26" max="26" width="13.85546875" bestFit="1" customWidth="1"/>
    <col min="28" max="28" width="17.42578125" bestFit="1" customWidth="1"/>
    <col min="29" max="29" width="19" bestFit="1" customWidth="1"/>
  </cols>
  <sheetData>
    <row r="1" spans="1:29" s="7" customFormat="1" x14ac:dyDescent="0.25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5" t="s">
        <v>17</v>
      </c>
      <c r="S1" s="2" t="s">
        <v>18</v>
      </c>
      <c r="T1" s="5" t="s">
        <v>19</v>
      </c>
      <c r="U1" s="5" t="s">
        <v>20</v>
      </c>
      <c r="V1" s="2" t="s">
        <v>21</v>
      </c>
      <c r="W1" s="5" t="s">
        <v>22</v>
      </c>
      <c r="X1" s="2" t="s">
        <v>23</v>
      </c>
      <c r="Y1" s="2" t="s">
        <v>24</v>
      </c>
      <c r="Z1" s="6" t="s">
        <v>25</v>
      </c>
      <c r="AA1" s="7" t="s">
        <v>26</v>
      </c>
      <c r="AB1" s="7" t="s">
        <v>27</v>
      </c>
      <c r="AC1" s="7" t="s">
        <v>28</v>
      </c>
    </row>
    <row r="2" spans="1:29" x14ac:dyDescent="0.25">
      <c r="A2" t="s">
        <v>29</v>
      </c>
      <c r="B2">
        <v>30012</v>
      </c>
      <c r="C2" s="8">
        <v>45638</v>
      </c>
      <c r="D2" s="9">
        <v>321620</v>
      </c>
      <c r="E2" s="10">
        <v>2</v>
      </c>
      <c r="F2" t="s">
        <v>30</v>
      </c>
      <c r="G2" s="11">
        <v>6</v>
      </c>
      <c r="H2" t="s">
        <v>31</v>
      </c>
      <c r="J2" s="12">
        <v>0</v>
      </c>
      <c r="L2" t="s">
        <v>32</v>
      </c>
      <c r="M2" s="13">
        <v>416000</v>
      </c>
      <c r="N2" s="14">
        <v>12</v>
      </c>
      <c r="P2" s="14">
        <v>1</v>
      </c>
      <c r="Q2" s="15">
        <v>0.105</v>
      </c>
      <c r="R2" s="12">
        <v>25000</v>
      </c>
      <c r="S2" s="12">
        <v>1</v>
      </c>
      <c r="T2" s="12">
        <v>0</v>
      </c>
      <c r="U2" s="12">
        <v>18621.599999999999</v>
      </c>
      <c r="V2" s="12">
        <v>1</v>
      </c>
      <c r="W2" s="12">
        <v>36669.81880400634</v>
      </c>
      <c r="X2">
        <v>1</v>
      </c>
      <c r="Y2">
        <v>1</v>
      </c>
      <c r="Z2" s="15">
        <v>0.32002179030413835</v>
      </c>
      <c r="AA2" t="str">
        <f>IF(N2&lt;=24,"1-CT",IF(N2&gt;60,"3-LT","2-MT"))</f>
        <v>1-CT</v>
      </c>
      <c r="AB2" s="9">
        <f>Q2*M2</f>
        <v>43680</v>
      </c>
      <c r="AC2" s="9">
        <f>Z2*M2</f>
        <v>133129.06476652157</v>
      </c>
    </row>
    <row r="3" spans="1:29" x14ac:dyDescent="0.25">
      <c r="A3" t="s">
        <v>29</v>
      </c>
      <c r="B3">
        <v>30012</v>
      </c>
      <c r="C3" s="8">
        <v>45630</v>
      </c>
      <c r="D3" s="9">
        <v>321620</v>
      </c>
      <c r="E3" s="10">
        <v>2</v>
      </c>
      <c r="F3" t="s">
        <v>33</v>
      </c>
      <c r="G3" s="11">
        <v>6</v>
      </c>
      <c r="H3" t="s">
        <v>31</v>
      </c>
      <c r="J3" s="12">
        <v>0</v>
      </c>
      <c r="L3" t="s">
        <v>34</v>
      </c>
      <c r="M3" s="12">
        <v>170000</v>
      </c>
      <c r="N3" s="14">
        <v>12</v>
      </c>
      <c r="P3" s="14">
        <v>1</v>
      </c>
      <c r="Q3" s="15">
        <v>0.105</v>
      </c>
      <c r="R3" s="12">
        <v>3400</v>
      </c>
      <c r="S3" s="12">
        <v>1</v>
      </c>
      <c r="T3" s="12">
        <v>0</v>
      </c>
      <c r="U3" s="12">
        <v>14292</v>
      </c>
      <c r="V3" s="12">
        <v>1</v>
      </c>
      <c r="W3" s="12">
        <v>14985.26249202182</v>
      </c>
      <c r="X3">
        <v>1</v>
      </c>
      <c r="Y3">
        <v>1</v>
      </c>
      <c r="Z3" s="15">
        <v>0.31826767353155222</v>
      </c>
      <c r="AA3" t="str">
        <f t="shared" ref="AA3:AA66" si="0">IF(N3&lt;=24,"1-CT",IF(N3&gt;60,"3-LT","2-MT"))</f>
        <v>1-CT</v>
      </c>
      <c r="AB3" s="9">
        <f t="shared" ref="AB3:AB66" si="1">Q3*M3</f>
        <v>17850</v>
      </c>
      <c r="AC3" s="9">
        <f t="shared" ref="AC3:AC66" si="2">Z3*M3</f>
        <v>54105.504500363881</v>
      </c>
    </row>
    <row r="4" spans="1:29" x14ac:dyDescent="0.25">
      <c r="A4" t="s">
        <v>29</v>
      </c>
      <c r="B4">
        <v>30012</v>
      </c>
      <c r="C4" s="8">
        <v>45650</v>
      </c>
      <c r="D4" s="9">
        <v>321620</v>
      </c>
      <c r="E4" s="10">
        <v>2</v>
      </c>
      <c r="F4" t="s">
        <v>35</v>
      </c>
      <c r="G4" s="11">
        <v>6</v>
      </c>
      <c r="H4" t="s">
        <v>31</v>
      </c>
      <c r="J4" s="12">
        <v>0</v>
      </c>
      <c r="L4" t="s">
        <v>36</v>
      </c>
      <c r="M4" s="12">
        <v>420000</v>
      </c>
      <c r="N4" s="14">
        <v>12</v>
      </c>
      <c r="P4" s="14">
        <v>1</v>
      </c>
      <c r="Q4" s="15">
        <v>0.105</v>
      </c>
      <c r="R4" s="12">
        <v>25000</v>
      </c>
      <c r="S4" s="12">
        <v>1</v>
      </c>
      <c r="T4" s="12">
        <v>0</v>
      </c>
      <c r="U4" s="12">
        <v>18692</v>
      </c>
      <c r="V4" s="12">
        <v>1</v>
      </c>
      <c r="W4" s="12">
        <v>37022.413215583321</v>
      </c>
      <c r="X4">
        <v>1</v>
      </c>
      <c r="Y4">
        <v>1</v>
      </c>
      <c r="Z4" s="15">
        <v>0.31817432808417723</v>
      </c>
      <c r="AA4" t="str">
        <f t="shared" si="0"/>
        <v>1-CT</v>
      </c>
      <c r="AB4" s="9">
        <f t="shared" si="1"/>
        <v>44100</v>
      </c>
      <c r="AC4" s="9">
        <f t="shared" si="2"/>
        <v>133633.21779535443</v>
      </c>
    </row>
    <row r="5" spans="1:29" x14ac:dyDescent="0.25">
      <c r="A5" t="s">
        <v>29</v>
      </c>
      <c r="B5">
        <v>30012</v>
      </c>
      <c r="C5" s="8">
        <v>45635</v>
      </c>
      <c r="D5" s="9">
        <v>321620</v>
      </c>
      <c r="E5" s="10">
        <v>2</v>
      </c>
      <c r="F5" t="s">
        <v>37</v>
      </c>
      <c r="G5" s="11">
        <v>6</v>
      </c>
      <c r="H5" t="s">
        <v>31</v>
      </c>
      <c r="J5" s="12">
        <v>0</v>
      </c>
      <c r="L5" t="s">
        <v>38</v>
      </c>
      <c r="M5" s="12">
        <v>315000</v>
      </c>
      <c r="N5" s="14">
        <v>12</v>
      </c>
      <c r="P5" s="14">
        <v>1</v>
      </c>
      <c r="Q5" s="15">
        <v>0.11</v>
      </c>
      <c r="R5" s="12">
        <v>27500</v>
      </c>
      <c r="S5" s="12">
        <v>1</v>
      </c>
      <c r="T5" s="12">
        <v>0</v>
      </c>
      <c r="U5" s="12">
        <v>4450</v>
      </c>
      <c r="V5" s="12">
        <v>1</v>
      </c>
      <c r="W5" s="12">
        <v>27840.222434305269</v>
      </c>
      <c r="X5">
        <v>1</v>
      </c>
      <c r="Y5">
        <v>1</v>
      </c>
      <c r="Z5" s="15">
        <v>0.31766227813951498</v>
      </c>
      <c r="AA5" t="str">
        <f t="shared" si="0"/>
        <v>1-CT</v>
      </c>
      <c r="AB5" s="9">
        <f t="shared" si="1"/>
        <v>34650</v>
      </c>
      <c r="AC5" s="9">
        <f t="shared" si="2"/>
        <v>100063.61761394722</v>
      </c>
    </row>
    <row r="6" spans="1:29" x14ac:dyDescent="0.25">
      <c r="A6" t="s">
        <v>29</v>
      </c>
      <c r="B6">
        <v>30012</v>
      </c>
      <c r="C6" s="8">
        <v>45573</v>
      </c>
      <c r="D6" s="9">
        <v>321600</v>
      </c>
      <c r="E6" s="10">
        <v>9</v>
      </c>
      <c r="F6" t="s">
        <v>30</v>
      </c>
      <c r="G6" s="11">
        <v>6</v>
      </c>
      <c r="H6" t="s">
        <v>31</v>
      </c>
      <c r="J6" s="12">
        <v>0</v>
      </c>
      <c r="L6" t="s">
        <v>32</v>
      </c>
      <c r="M6" s="12">
        <v>474000</v>
      </c>
      <c r="N6" s="14">
        <v>11</v>
      </c>
      <c r="P6" s="14">
        <v>1</v>
      </c>
      <c r="Q6" s="15">
        <v>0.11</v>
      </c>
      <c r="R6" s="12">
        <v>25000</v>
      </c>
      <c r="S6" s="12">
        <v>1</v>
      </c>
      <c r="T6" s="12">
        <v>0</v>
      </c>
      <c r="U6" s="12">
        <v>19642.400000000001</v>
      </c>
      <c r="V6" s="12">
        <v>1</v>
      </c>
      <c r="W6" s="12">
        <v>45496.946375825886</v>
      </c>
      <c r="X6">
        <v>1</v>
      </c>
      <c r="Y6">
        <v>1</v>
      </c>
      <c r="Z6" s="15">
        <v>0.31743902973233329</v>
      </c>
      <c r="AA6" t="str">
        <f t="shared" si="0"/>
        <v>1-CT</v>
      </c>
      <c r="AB6" s="9">
        <f t="shared" si="1"/>
        <v>52140</v>
      </c>
      <c r="AC6" s="9">
        <f t="shared" si="2"/>
        <v>150466.10009312598</v>
      </c>
    </row>
    <row r="7" spans="1:29" x14ac:dyDescent="0.25">
      <c r="A7" t="s">
        <v>29</v>
      </c>
      <c r="B7">
        <v>30012</v>
      </c>
      <c r="C7" s="8">
        <v>45581</v>
      </c>
      <c r="D7" s="9">
        <v>321600</v>
      </c>
      <c r="E7" s="10">
        <v>9</v>
      </c>
      <c r="F7" t="s">
        <v>39</v>
      </c>
      <c r="G7" s="11">
        <v>6</v>
      </c>
      <c r="H7" t="s">
        <v>31</v>
      </c>
      <c r="J7" s="12">
        <v>0</v>
      </c>
      <c r="L7" t="s">
        <v>40</v>
      </c>
      <c r="M7" s="12">
        <v>670000</v>
      </c>
      <c r="N7" s="14">
        <v>11</v>
      </c>
      <c r="P7" s="14">
        <v>1</v>
      </c>
      <c r="Q7" s="15">
        <v>0.11</v>
      </c>
      <c r="R7" s="12">
        <v>40000</v>
      </c>
      <c r="S7" s="12">
        <v>1</v>
      </c>
      <c r="T7" s="12">
        <v>0</v>
      </c>
      <c r="U7" s="12">
        <v>23092</v>
      </c>
      <c r="V7" s="12">
        <v>1</v>
      </c>
      <c r="W7" s="12">
        <v>64310.029687348826</v>
      </c>
      <c r="X7">
        <v>1</v>
      </c>
      <c r="Y7">
        <v>1</v>
      </c>
      <c r="Z7" s="15">
        <v>0.3174032196005912</v>
      </c>
      <c r="AA7" t="str">
        <f t="shared" si="0"/>
        <v>1-CT</v>
      </c>
      <c r="AB7" s="9">
        <f t="shared" si="1"/>
        <v>73700</v>
      </c>
      <c r="AC7" s="9">
        <f t="shared" si="2"/>
        <v>212660.1571323961</v>
      </c>
    </row>
    <row r="8" spans="1:29" x14ac:dyDescent="0.25">
      <c r="A8" t="s">
        <v>29</v>
      </c>
      <c r="B8">
        <v>30012</v>
      </c>
      <c r="C8" s="8">
        <v>45623</v>
      </c>
      <c r="D8" s="9">
        <v>321620</v>
      </c>
      <c r="E8" s="10">
        <v>2</v>
      </c>
      <c r="F8" t="s">
        <v>41</v>
      </c>
      <c r="G8" s="11">
        <v>6</v>
      </c>
      <c r="H8" t="s">
        <v>31</v>
      </c>
      <c r="J8" s="12">
        <v>0</v>
      </c>
      <c r="L8" t="s">
        <v>38</v>
      </c>
      <c r="M8" s="12">
        <v>500000</v>
      </c>
      <c r="N8" s="14">
        <v>12</v>
      </c>
      <c r="P8" s="14">
        <v>1</v>
      </c>
      <c r="Q8" s="15">
        <v>0.105</v>
      </c>
      <c r="R8" s="12">
        <v>25000</v>
      </c>
      <c r="S8" s="12">
        <v>1</v>
      </c>
      <c r="T8" s="12">
        <v>0</v>
      </c>
      <c r="U8" s="12">
        <v>26600</v>
      </c>
      <c r="V8" s="12">
        <v>1</v>
      </c>
      <c r="W8" s="12">
        <v>44074.301447122998</v>
      </c>
      <c r="X8">
        <v>1</v>
      </c>
      <c r="Y8">
        <v>1</v>
      </c>
      <c r="Z8" s="15">
        <v>0.31633487050986986</v>
      </c>
      <c r="AA8" t="str">
        <f t="shared" si="0"/>
        <v>1-CT</v>
      </c>
      <c r="AB8" s="9">
        <f t="shared" si="1"/>
        <v>52500</v>
      </c>
      <c r="AC8" s="9">
        <f t="shared" si="2"/>
        <v>158167.43525493494</v>
      </c>
    </row>
    <row r="9" spans="1:29" x14ac:dyDescent="0.25">
      <c r="A9" t="s">
        <v>29</v>
      </c>
      <c r="B9">
        <v>30012</v>
      </c>
      <c r="C9" s="8">
        <v>45643</v>
      </c>
      <c r="D9" s="9">
        <v>321620</v>
      </c>
      <c r="E9" s="10">
        <v>2</v>
      </c>
      <c r="F9" t="s">
        <v>42</v>
      </c>
      <c r="G9" s="11">
        <v>6</v>
      </c>
      <c r="H9" t="s">
        <v>31</v>
      </c>
      <c r="J9" s="12">
        <v>0</v>
      </c>
      <c r="L9" t="s">
        <v>34</v>
      </c>
      <c r="M9" s="12">
        <v>425000</v>
      </c>
      <c r="N9" s="14">
        <v>12</v>
      </c>
      <c r="P9" s="14">
        <v>1</v>
      </c>
      <c r="Q9" s="15">
        <v>0.105</v>
      </c>
      <c r="R9" s="12">
        <v>25000</v>
      </c>
      <c r="S9" s="12">
        <v>1</v>
      </c>
      <c r="T9" s="12">
        <v>0</v>
      </c>
      <c r="U9" s="12">
        <v>18780</v>
      </c>
      <c r="V9" s="12">
        <v>1</v>
      </c>
      <c r="W9" s="12">
        <v>37463.156230054548</v>
      </c>
      <c r="X9">
        <v>1</v>
      </c>
      <c r="Y9">
        <v>1</v>
      </c>
      <c r="Z9" s="15">
        <v>0.31591733003190486</v>
      </c>
      <c r="AA9" t="str">
        <f t="shared" si="0"/>
        <v>1-CT</v>
      </c>
      <c r="AB9" s="9">
        <f t="shared" si="1"/>
        <v>44625</v>
      </c>
      <c r="AC9" s="9">
        <f t="shared" si="2"/>
        <v>134264.86526355956</v>
      </c>
    </row>
    <row r="10" spans="1:29" x14ac:dyDescent="0.25">
      <c r="A10" t="s">
        <v>29</v>
      </c>
      <c r="B10">
        <v>30012</v>
      </c>
      <c r="C10" s="8">
        <v>45643</v>
      </c>
      <c r="D10" s="9">
        <v>321620</v>
      </c>
      <c r="E10" s="10">
        <v>2</v>
      </c>
      <c r="F10" t="s">
        <v>43</v>
      </c>
      <c r="G10" s="11">
        <v>6</v>
      </c>
      <c r="H10" t="s">
        <v>31</v>
      </c>
      <c r="J10" s="12">
        <v>0</v>
      </c>
      <c r="L10" t="s">
        <v>32</v>
      </c>
      <c r="M10" s="12">
        <v>425000</v>
      </c>
      <c r="N10" s="14">
        <v>12</v>
      </c>
      <c r="P10" s="14">
        <v>1</v>
      </c>
      <c r="Q10" s="15">
        <v>0.105</v>
      </c>
      <c r="R10" s="12">
        <v>25000</v>
      </c>
      <c r="S10" s="12">
        <v>1</v>
      </c>
      <c r="T10" s="12">
        <v>0</v>
      </c>
      <c r="U10" s="12">
        <v>18780</v>
      </c>
      <c r="V10" s="12">
        <v>1</v>
      </c>
      <c r="W10" s="12">
        <v>37463.156230054548</v>
      </c>
      <c r="X10">
        <v>1</v>
      </c>
      <c r="Y10">
        <v>1</v>
      </c>
      <c r="Z10" s="15">
        <v>0.31591733003190486</v>
      </c>
      <c r="AA10" t="str">
        <f t="shared" si="0"/>
        <v>1-CT</v>
      </c>
      <c r="AB10" s="9">
        <f t="shared" si="1"/>
        <v>44625</v>
      </c>
      <c r="AC10" s="9">
        <f t="shared" si="2"/>
        <v>134264.86526355956</v>
      </c>
    </row>
    <row r="11" spans="1:29" x14ac:dyDescent="0.25">
      <c r="A11" t="s">
        <v>29</v>
      </c>
      <c r="B11">
        <v>30012</v>
      </c>
      <c r="C11" s="8">
        <v>45652</v>
      </c>
      <c r="D11" s="9">
        <v>321620</v>
      </c>
      <c r="E11" s="10">
        <v>2</v>
      </c>
      <c r="F11" t="s">
        <v>44</v>
      </c>
      <c r="G11" s="11">
        <v>6</v>
      </c>
      <c r="H11" t="s">
        <v>31</v>
      </c>
      <c r="J11" s="12">
        <v>0</v>
      </c>
      <c r="L11" t="s">
        <v>32</v>
      </c>
      <c r="M11" s="12">
        <v>425000</v>
      </c>
      <c r="N11" s="14">
        <v>12</v>
      </c>
      <c r="P11" s="14">
        <v>1</v>
      </c>
      <c r="Q11" s="15">
        <v>0.105</v>
      </c>
      <c r="R11" s="12">
        <v>25000</v>
      </c>
      <c r="S11" s="12">
        <v>1</v>
      </c>
      <c r="T11" s="12">
        <v>0</v>
      </c>
      <c r="U11" s="12">
        <v>18780</v>
      </c>
      <c r="V11" s="12">
        <v>1</v>
      </c>
      <c r="W11" s="12">
        <v>37463.156230054548</v>
      </c>
      <c r="X11">
        <v>1</v>
      </c>
      <c r="Y11">
        <v>1</v>
      </c>
      <c r="Z11" s="15">
        <v>0.31591733003190486</v>
      </c>
      <c r="AA11" t="str">
        <f t="shared" si="0"/>
        <v>1-CT</v>
      </c>
      <c r="AB11" s="9">
        <f t="shared" si="1"/>
        <v>44625</v>
      </c>
      <c r="AC11" s="9">
        <f t="shared" si="2"/>
        <v>134264.86526355956</v>
      </c>
    </row>
    <row r="12" spans="1:29" x14ac:dyDescent="0.25">
      <c r="A12" t="s">
        <v>29</v>
      </c>
      <c r="B12">
        <v>30012</v>
      </c>
      <c r="C12" s="8">
        <v>45573</v>
      </c>
      <c r="D12" s="9">
        <v>321600</v>
      </c>
      <c r="E12" s="10">
        <v>9</v>
      </c>
      <c r="F12" t="s">
        <v>45</v>
      </c>
      <c r="G12" s="11">
        <v>6</v>
      </c>
      <c r="H12" t="s">
        <v>31</v>
      </c>
      <c r="J12" s="12">
        <v>0</v>
      </c>
      <c r="L12" t="s">
        <v>32</v>
      </c>
      <c r="M12" s="12">
        <v>680000</v>
      </c>
      <c r="N12" s="14">
        <v>11</v>
      </c>
      <c r="P12" s="14">
        <v>1</v>
      </c>
      <c r="Q12" s="15">
        <v>0.11</v>
      </c>
      <c r="R12" s="12">
        <v>40000</v>
      </c>
      <c r="S12" s="12">
        <v>1</v>
      </c>
      <c r="T12" s="12">
        <v>0</v>
      </c>
      <c r="U12" s="12">
        <v>23268</v>
      </c>
      <c r="V12" s="12">
        <v>1</v>
      </c>
      <c r="W12" s="12">
        <v>65269.880876712246</v>
      </c>
      <c r="X12">
        <v>1</v>
      </c>
      <c r="Y12">
        <v>1</v>
      </c>
      <c r="Z12" s="15">
        <v>0.31473790906109167</v>
      </c>
      <c r="AA12" t="str">
        <f t="shared" si="0"/>
        <v>1-CT</v>
      </c>
      <c r="AB12" s="9">
        <f t="shared" si="1"/>
        <v>74800</v>
      </c>
      <c r="AC12" s="9">
        <f t="shared" si="2"/>
        <v>214021.77816154234</v>
      </c>
    </row>
    <row r="13" spans="1:29" ht="16.5" customHeight="1" x14ac:dyDescent="0.25">
      <c r="A13" t="s">
        <v>29</v>
      </c>
      <c r="B13">
        <v>30012</v>
      </c>
      <c r="C13" s="8">
        <v>45625</v>
      </c>
      <c r="D13" s="9">
        <v>321620</v>
      </c>
      <c r="E13" s="10">
        <v>2</v>
      </c>
      <c r="F13" t="s">
        <v>46</v>
      </c>
      <c r="G13" s="11">
        <v>6</v>
      </c>
      <c r="H13" t="s">
        <v>31</v>
      </c>
      <c r="J13" s="12">
        <v>0</v>
      </c>
      <c r="L13" t="s">
        <v>32</v>
      </c>
      <c r="M13" s="12">
        <v>430000</v>
      </c>
      <c r="N13" s="14">
        <v>12</v>
      </c>
      <c r="P13" s="14">
        <v>1</v>
      </c>
      <c r="Q13" s="15">
        <v>0.105</v>
      </c>
      <c r="R13" s="12">
        <v>25000</v>
      </c>
      <c r="S13" s="12">
        <v>1</v>
      </c>
      <c r="T13" s="12">
        <v>0</v>
      </c>
      <c r="U13" s="12">
        <v>18868</v>
      </c>
      <c r="V13" s="12">
        <v>1</v>
      </c>
      <c r="W13" s="12">
        <v>37903.899244525775</v>
      </c>
      <c r="X13">
        <v>1</v>
      </c>
      <c r="Y13">
        <v>1</v>
      </c>
      <c r="Z13" s="15">
        <v>0.31371645047346136</v>
      </c>
      <c r="AA13" t="str">
        <f t="shared" si="0"/>
        <v>1-CT</v>
      </c>
      <c r="AB13" s="9">
        <f t="shared" si="1"/>
        <v>45150</v>
      </c>
      <c r="AC13" s="9">
        <f t="shared" si="2"/>
        <v>134898.07370358839</v>
      </c>
    </row>
    <row r="14" spans="1:29" x14ac:dyDescent="0.25">
      <c r="A14" t="s">
        <v>29</v>
      </c>
      <c r="B14">
        <v>30012</v>
      </c>
      <c r="C14" s="8">
        <v>45579</v>
      </c>
      <c r="D14" s="9">
        <v>321600</v>
      </c>
      <c r="E14" s="10">
        <v>9</v>
      </c>
      <c r="F14" t="s">
        <v>47</v>
      </c>
      <c r="G14" s="11">
        <v>6</v>
      </c>
      <c r="H14" t="s">
        <v>31</v>
      </c>
      <c r="J14" s="12">
        <v>0</v>
      </c>
      <c r="L14" t="s">
        <v>36</v>
      </c>
      <c r="M14" s="12">
        <v>485000</v>
      </c>
      <c r="N14" s="14">
        <v>11</v>
      </c>
      <c r="P14" s="14">
        <v>1</v>
      </c>
      <c r="Q14" s="15">
        <v>0.11</v>
      </c>
      <c r="R14" s="12">
        <v>25000</v>
      </c>
      <c r="S14" s="12">
        <v>1</v>
      </c>
      <c r="T14" s="12">
        <v>0</v>
      </c>
      <c r="U14" s="12">
        <v>19836</v>
      </c>
      <c r="V14" s="12">
        <v>1</v>
      </c>
      <c r="W14" s="12">
        <v>46552.782684125639</v>
      </c>
      <c r="X14">
        <v>1</v>
      </c>
      <c r="Y14">
        <v>1</v>
      </c>
      <c r="Z14" s="15">
        <v>0.31332953732019431</v>
      </c>
      <c r="AA14" t="str">
        <f t="shared" si="0"/>
        <v>1-CT</v>
      </c>
      <c r="AB14" s="9">
        <f t="shared" si="1"/>
        <v>53350</v>
      </c>
      <c r="AC14" s="9">
        <f t="shared" si="2"/>
        <v>151964.82560029425</v>
      </c>
    </row>
    <row r="15" spans="1:29" ht="16.5" customHeight="1" x14ac:dyDescent="0.25">
      <c r="A15" t="s">
        <v>29</v>
      </c>
      <c r="B15">
        <v>30012</v>
      </c>
      <c r="C15" s="8">
        <v>45573</v>
      </c>
      <c r="D15" s="9">
        <v>321600</v>
      </c>
      <c r="E15" s="10">
        <v>9</v>
      </c>
      <c r="F15" t="s">
        <v>46</v>
      </c>
      <c r="G15" s="11">
        <v>6</v>
      </c>
      <c r="H15" t="s">
        <v>31</v>
      </c>
      <c r="J15" s="12">
        <v>0</v>
      </c>
      <c r="L15" t="s">
        <v>38</v>
      </c>
      <c r="M15" s="12">
        <v>490000</v>
      </c>
      <c r="N15" s="14">
        <v>11</v>
      </c>
      <c r="P15" s="14">
        <v>1</v>
      </c>
      <c r="Q15" s="15">
        <v>0.11</v>
      </c>
      <c r="R15" s="12">
        <v>25000</v>
      </c>
      <c r="S15" s="12">
        <v>1</v>
      </c>
      <c r="T15" s="12">
        <v>0</v>
      </c>
      <c r="U15" s="12">
        <v>19924</v>
      </c>
      <c r="V15" s="12">
        <v>1</v>
      </c>
      <c r="W15" s="12">
        <v>47032.708278807346</v>
      </c>
      <c r="X15">
        <v>1</v>
      </c>
      <c r="Y15">
        <v>1</v>
      </c>
      <c r="Z15" s="15">
        <v>0.31152625355449559</v>
      </c>
      <c r="AA15" t="str">
        <f t="shared" si="0"/>
        <v>1-CT</v>
      </c>
      <c r="AB15" s="9">
        <f t="shared" si="1"/>
        <v>53900</v>
      </c>
      <c r="AC15" s="9">
        <f t="shared" si="2"/>
        <v>152647.86424170283</v>
      </c>
    </row>
    <row r="16" spans="1:29" x14ac:dyDescent="0.25">
      <c r="A16" t="s">
        <v>29</v>
      </c>
      <c r="B16">
        <v>30012</v>
      </c>
      <c r="C16" s="8">
        <v>45583</v>
      </c>
      <c r="D16" s="9">
        <v>321600</v>
      </c>
      <c r="E16" s="10">
        <v>9</v>
      </c>
      <c r="F16" t="s">
        <v>48</v>
      </c>
      <c r="G16" s="11">
        <v>6</v>
      </c>
      <c r="H16" t="s">
        <v>31</v>
      </c>
      <c r="J16" s="12">
        <v>0</v>
      </c>
      <c r="L16" t="s">
        <v>32</v>
      </c>
      <c r="M16" s="12">
        <v>490000</v>
      </c>
      <c r="N16" s="14">
        <v>11</v>
      </c>
      <c r="P16" s="14">
        <v>1</v>
      </c>
      <c r="Q16" s="15">
        <v>0.11</v>
      </c>
      <c r="R16" s="12">
        <v>25000</v>
      </c>
      <c r="S16" s="12">
        <v>1</v>
      </c>
      <c r="T16" s="12">
        <v>0</v>
      </c>
      <c r="U16" s="12">
        <v>19924</v>
      </c>
      <c r="V16" s="12">
        <v>1</v>
      </c>
      <c r="W16" s="12">
        <v>47032.708278807346</v>
      </c>
      <c r="X16">
        <v>1</v>
      </c>
      <c r="Y16">
        <v>1</v>
      </c>
      <c r="Z16" s="15">
        <v>0.31152625355449559</v>
      </c>
      <c r="AA16" t="str">
        <f t="shared" si="0"/>
        <v>1-CT</v>
      </c>
      <c r="AB16" s="9">
        <f t="shared" si="1"/>
        <v>53900</v>
      </c>
      <c r="AC16" s="9">
        <f t="shared" si="2"/>
        <v>152647.86424170283</v>
      </c>
    </row>
    <row r="17" spans="1:29" x14ac:dyDescent="0.25">
      <c r="A17" t="s">
        <v>29</v>
      </c>
      <c r="B17">
        <v>30012</v>
      </c>
      <c r="C17" s="8">
        <v>45579</v>
      </c>
      <c r="D17" s="9">
        <v>321600</v>
      </c>
      <c r="E17" s="10">
        <v>9</v>
      </c>
      <c r="F17" t="s">
        <v>49</v>
      </c>
      <c r="G17" s="11">
        <v>6</v>
      </c>
      <c r="H17" t="s">
        <v>31</v>
      </c>
      <c r="J17" s="12">
        <v>0</v>
      </c>
      <c r="L17" t="s">
        <v>36</v>
      </c>
      <c r="M17" s="12">
        <v>490000</v>
      </c>
      <c r="N17" s="14">
        <v>11</v>
      </c>
      <c r="P17" s="14">
        <v>1</v>
      </c>
      <c r="Q17" s="15">
        <v>0.11</v>
      </c>
      <c r="R17" s="12">
        <v>25000</v>
      </c>
      <c r="S17" s="12">
        <v>1</v>
      </c>
      <c r="T17" s="12">
        <v>0</v>
      </c>
      <c r="U17" s="12">
        <v>19924</v>
      </c>
      <c r="V17" s="12">
        <v>1</v>
      </c>
      <c r="W17" s="12">
        <v>47032.708278807346</v>
      </c>
      <c r="X17">
        <v>1</v>
      </c>
      <c r="Y17">
        <v>1</v>
      </c>
      <c r="Z17" s="15">
        <v>0.31152625355449559</v>
      </c>
      <c r="AA17" t="str">
        <f t="shared" si="0"/>
        <v>1-CT</v>
      </c>
      <c r="AB17" s="9">
        <f t="shared" si="1"/>
        <v>53900</v>
      </c>
      <c r="AC17" s="9">
        <f t="shared" si="2"/>
        <v>152647.86424170283</v>
      </c>
    </row>
    <row r="18" spans="1:29" x14ac:dyDescent="0.25">
      <c r="A18" t="s">
        <v>29</v>
      </c>
      <c r="B18">
        <v>30012</v>
      </c>
      <c r="C18" s="8">
        <v>45566</v>
      </c>
      <c r="D18" s="9">
        <v>321600</v>
      </c>
      <c r="E18" s="10">
        <v>9</v>
      </c>
      <c r="F18" t="s">
        <v>50</v>
      </c>
      <c r="G18" s="11">
        <v>6</v>
      </c>
      <c r="H18" t="s">
        <v>31</v>
      </c>
      <c r="J18" s="12">
        <v>0</v>
      </c>
      <c r="L18" t="s">
        <v>32</v>
      </c>
      <c r="M18" s="12">
        <v>490000</v>
      </c>
      <c r="N18" s="14">
        <v>11</v>
      </c>
      <c r="P18" s="14">
        <v>1</v>
      </c>
      <c r="Q18" s="15">
        <v>0.11</v>
      </c>
      <c r="R18" s="12">
        <v>25000</v>
      </c>
      <c r="S18" s="12">
        <v>1</v>
      </c>
      <c r="T18" s="12">
        <v>0</v>
      </c>
      <c r="U18" s="12">
        <v>19924</v>
      </c>
      <c r="V18" s="12">
        <v>1</v>
      </c>
      <c r="W18" s="12">
        <v>47032.708278807346</v>
      </c>
      <c r="X18">
        <v>1</v>
      </c>
      <c r="Y18">
        <v>1</v>
      </c>
      <c r="Z18" s="15">
        <v>0.31152625355449559</v>
      </c>
      <c r="AA18" t="str">
        <f t="shared" si="0"/>
        <v>1-CT</v>
      </c>
      <c r="AB18" s="9">
        <f t="shared" si="1"/>
        <v>53900</v>
      </c>
      <c r="AC18" s="9">
        <f t="shared" si="2"/>
        <v>152647.86424170283</v>
      </c>
    </row>
    <row r="19" spans="1:29" x14ac:dyDescent="0.25">
      <c r="A19" t="s">
        <v>29</v>
      </c>
      <c r="B19">
        <v>30012</v>
      </c>
      <c r="C19" s="8">
        <v>45576</v>
      </c>
      <c r="D19" s="9">
        <v>321600</v>
      </c>
      <c r="E19" s="10">
        <v>9</v>
      </c>
      <c r="F19" t="s">
        <v>51</v>
      </c>
      <c r="G19" s="11">
        <v>6</v>
      </c>
      <c r="H19" t="s">
        <v>31</v>
      </c>
      <c r="J19" s="12">
        <v>0</v>
      </c>
      <c r="L19" t="s">
        <v>36</v>
      </c>
      <c r="M19" s="12">
        <v>490000</v>
      </c>
      <c r="N19" s="14">
        <v>11</v>
      </c>
      <c r="P19" s="14">
        <v>1</v>
      </c>
      <c r="Q19" s="15">
        <v>0.11</v>
      </c>
      <c r="R19" s="12">
        <v>25000</v>
      </c>
      <c r="S19" s="12">
        <v>1</v>
      </c>
      <c r="T19" s="12">
        <v>0</v>
      </c>
      <c r="U19" s="12">
        <v>19924</v>
      </c>
      <c r="V19" s="12">
        <v>1</v>
      </c>
      <c r="W19" s="12">
        <v>47032.708278807346</v>
      </c>
      <c r="X19">
        <v>1</v>
      </c>
      <c r="Y19">
        <v>1</v>
      </c>
      <c r="Z19" s="15">
        <v>0.31152625355449559</v>
      </c>
      <c r="AA19" t="str">
        <f t="shared" si="0"/>
        <v>1-CT</v>
      </c>
      <c r="AB19" s="9">
        <f t="shared" si="1"/>
        <v>53900</v>
      </c>
      <c r="AC19" s="9">
        <f t="shared" si="2"/>
        <v>152647.86424170283</v>
      </c>
    </row>
    <row r="20" spans="1:29" x14ac:dyDescent="0.25">
      <c r="A20" t="s">
        <v>29</v>
      </c>
      <c r="B20">
        <v>30012</v>
      </c>
      <c r="C20" s="8">
        <v>45575</v>
      </c>
      <c r="D20" s="9">
        <v>321600</v>
      </c>
      <c r="E20" s="10">
        <v>9</v>
      </c>
      <c r="F20" t="s">
        <v>52</v>
      </c>
      <c r="G20" s="11">
        <v>6</v>
      </c>
      <c r="H20" t="s">
        <v>31</v>
      </c>
      <c r="J20" s="12">
        <v>0</v>
      </c>
      <c r="L20" t="s">
        <v>40</v>
      </c>
      <c r="M20" s="12">
        <v>700000</v>
      </c>
      <c r="N20" s="14">
        <v>11</v>
      </c>
      <c r="P20" s="14">
        <v>1</v>
      </c>
      <c r="Q20" s="15">
        <v>0.11</v>
      </c>
      <c r="R20" s="12">
        <v>40000</v>
      </c>
      <c r="S20" s="12">
        <v>1</v>
      </c>
      <c r="T20" s="12">
        <v>0</v>
      </c>
      <c r="U20" s="12">
        <v>23620</v>
      </c>
      <c r="V20" s="12">
        <v>1</v>
      </c>
      <c r="W20" s="12">
        <v>67189.58325543908</v>
      </c>
      <c r="X20">
        <v>1</v>
      </c>
      <c r="Y20">
        <v>1</v>
      </c>
      <c r="Z20" s="15">
        <v>0.30964934344264211</v>
      </c>
      <c r="AA20" t="str">
        <f t="shared" si="0"/>
        <v>1-CT</v>
      </c>
      <c r="AB20" s="9">
        <f t="shared" si="1"/>
        <v>77000</v>
      </c>
      <c r="AC20" s="9">
        <f t="shared" si="2"/>
        <v>216754.54040984949</v>
      </c>
    </row>
    <row r="21" spans="1:29" x14ac:dyDescent="0.25">
      <c r="A21" t="s">
        <v>29</v>
      </c>
      <c r="B21">
        <v>30012</v>
      </c>
      <c r="C21" s="8">
        <v>45593</v>
      </c>
      <c r="D21" s="9">
        <v>321600</v>
      </c>
      <c r="E21" s="10">
        <v>9</v>
      </c>
      <c r="F21" t="s">
        <v>53</v>
      </c>
      <c r="G21" s="11">
        <v>6</v>
      </c>
      <c r="H21" t="s">
        <v>31</v>
      </c>
      <c r="J21" s="12">
        <v>0</v>
      </c>
      <c r="L21" t="s">
        <v>54</v>
      </c>
      <c r="M21" s="13">
        <v>700000</v>
      </c>
      <c r="N21" s="14">
        <v>11</v>
      </c>
      <c r="P21" s="14">
        <v>1</v>
      </c>
      <c r="Q21" s="15">
        <v>0.11</v>
      </c>
      <c r="R21" s="12">
        <v>40000</v>
      </c>
      <c r="S21" s="12">
        <v>1</v>
      </c>
      <c r="T21" s="12">
        <v>0</v>
      </c>
      <c r="U21" s="12">
        <v>23620</v>
      </c>
      <c r="V21" s="12">
        <v>1</v>
      </c>
      <c r="W21" s="12">
        <v>67189.58325543908</v>
      </c>
      <c r="X21">
        <v>1</v>
      </c>
      <c r="Y21">
        <v>1</v>
      </c>
      <c r="Z21" s="15">
        <v>0.30964934344264211</v>
      </c>
      <c r="AA21" t="str">
        <f t="shared" si="0"/>
        <v>1-CT</v>
      </c>
      <c r="AB21" s="9">
        <f t="shared" si="1"/>
        <v>77000</v>
      </c>
      <c r="AC21" s="9">
        <f t="shared" si="2"/>
        <v>216754.54040984949</v>
      </c>
    </row>
    <row r="22" spans="1:29" x14ac:dyDescent="0.25">
      <c r="A22" t="s">
        <v>29</v>
      </c>
      <c r="B22">
        <v>30012</v>
      </c>
      <c r="C22" s="8">
        <v>45580</v>
      </c>
      <c r="D22" s="9">
        <v>321600</v>
      </c>
      <c r="E22" s="10">
        <v>9</v>
      </c>
      <c r="F22" t="s">
        <v>55</v>
      </c>
      <c r="G22" s="11">
        <v>6</v>
      </c>
      <c r="H22" t="s">
        <v>31</v>
      </c>
      <c r="J22" s="12">
        <v>0</v>
      </c>
      <c r="L22" t="s">
        <v>38</v>
      </c>
      <c r="M22" s="13">
        <v>700000</v>
      </c>
      <c r="N22" s="14">
        <v>11</v>
      </c>
      <c r="P22" s="14">
        <v>1</v>
      </c>
      <c r="Q22" s="15">
        <v>0.11</v>
      </c>
      <c r="R22" s="12">
        <v>40000</v>
      </c>
      <c r="S22" s="12">
        <v>1</v>
      </c>
      <c r="T22" s="12">
        <v>0</v>
      </c>
      <c r="U22" s="12">
        <v>23620</v>
      </c>
      <c r="V22" s="12">
        <v>1</v>
      </c>
      <c r="W22" s="12">
        <v>67189.58325543908</v>
      </c>
      <c r="X22">
        <v>1</v>
      </c>
      <c r="Y22">
        <v>1</v>
      </c>
      <c r="Z22" s="15">
        <v>0.30964934344264211</v>
      </c>
      <c r="AA22" t="str">
        <f t="shared" si="0"/>
        <v>1-CT</v>
      </c>
      <c r="AB22" s="9">
        <f t="shared" si="1"/>
        <v>77000</v>
      </c>
      <c r="AC22" s="9">
        <f t="shared" si="2"/>
        <v>216754.54040984949</v>
      </c>
    </row>
    <row r="23" spans="1:29" x14ac:dyDescent="0.25">
      <c r="A23" t="s">
        <v>29</v>
      </c>
      <c r="B23">
        <v>30012</v>
      </c>
      <c r="C23" s="8">
        <v>45593</v>
      </c>
      <c r="D23" s="9">
        <v>321600</v>
      </c>
      <c r="E23" s="10">
        <v>9</v>
      </c>
      <c r="F23" t="s">
        <v>56</v>
      </c>
      <c r="G23" s="11">
        <v>6</v>
      </c>
      <c r="H23" t="s">
        <v>31</v>
      </c>
      <c r="J23" s="12">
        <v>0</v>
      </c>
      <c r="L23" t="s">
        <v>38</v>
      </c>
      <c r="M23" s="13">
        <v>700000</v>
      </c>
      <c r="N23" s="14">
        <v>11</v>
      </c>
      <c r="P23" s="14">
        <v>1</v>
      </c>
      <c r="Q23" s="15">
        <v>0.11</v>
      </c>
      <c r="R23" s="12">
        <v>40000</v>
      </c>
      <c r="S23" s="12">
        <v>1</v>
      </c>
      <c r="T23" s="12">
        <v>0</v>
      </c>
      <c r="U23" s="12">
        <v>23620</v>
      </c>
      <c r="V23" s="12">
        <v>1</v>
      </c>
      <c r="W23" s="12">
        <v>67189.58325543908</v>
      </c>
      <c r="X23">
        <v>1</v>
      </c>
      <c r="Y23">
        <v>1</v>
      </c>
      <c r="Z23" s="15">
        <v>0.30964934344264211</v>
      </c>
      <c r="AA23" t="str">
        <f t="shared" si="0"/>
        <v>1-CT</v>
      </c>
      <c r="AB23" s="9">
        <f t="shared" si="1"/>
        <v>77000</v>
      </c>
      <c r="AC23" s="9">
        <f t="shared" si="2"/>
        <v>216754.54040984949</v>
      </c>
    </row>
    <row r="24" spans="1:29" x14ac:dyDescent="0.25">
      <c r="A24" t="s">
        <v>29</v>
      </c>
      <c r="B24">
        <v>30012</v>
      </c>
      <c r="C24" s="8">
        <v>45581</v>
      </c>
      <c r="D24" s="9">
        <v>321600</v>
      </c>
      <c r="E24" s="10">
        <v>9</v>
      </c>
      <c r="F24" t="s">
        <v>51</v>
      </c>
      <c r="G24" s="11">
        <v>6</v>
      </c>
      <c r="H24" t="s">
        <v>31</v>
      </c>
      <c r="J24" s="12">
        <v>0</v>
      </c>
      <c r="L24" t="s">
        <v>32</v>
      </c>
      <c r="M24" s="13">
        <v>498000</v>
      </c>
      <c r="N24" s="14">
        <v>11</v>
      </c>
      <c r="P24" s="14">
        <v>1</v>
      </c>
      <c r="Q24" s="15">
        <v>0.11</v>
      </c>
      <c r="R24" s="12">
        <v>25000</v>
      </c>
      <c r="S24" s="12">
        <v>1</v>
      </c>
      <c r="T24" s="12">
        <v>0</v>
      </c>
      <c r="U24" s="12">
        <v>20064.8</v>
      </c>
      <c r="V24" s="12">
        <v>1</v>
      </c>
      <c r="W24" s="12">
        <v>47800.589230298086</v>
      </c>
      <c r="X24">
        <v>1</v>
      </c>
      <c r="Y24">
        <v>1</v>
      </c>
      <c r="Z24" s="15">
        <v>0.30872077331626829</v>
      </c>
      <c r="AA24" t="str">
        <f t="shared" si="0"/>
        <v>1-CT</v>
      </c>
      <c r="AB24" s="9">
        <f t="shared" si="1"/>
        <v>54780</v>
      </c>
      <c r="AC24" s="9">
        <f t="shared" si="2"/>
        <v>153742.94511150161</v>
      </c>
    </row>
    <row r="25" spans="1:29" ht="13.5" customHeight="1" x14ac:dyDescent="0.25">
      <c r="A25" t="s">
        <v>29</v>
      </c>
      <c r="B25">
        <v>30012</v>
      </c>
      <c r="C25" s="8">
        <v>45574</v>
      </c>
      <c r="D25" s="9">
        <v>321600</v>
      </c>
      <c r="E25" s="10">
        <v>9</v>
      </c>
      <c r="F25" t="s">
        <v>57</v>
      </c>
      <c r="G25" s="11">
        <v>6</v>
      </c>
      <c r="H25" t="s">
        <v>31</v>
      </c>
      <c r="J25" s="12">
        <v>0</v>
      </c>
      <c r="L25" t="s">
        <v>36</v>
      </c>
      <c r="M25" s="13">
        <v>500000</v>
      </c>
      <c r="N25" s="14">
        <v>11</v>
      </c>
      <c r="P25" s="14">
        <v>1</v>
      </c>
      <c r="Q25" s="15">
        <v>0.11</v>
      </c>
      <c r="R25" s="12">
        <v>25000</v>
      </c>
      <c r="S25" s="12">
        <v>1</v>
      </c>
      <c r="T25" s="12">
        <v>0</v>
      </c>
      <c r="U25" s="12">
        <v>20100</v>
      </c>
      <c r="V25" s="12">
        <v>1</v>
      </c>
      <c r="W25" s="12">
        <v>47992.559468170766</v>
      </c>
      <c r="X25">
        <v>1</v>
      </c>
      <c r="Y25">
        <v>1</v>
      </c>
      <c r="Z25" s="15">
        <v>0.30803425674463891</v>
      </c>
      <c r="AA25" t="str">
        <f t="shared" si="0"/>
        <v>1-CT</v>
      </c>
      <c r="AB25" s="9">
        <f t="shared" si="1"/>
        <v>55000</v>
      </c>
      <c r="AC25" s="9">
        <f t="shared" si="2"/>
        <v>154017.12837231945</v>
      </c>
    </row>
    <row r="26" spans="1:29" x14ac:dyDescent="0.25">
      <c r="A26" t="s">
        <v>29</v>
      </c>
      <c r="B26">
        <v>30012</v>
      </c>
      <c r="C26" s="8">
        <v>45569</v>
      </c>
      <c r="D26" s="9">
        <v>321600</v>
      </c>
      <c r="E26" s="10">
        <v>9</v>
      </c>
      <c r="F26" t="s">
        <v>58</v>
      </c>
      <c r="G26" s="11">
        <v>6</v>
      </c>
      <c r="H26" t="s">
        <v>31</v>
      </c>
      <c r="J26" s="12">
        <v>0</v>
      </c>
      <c r="L26" t="s">
        <v>36</v>
      </c>
      <c r="M26" s="13">
        <v>500000</v>
      </c>
      <c r="N26" s="14">
        <v>11</v>
      </c>
      <c r="P26" s="14">
        <v>1</v>
      </c>
      <c r="Q26" s="15">
        <v>0.11</v>
      </c>
      <c r="R26" s="12">
        <v>25000</v>
      </c>
      <c r="S26" s="12">
        <v>1</v>
      </c>
      <c r="T26" s="12">
        <v>0</v>
      </c>
      <c r="U26" s="12">
        <v>20100</v>
      </c>
      <c r="V26" s="12">
        <v>1</v>
      </c>
      <c r="W26" s="12">
        <v>47992.559468170766</v>
      </c>
      <c r="X26">
        <v>1</v>
      </c>
      <c r="Y26">
        <v>1</v>
      </c>
      <c r="Z26" s="15">
        <v>0.30803425674463891</v>
      </c>
      <c r="AA26" t="str">
        <f t="shared" si="0"/>
        <v>1-CT</v>
      </c>
      <c r="AB26" s="9">
        <f t="shared" si="1"/>
        <v>55000</v>
      </c>
      <c r="AC26" s="9">
        <f t="shared" si="2"/>
        <v>154017.12837231945</v>
      </c>
    </row>
    <row r="27" spans="1:29" x14ac:dyDescent="0.25">
      <c r="A27" t="s">
        <v>29</v>
      </c>
      <c r="B27">
        <v>30012</v>
      </c>
      <c r="C27" s="8">
        <v>45579</v>
      </c>
      <c r="D27" s="9">
        <v>321600</v>
      </c>
      <c r="E27" s="10">
        <v>9</v>
      </c>
      <c r="F27" t="s">
        <v>59</v>
      </c>
      <c r="G27" s="11">
        <v>6</v>
      </c>
      <c r="H27" t="s">
        <v>31</v>
      </c>
      <c r="J27" s="12">
        <v>0</v>
      </c>
      <c r="L27" t="s">
        <v>34</v>
      </c>
      <c r="M27" s="13">
        <v>500000</v>
      </c>
      <c r="N27" s="14">
        <v>11</v>
      </c>
      <c r="P27" s="14">
        <v>1</v>
      </c>
      <c r="Q27" s="15">
        <v>0.11</v>
      </c>
      <c r="R27" s="12">
        <v>25000</v>
      </c>
      <c r="S27" s="12">
        <v>1</v>
      </c>
      <c r="T27" s="12">
        <v>0</v>
      </c>
      <c r="U27" s="12">
        <v>20100</v>
      </c>
      <c r="V27" s="12">
        <v>1</v>
      </c>
      <c r="W27" s="12">
        <v>47992.559468170766</v>
      </c>
      <c r="X27">
        <v>1</v>
      </c>
      <c r="Y27">
        <v>1</v>
      </c>
      <c r="Z27" s="15">
        <v>0.30803425674463891</v>
      </c>
      <c r="AA27" t="str">
        <f t="shared" si="0"/>
        <v>1-CT</v>
      </c>
      <c r="AB27" s="9">
        <f t="shared" si="1"/>
        <v>55000</v>
      </c>
      <c r="AC27" s="9">
        <f t="shared" si="2"/>
        <v>154017.12837231945</v>
      </c>
    </row>
    <row r="28" spans="1:29" x14ac:dyDescent="0.25">
      <c r="A28" t="s">
        <v>29</v>
      </c>
      <c r="B28">
        <v>30012</v>
      </c>
      <c r="C28" s="8">
        <v>45580</v>
      </c>
      <c r="D28" s="9">
        <v>321600</v>
      </c>
      <c r="E28" s="10">
        <v>9</v>
      </c>
      <c r="F28" t="s">
        <v>60</v>
      </c>
      <c r="G28" s="11">
        <v>6</v>
      </c>
      <c r="H28" t="s">
        <v>31</v>
      </c>
      <c r="J28" s="12">
        <v>0</v>
      </c>
      <c r="L28" t="s">
        <v>38</v>
      </c>
      <c r="M28" s="13">
        <v>500000</v>
      </c>
      <c r="N28" s="14">
        <v>11</v>
      </c>
      <c r="P28" s="14">
        <v>1</v>
      </c>
      <c r="Q28" s="15">
        <v>0.11</v>
      </c>
      <c r="R28" s="12">
        <v>25000</v>
      </c>
      <c r="S28" s="12">
        <v>1</v>
      </c>
      <c r="T28" s="12">
        <v>0</v>
      </c>
      <c r="U28" s="12">
        <v>20100</v>
      </c>
      <c r="V28" s="12">
        <v>1</v>
      </c>
      <c r="W28" s="12">
        <v>47992.559468170766</v>
      </c>
      <c r="X28">
        <v>1</v>
      </c>
      <c r="Y28">
        <v>1</v>
      </c>
      <c r="Z28" s="15">
        <v>0.30803425674463891</v>
      </c>
      <c r="AA28" t="str">
        <f t="shared" si="0"/>
        <v>1-CT</v>
      </c>
      <c r="AB28" s="9">
        <f t="shared" si="1"/>
        <v>55000</v>
      </c>
      <c r="AC28" s="9">
        <f t="shared" si="2"/>
        <v>154017.12837231945</v>
      </c>
    </row>
    <row r="29" spans="1:29" x14ac:dyDescent="0.25">
      <c r="A29" t="s">
        <v>29</v>
      </c>
      <c r="B29">
        <v>30012</v>
      </c>
      <c r="C29" s="8">
        <v>45579</v>
      </c>
      <c r="D29" s="9">
        <v>321600</v>
      </c>
      <c r="E29" s="10">
        <v>9</v>
      </c>
      <c r="F29" t="s">
        <v>45</v>
      </c>
      <c r="G29" s="11">
        <v>6</v>
      </c>
      <c r="H29" t="s">
        <v>31</v>
      </c>
      <c r="J29" s="12">
        <v>0</v>
      </c>
      <c r="L29" t="s">
        <v>61</v>
      </c>
      <c r="M29" s="13">
        <v>500000</v>
      </c>
      <c r="N29" s="14">
        <v>11</v>
      </c>
      <c r="P29" s="14">
        <v>1</v>
      </c>
      <c r="Q29" s="15">
        <v>0.11</v>
      </c>
      <c r="R29" s="12">
        <v>25000</v>
      </c>
      <c r="S29" s="12">
        <v>1</v>
      </c>
      <c r="T29" s="12">
        <v>0</v>
      </c>
      <c r="U29" s="12">
        <v>20100</v>
      </c>
      <c r="V29" s="12">
        <v>1</v>
      </c>
      <c r="W29" s="12">
        <v>47992.559468170766</v>
      </c>
      <c r="X29">
        <v>1</v>
      </c>
      <c r="Y29">
        <v>1</v>
      </c>
      <c r="Z29" s="15">
        <v>0.30803425674463891</v>
      </c>
      <c r="AA29" t="str">
        <f t="shared" si="0"/>
        <v>1-CT</v>
      </c>
      <c r="AB29" s="9">
        <f t="shared" si="1"/>
        <v>55000</v>
      </c>
      <c r="AC29" s="9">
        <f t="shared" si="2"/>
        <v>154017.12837231945</v>
      </c>
    </row>
    <row r="30" spans="1:29" x14ac:dyDescent="0.25">
      <c r="A30" t="s">
        <v>29</v>
      </c>
      <c r="B30">
        <v>30012</v>
      </c>
      <c r="C30" s="8">
        <v>45649</v>
      </c>
      <c r="D30" s="9">
        <v>321620</v>
      </c>
      <c r="E30" s="10">
        <v>2</v>
      </c>
      <c r="F30" t="s">
        <v>62</v>
      </c>
      <c r="G30" s="11">
        <v>6</v>
      </c>
      <c r="H30" t="s">
        <v>31</v>
      </c>
      <c r="J30" s="12">
        <v>0</v>
      </c>
      <c r="L30" t="s">
        <v>38</v>
      </c>
      <c r="M30" s="13">
        <v>445000</v>
      </c>
      <c r="N30" s="14">
        <v>12</v>
      </c>
      <c r="P30" s="14">
        <v>1</v>
      </c>
      <c r="Q30" s="15">
        <v>0.105</v>
      </c>
      <c r="R30" s="12">
        <v>25000</v>
      </c>
      <c r="S30" s="12">
        <v>1</v>
      </c>
      <c r="T30" s="12">
        <v>0</v>
      </c>
      <c r="U30" s="12">
        <v>19132</v>
      </c>
      <c r="V30" s="12">
        <v>1</v>
      </c>
      <c r="W30" s="12">
        <v>39226.128287939464</v>
      </c>
      <c r="X30">
        <v>1</v>
      </c>
      <c r="Y30">
        <v>1</v>
      </c>
      <c r="Z30" s="15">
        <v>0.3074303303914841</v>
      </c>
      <c r="AA30" t="str">
        <f t="shared" si="0"/>
        <v>1-CT</v>
      </c>
      <c r="AB30" s="9">
        <f t="shared" si="1"/>
        <v>46725</v>
      </c>
      <c r="AC30" s="9">
        <f t="shared" si="2"/>
        <v>136806.49702421043</v>
      </c>
    </row>
    <row r="31" spans="1:29" x14ac:dyDescent="0.25">
      <c r="A31" t="s">
        <v>29</v>
      </c>
      <c r="B31">
        <v>30012</v>
      </c>
      <c r="C31" s="8">
        <v>45566</v>
      </c>
      <c r="D31" s="9">
        <v>321600</v>
      </c>
      <c r="E31" s="10">
        <v>9</v>
      </c>
      <c r="F31" t="s">
        <v>63</v>
      </c>
      <c r="G31" s="11">
        <v>6</v>
      </c>
      <c r="H31" t="s">
        <v>31</v>
      </c>
      <c r="J31" s="12">
        <v>0</v>
      </c>
      <c r="L31" t="s">
        <v>32</v>
      </c>
      <c r="M31" s="13">
        <v>717000</v>
      </c>
      <c r="N31" s="14">
        <v>11</v>
      </c>
      <c r="P31" s="14">
        <v>1</v>
      </c>
      <c r="Q31" s="15">
        <v>0.11</v>
      </c>
      <c r="R31" s="12">
        <v>40000</v>
      </c>
      <c r="S31" s="12">
        <v>1</v>
      </c>
      <c r="T31" s="12">
        <v>0</v>
      </c>
      <c r="U31" s="12">
        <v>23919.200000000001</v>
      </c>
      <c r="V31" s="12">
        <v>1</v>
      </c>
      <c r="W31" s="12">
        <v>68821.330277356872</v>
      </c>
      <c r="X31">
        <v>1</v>
      </c>
      <c r="Y31">
        <v>1</v>
      </c>
      <c r="Z31" s="15">
        <v>0.30556020846393334</v>
      </c>
      <c r="AA31" t="str">
        <f t="shared" si="0"/>
        <v>1-CT</v>
      </c>
      <c r="AB31" s="9">
        <f t="shared" si="1"/>
        <v>78870</v>
      </c>
      <c r="AC31" s="9">
        <f t="shared" si="2"/>
        <v>219086.6694686402</v>
      </c>
    </row>
    <row r="32" spans="1:29" x14ac:dyDescent="0.25">
      <c r="A32" t="s">
        <v>29</v>
      </c>
      <c r="B32">
        <v>30012</v>
      </c>
      <c r="C32" s="8">
        <v>45638</v>
      </c>
      <c r="D32" s="9">
        <v>321620</v>
      </c>
      <c r="E32" s="10">
        <v>2</v>
      </c>
      <c r="F32" t="s">
        <v>64</v>
      </c>
      <c r="G32" s="11">
        <v>6</v>
      </c>
      <c r="H32" t="s">
        <v>31</v>
      </c>
      <c r="J32" s="12">
        <v>0</v>
      </c>
      <c r="L32" t="s">
        <v>32</v>
      </c>
      <c r="M32" s="13">
        <v>300000</v>
      </c>
      <c r="N32" s="14">
        <v>12</v>
      </c>
      <c r="P32" s="14">
        <v>1</v>
      </c>
      <c r="Q32" s="15">
        <v>0.105</v>
      </c>
      <c r="R32" s="12">
        <v>25000</v>
      </c>
      <c r="S32" s="12">
        <v>1</v>
      </c>
      <c r="T32" s="12">
        <v>0</v>
      </c>
      <c r="U32" s="12">
        <v>4300</v>
      </c>
      <c r="V32" s="12">
        <v>1</v>
      </c>
      <c r="W32" s="12">
        <v>26444.580868273802</v>
      </c>
      <c r="X32">
        <v>1</v>
      </c>
      <c r="Y32">
        <v>1</v>
      </c>
      <c r="Z32" s="15">
        <v>0.30411443510920444</v>
      </c>
      <c r="AA32" t="str">
        <f t="shared" si="0"/>
        <v>1-CT</v>
      </c>
      <c r="AB32" s="9">
        <f t="shared" si="1"/>
        <v>31500</v>
      </c>
      <c r="AC32" s="9">
        <f t="shared" si="2"/>
        <v>91234.330532761334</v>
      </c>
    </row>
    <row r="33" spans="1:29" x14ac:dyDescent="0.25">
      <c r="A33" t="s">
        <v>29</v>
      </c>
      <c r="B33">
        <v>30012</v>
      </c>
      <c r="C33" s="8">
        <v>45649</v>
      </c>
      <c r="D33" s="9">
        <v>321620</v>
      </c>
      <c r="E33" s="10">
        <v>2</v>
      </c>
      <c r="F33" t="s">
        <v>65</v>
      </c>
      <c r="G33" s="11">
        <v>6</v>
      </c>
      <c r="H33" t="s">
        <v>31</v>
      </c>
      <c r="J33" s="12">
        <v>0</v>
      </c>
      <c r="L33" t="s">
        <v>38</v>
      </c>
      <c r="M33" s="13">
        <v>500000</v>
      </c>
      <c r="N33" s="14">
        <v>12</v>
      </c>
      <c r="P33" s="14">
        <v>1</v>
      </c>
      <c r="Q33" s="15">
        <v>0.11</v>
      </c>
      <c r="R33" s="12">
        <v>27500</v>
      </c>
      <c r="S33" s="12">
        <v>1</v>
      </c>
      <c r="T33" s="12">
        <v>0</v>
      </c>
      <c r="U33" s="12">
        <v>20100</v>
      </c>
      <c r="V33" s="12">
        <v>1</v>
      </c>
      <c r="W33" s="12">
        <v>44190.829260802013</v>
      </c>
      <c r="X33">
        <v>1</v>
      </c>
      <c r="Y33">
        <v>1</v>
      </c>
      <c r="Z33" s="15">
        <v>0.30393685049638031</v>
      </c>
      <c r="AA33" t="str">
        <f t="shared" si="0"/>
        <v>1-CT</v>
      </c>
      <c r="AB33" s="9">
        <f t="shared" si="1"/>
        <v>55000</v>
      </c>
      <c r="AC33" s="9">
        <f t="shared" si="2"/>
        <v>151968.42524819015</v>
      </c>
    </row>
    <row r="34" spans="1:29" x14ac:dyDescent="0.25">
      <c r="A34" t="s">
        <v>29</v>
      </c>
      <c r="B34">
        <v>30012</v>
      </c>
      <c r="C34" s="8">
        <v>45643</v>
      </c>
      <c r="D34" s="9">
        <v>321620</v>
      </c>
      <c r="E34" s="10">
        <v>2</v>
      </c>
      <c r="F34" t="s">
        <v>66</v>
      </c>
      <c r="G34" s="11">
        <v>6</v>
      </c>
      <c r="H34" t="s">
        <v>31</v>
      </c>
      <c r="J34" s="12">
        <v>0</v>
      </c>
      <c r="L34" t="s">
        <v>32</v>
      </c>
      <c r="M34" s="13">
        <v>470000</v>
      </c>
      <c r="N34" s="14">
        <v>12</v>
      </c>
      <c r="P34" s="14">
        <v>1</v>
      </c>
      <c r="Q34" s="15">
        <v>0.11</v>
      </c>
      <c r="R34" s="12">
        <v>25000</v>
      </c>
      <c r="S34" s="12">
        <v>1</v>
      </c>
      <c r="T34" s="12">
        <v>0</v>
      </c>
      <c r="U34" s="12">
        <v>19572</v>
      </c>
      <c r="V34" s="12">
        <v>1</v>
      </c>
      <c r="W34" s="12">
        <v>41539.379505153898</v>
      </c>
      <c r="X34">
        <v>1</v>
      </c>
      <c r="Y34">
        <v>1</v>
      </c>
      <c r="Z34" s="15">
        <v>0.30313473944755254</v>
      </c>
      <c r="AA34" t="str">
        <f t="shared" si="0"/>
        <v>1-CT</v>
      </c>
      <c r="AB34" s="9">
        <f t="shared" si="1"/>
        <v>51700</v>
      </c>
      <c r="AC34" s="9">
        <f t="shared" si="2"/>
        <v>142473.32754034968</v>
      </c>
    </row>
    <row r="35" spans="1:29" x14ac:dyDescent="0.25">
      <c r="A35" t="s">
        <v>29</v>
      </c>
      <c r="B35">
        <v>30012</v>
      </c>
      <c r="C35" s="8">
        <v>45569</v>
      </c>
      <c r="D35" s="9">
        <v>321600</v>
      </c>
      <c r="E35" s="10">
        <v>9</v>
      </c>
      <c r="F35" t="s">
        <v>67</v>
      </c>
      <c r="G35" s="11">
        <v>6</v>
      </c>
      <c r="H35" t="s">
        <v>31</v>
      </c>
      <c r="J35" s="12">
        <v>0</v>
      </c>
      <c r="L35" t="s">
        <v>40</v>
      </c>
      <c r="M35" s="13">
        <v>735000</v>
      </c>
      <c r="N35" s="14">
        <v>11</v>
      </c>
      <c r="P35" s="14">
        <v>1</v>
      </c>
      <c r="Q35" s="15">
        <v>0.11</v>
      </c>
      <c r="R35" s="12">
        <v>40000</v>
      </c>
      <c r="S35" s="12">
        <v>1</v>
      </c>
      <c r="T35" s="12">
        <v>0</v>
      </c>
      <c r="U35" s="12">
        <v>24236</v>
      </c>
      <c r="V35" s="12">
        <v>1</v>
      </c>
      <c r="W35" s="12">
        <v>70549.062418211019</v>
      </c>
      <c r="X35">
        <v>1</v>
      </c>
      <c r="Y35">
        <v>1</v>
      </c>
      <c r="Z35" s="15">
        <v>0.3014483487624452</v>
      </c>
      <c r="AA35" t="str">
        <f t="shared" si="0"/>
        <v>1-CT</v>
      </c>
      <c r="AB35" s="9">
        <f t="shared" si="1"/>
        <v>80850</v>
      </c>
      <c r="AC35" s="9">
        <f t="shared" si="2"/>
        <v>221564.53634039723</v>
      </c>
    </row>
    <row r="36" spans="1:29" x14ac:dyDescent="0.25">
      <c r="A36" t="s">
        <v>29</v>
      </c>
      <c r="B36">
        <v>30012</v>
      </c>
      <c r="C36" s="8">
        <v>45566</v>
      </c>
      <c r="D36" s="9">
        <v>321600</v>
      </c>
      <c r="E36" s="10">
        <v>9</v>
      </c>
      <c r="F36" t="s">
        <v>35</v>
      </c>
      <c r="G36" s="11">
        <v>6</v>
      </c>
      <c r="H36" t="s">
        <v>31</v>
      </c>
      <c r="J36" s="12">
        <v>0</v>
      </c>
      <c r="L36" t="s">
        <v>32</v>
      </c>
      <c r="M36" s="13">
        <v>1030000</v>
      </c>
      <c r="N36" s="14">
        <v>11</v>
      </c>
      <c r="P36" s="14">
        <v>1</v>
      </c>
      <c r="Q36" s="15">
        <v>0.11</v>
      </c>
      <c r="R36" s="12">
        <v>60000</v>
      </c>
      <c r="S36" s="12">
        <v>1</v>
      </c>
      <c r="T36" s="12">
        <v>0</v>
      </c>
      <c r="U36" s="12">
        <v>29428</v>
      </c>
      <c r="V36" s="12">
        <v>1</v>
      </c>
      <c r="W36" s="12">
        <v>98864.672504431772</v>
      </c>
      <c r="X36">
        <v>1</v>
      </c>
      <c r="Y36">
        <v>1</v>
      </c>
      <c r="Z36" s="15">
        <v>0.30010711949966323</v>
      </c>
      <c r="AA36" t="str">
        <f t="shared" si="0"/>
        <v>1-CT</v>
      </c>
      <c r="AB36" s="9">
        <f t="shared" si="1"/>
        <v>113300</v>
      </c>
      <c r="AC36" s="9">
        <f t="shared" si="2"/>
        <v>309110.33308465313</v>
      </c>
    </row>
    <row r="37" spans="1:29" x14ac:dyDescent="0.25">
      <c r="A37" t="s">
        <v>29</v>
      </c>
      <c r="B37">
        <v>30012</v>
      </c>
      <c r="C37" s="8">
        <v>45646</v>
      </c>
      <c r="D37" s="9">
        <v>321620</v>
      </c>
      <c r="E37" s="10">
        <v>2</v>
      </c>
      <c r="F37" t="s">
        <v>68</v>
      </c>
      <c r="G37" s="11">
        <v>6</v>
      </c>
      <c r="H37" t="s">
        <v>31</v>
      </c>
      <c r="J37" s="12">
        <v>0</v>
      </c>
      <c r="L37" t="s">
        <v>40</v>
      </c>
      <c r="M37" s="13">
        <v>470000</v>
      </c>
      <c r="N37" s="14">
        <v>12</v>
      </c>
      <c r="P37" s="14">
        <v>1</v>
      </c>
      <c r="Q37" s="15">
        <v>0.105</v>
      </c>
      <c r="R37" s="12">
        <v>25000</v>
      </c>
      <c r="S37" s="12">
        <v>1</v>
      </c>
      <c r="T37" s="12">
        <v>0</v>
      </c>
      <c r="U37" s="12">
        <v>19572</v>
      </c>
      <c r="V37" s="12">
        <v>1</v>
      </c>
      <c r="W37" s="12">
        <v>41429.843360295614</v>
      </c>
      <c r="X37">
        <v>1</v>
      </c>
      <c r="Y37">
        <v>1</v>
      </c>
      <c r="Z37" s="15">
        <v>0.29790108908660556</v>
      </c>
      <c r="AA37" t="str">
        <f t="shared" si="0"/>
        <v>1-CT</v>
      </c>
      <c r="AB37" s="9">
        <f t="shared" si="1"/>
        <v>49350</v>
      </c>
      <c r="AC37" s="9">
        <f t="shared" si="2"/>
        <v>140013.51187070462</v>
      </c>
    </row>
    <row r="38" spans="1:29" x14ac:dyDescent="0.25">
      <c r="A38" t="s">
        <v>29</v>
      </c>
      <c r="B38">
        <v>30012</v>
      </c>
      <c r="C38" s="8">
        <v>45581</v>
      </c>
      <c r="D38" s="9">
        <v>321600</v>
      </c>
      <c r="E38" s="10">
        <v>9</v>
      </c>
      <c r="F38" t="s">
        <v>69</v>
      </c>
      <c r="G38" s="11">
        <v>6</v>
      </c>
      <c r="H38" t="s">
        <v>31</v>
      </c>
      <c r="J38" s="12">
        <v>0</v>
      </c>
      <c r="L38" t="s">
        <v>32</v>
      </c>
      <c r="M38" s="13">
        <v>1050000</v>
      </c>
      <c r="N38" s="14">
        <v>11</v>
      </c>
      <c r="P38" s="14">
        <v>1</v>
      </c>
      <c r="Q38" s="15">
        <v>0.11</v>
      </c>
      <c r="R38" s="12">
        <v>60000</v>
      </c>
      <c r="S38" s="12">
        <v>1</v>
      </c>
      <c r="T38" s="12">
        <v>0</v>
      </c>
      <c r="U38" s="12">
        <v>29780</v>
      </c>
      <c r="V38" s="12">
        <v>1</v>
      </c>
      <c r="W38" s="12">
        <v>100784.37488315861</v>
      </c>
      <c r="X38">
        <v>1</v>
      </c>
      <c r="Y38">
        <v>1</v>
      </c>
      <c r="Z38" s="15">
        <v>0.29702344498173733</v>
      </c>
      <c r="AA38" t="str">
        <f t="shared" si="0"/>
        <v>1-CT</v>
      </c>
      <c r="AB38" s="9">
        <f t="shared" si="1"/>
        <v>115500</v>
      </c>
      <c r="AC38" s="9">
        <f t="shared" si="2"/>
        <v>311874.61723082419</v>
      </c>
    </row>
    <row r="39" spans="1:29" x14ac:dyDescent="0.25">
      <c r="A39" t="s">
        <v>29</v>
      </c>
      <c r="B39">
        <v>30012</v>
      </c>
      <c r="C39" s="8">
        <v>45567</v>
      </c>
      <c r="D39" s="9">
        <v>321600</v>
      </c>
      <c r="E39" s="10">
        <v>9</v>
      </c>
      <c r="F39" t="s">
        <v>70</v>
      </c>
      <c r="G39" s="11">
        <v>6</v>
      </c>
      <c r="H39" t="s">
        <v>31</v>
      </c>
      <c r="J39" s="12">
        <v>0</v>
      </c>
      <c r="L39" t="s">
        <v>71</v>
      </c>
      <c r="M39" s="13">
        <v>1050000</v>
      </c>
      <c r="N39" s="14">
        <v>11</v>
      </c>
      <c r="P39" s="14">
        <v>1</v>
      </c>
      <c r="Q39" s="15">
        <v>0.11</v>
      </c>
      <c r="R39" s="12">
        <v>60000</v>
      </c>
      <c r="S39" s="12">
        <v>1</v>
      </c>
      <c r="T39" s="12">
        <v>0</v>
      </c>
      <c r="U39" s="12">
        <v>29780</v>
      </c>
      <c r="V39" s="12">
        <v>1</v>
      </c>
      <c r="W39" s="12">
        <v>100784.37488315861</v>
      </c>
      <c r="X39">
        <v>1</v>
      </c>
      <c r="Y39">
        <v>1</v>
      </c>
      <c r="Z39" s="15">
        <v>0.29702344498173733</v>
      </c>
      <c r="AA39" t="str">
        <f t="shared" si="0"/>
        <v>1-CT</v>
      </c>
      <c r="AB39" s="9">
        <f t="shared" si="1"/>
        <v>115500</v>
      </c>
      <c r="AC39" s="9">
        <f t="shared" si="2"/>
        <v>311874.61723082419</v>
      </c>
    </row>
    <row r="40" spans="1:29" x14ac:dyDescent="0.25">
      <c r="A40" t="s">
        <v>29</v>
      </c>
      <c r="B40">
        <v>30012</v>
      </c>
      <c r="C40" s="8">
        <v>45586</v>
      </c>
      <c r="D40" s="9">
        <v>321600</v>
      </c>
      <c r="E40" s="10">
        <v>9</v>
      </c>
      <c r="F40" t="s">
        <v>72</v>
      </c>
      <c r="G40" s="11">
        <v>6</v>
      </c>
      <c r="H40" t="s">
        <v>31</v>
      </c>
      <c r="J40" s="12">
        <v>0</v>
      </c>
      <c r="L40" t="s">
        <v>32</v>
      </c>
      <c r="M40" s="13">
        <v>757000</v>
      </c>
      <c r="N40" s="14">
        <v>11</v>
      </c>
      <c r="P40" s="14">
        <v>1</v>
      </c>
      <c r="Q40" s="15">
        <v>0.11</v>
      </c>
      <c r="R40" s="12">
        <v>40000</v>
      </c>
      <c r="S40" s="12">
        <v>1</v>
      </c>
      <c r="T40" s="12">
        <v>0</v>
      </c>
      <c r="U40" s="12">
        <v>24623.200000000001</v>
      </c>
      <c r="V40" s="12">
        <v>1</v>
      </c>
      <c r="W40" s="12">
        <v>72660.735034810539</v>
      </c>
      <c r="X40">
        <v>1</v>
      </c>
      <c r="Y40">
        <v>1</v>
      </c>
      <c r="Z40" s="15">
        <v>0.29670281430769563</v>
      </c>
      <c r="AA40" t="str">
        <f t="shared" si="0"/>
        <v>1-CT</v>
      </c>
      <c r="AB40" s="9">
        <f t="shared" si="1"/>
        <v>83270</v>
      </c>
      <c r="AC40" s="9">
        <f t="shared" si="2"/>
        <v>224604.0304309256</v>
      </c>
    </row>
    <row r="41" spans="1:29" x14ac:dyDescent="0.25">
      <c r="A41" t="s">
        <v>29</v>
      </c>
      <c r="B41">
        <v>30012</v>
      </c>
      <c r="C41" s="8">
        <v>45596</v>
      </c>
      <c r="D41" s="9">
        <v>321600</v>
      </c>
      <c r="E41" s="10">
        <v>9</v>
      </c>
      <c r="F41" t="s">
        <v>58</v>
      </c>
      <c r="G41" s="11">
        <v>6</v>
      </c>
      <c r="H41" t="s">
        <v>31</v>
      </c>
      <c r="J41" s="12">
        <v>0</v>
      </c>
      <c r="L41" t="s">
        <v>34</v>
      </c>
      <c r="M41" s="13">
        <v>760000</v>
      </c>
      <c r="N41" s="14">
        <v>11</v>
      </c>
      <c r="P41" s="14">
        <v>1</v>
      </c>
      <c r="Q41" s="15">
        <v>0.11</v>
      </c>
      <c r="R41" s="12">
        <v>40000</v>
      </c>
      <c r="S41" s="12">
        <v>1</v>
      </c>
      <c r="T41" s="12">
        <v>0</v>
      </c>
      <c r="U41" s="12">
        <v>24676</v>
      </c>
      <c r="V41" s="12">
        <v>1</v>
      </c>
      <c r="W41" s="12">
        <v>72948.690391619559</v>
      </c>
      <c r="X41">
        <v>1</v>
      </c>
      <c r="Y41">
        <v>1</v>
      </c>
      <c r="Z41" s="15">
        <v>0.29607814097805896</v>
      </c>
      <c r="AA41" t="str">
        <f t="shared" si="0"/>
        <v>1-CT</v>
      </c>
      <c r="AB41" s="9">
        <f t="shared" si="1"/>
        <v>83600</v>
      </c>
      <c r="AC41" s="9">
        <f t="shared" si="2"/>
        <v>225019.3871433248</v>
      </c>
    </row>
    <row r="42" spans="1:29" x14ac:dyDescent="0.25">
      <c r="A42" t="s">
        <v>29</v>
      </c>
      <c r="B42">
        <v>30012</v>
      </c>
      <c r="C42" s="8">
        <v>45586</v>
      </c>
      <c r="D42" s="9">
        <v>321600</v>
      </c>
      <c r="E42" s="10">
        <v>2</v>
      </c>
      <c r="F42" t="s">
        <v>73</v>
      </c>
      <c r="G42" s="11">
        <v>6</v>
      </c>
      <c r="H42" t="s">
        <v>31</v>
      </c>
      <c r="J42" s="12">
        <v>0</v>
      </c>
      <c r="L42" t="s">
        <v>38</v>
      </c>
      <c r="M42" s="13">
        <v>1650000</v>
      </c>
      <c r="N42" s="14">
        <v>4</v>
      </c>
      <c r="P42" s="14">
        <v>1</v>
      </c>
      <c r="Q42" s="15">
        <v>9.0999999999999998E-2</v>
      </c>
      <c r="R42" s="12">
        <v>49500</v>
      </c>
      <c r="S42" s="12">
        <v>1</v>
      </c>
      <c r="T42" s="12">
        <v>0</v>
      </c>
      <c r="U42" s="12">
        <v>17800</v>
      </c>
      <c r="V42" s="12">
        <v>1</v>
      </c>
      <c r="W42" s="12">
        <v>420349.8521751645</v>
      </c>
      <c r="X42">
        <v>1</v>
      </c>
      <c r="Y42">
        <v>1</v>
      </c>
      <c r="Z42" s="15">
        <v>0.29573542436434713</v>
      </c>
      <c r="AA42" t="str">
        <f t="shared" si="0"/>
        <v>1-CT</v>
      </c>
      <c r="AB42" s="9">
        <f t="shared" si="1"/>
        <v>150150</v>
      </c>
      <c r="AC42" s="9">
        <f t="shared" si="2"/>
        <v>487963.45020117279</v>
      </c>
    </row>
    <row r="43" spans="1:29" x14ac:dyDescent="0.25">
      <c r="A43" t="s">
        <v>29</v>
      </c>
      <c r="B43">
        <v>30012</v>
      </c>
      <c r="C43" s="8">
        <v>45656</v>
      </c>
      <c r="D43" s="9">
        <v>321620</v>
      </c>
      <c r="E43" s="10">
        <v>2</v>
      </c>
      <c r="F43" t="s">
        <v>57</v>
      </c>
      <c r="G43" s="11">
        <v>6</v>
      </c>
      <c r="H43" t="s">
        <v>31</v>
      </c>
      <c r="J43" s="12">
        <v>0</v>
      </c>
      <c r="L43" t="s">
        <v>36</v>
      </c>
      <c r="M43" s="13">
        <v>480000</v>
      </c>
      <c r="N43" s="14">
        <v>12</v>
      </c>
      <c r="P43" s="14">
        <v>1</v>
      </c>
      <c r="Q43" s="15">
        <v>0.105</v>
      </c>
      <c r="R43" s="12">
        <v>25000</v>
      </c>
      <c r="S43" s="12">
        <v>1</v>
      </c>
      <c r="T43" s="12">
        <v>0</v>
      </c>
      <c r="U43" s="12">
        <v>19748</v>
      </c>
      <c r="V43" s="12">
        <v>1</v>
      </c>
      <c r="W43" s="12">
        <v>42311.329389238083</v>
      </c>
      <c r="X43">
        <v>1</v>
      </c>
      <c r="Y43">
        <v>1</v>
      </c>
      <c r="Z43" s="15">
        <v>0.29438436866100309</v>
      </c>
      <c r="AA43" t="str">
        <f t="shared" si="0"/>
        <v>1-CT</v>
      </c>
      <c r="AB43" s="9">
        <f t="shared" si="1"/>
        <v>50400</v>
      </c>
      <c r="AC43" s="9">
        <f t="shared" si="2"/>
        <v>141304.49695728149</v>
      </c>
    </row>
    <row r="44" spans="1:29" x14ac:dyDescent="0.25">
      <c r="A44" t="s">
        <v>29</v>
      </c>
      <c r="B44">
        <v>30012</v>
      </c>
      <c r="C44" s="8">
        <v>45574</v>
      </c>
      <c r="D44" s="9">
        <v>321600</v>
      </c>
      <c r="E44" s="10">
        <v>9</v>
      </c>
      <c r="F44" t="s">
        <v>74</v>
      </c>
      <c r="G44" s="11">
        <v>6</v>
      </c>
      <c r="H44" t="s">
        <v>31</v>
      </c>
      <c r="J44" s="12">
        <v>0</v>
      </c>
      <c r="L44" t="s">
        <v>38</v>
      </c>
      <c r="M44" s="13">
        <v>1080000</v>
      </c>
      <c r="N44" s="14">
        <v>11</v>
      </c>
      <c r="P44" s="14">
        <v>1</v>
      </c>
      <c r="Q44" s="15">
        <v>0.11</v>
      </c>
      <c r="R44" s="12">
        <v>60000</v>
      </c>
      <c r="S44" s="12">
        <v>1</v>
      </c>
      <c r="T44" s="12">
        <v>0</v>
      </c>
      <c r="U44" s="12">
        <v>30308</v>
      </c>
      <c r="V44" s="12">
        <v>1</v>
      </c>
      <c r="W44" s="12">
        <v>103663.92845124885</v>
      </c>
      <c r="X44">
        <v>1</v>
      </c>
      <c r="Y44">
        <v>1</v>
      </c>
      <c r="Z44" s="15">
        <v>0.29262345630780884</v>
      </c>
      <c r="AA44" t="str">
        <f t="shared" si="0"/>
        <v>1-CT</v>
      </c>
      <c r="AB44" s="9">
        <f t="shared" si="1"/>
        <v>118800</v>
      </c>
      <c r="AC44" s="9">
        <f t="shared" si="2"/>
        <v>316033.33281243354</v>
      </c>
    </row>
    <row r="45" spans="1:29" x14ac:dyDescent="0.25">
      <c r="A45" t="s">
        <v>29</v>
      </c>
      <c r="B45">
        <v>30012</v>
      </c>
      <c r="C45" s="8">
        <v>45581</v>
      </c>
      <c r="D45" s="9">
        <v>321600</v>
      </c>
      <c r="E45" s="10">
        <v>9</v>
      </c>
      <c r="F45" t="s">
        <v>75</v>
      </c>
      <c r="G45" s="11">
        <v>6</v>
      </c>
      <c r="H45" t="s">
        <v>31</v>
      </c>
      <c r="J45" s="12">
        <v>0</v>
      </c>
      <c r="L45" t="s">
        <v>38</v>
      </c>
      <c r="M45" s="13">
        <v>780000</v>
      </c>
      <c r="N45" s="14">
        <v>11</v>
      </c>
      <c r="P45" s="14">
        <v>1</v>
      </c>
      <c r="Q45" s="15">
        <v>0.11</v>
      </c>
      <c r="R45" s="12">
        <v>40000</v>
      </c>
      <c r="S45" s="12">
        <v>1</v>
      </c>
      <c r="T45" s="12">
        <v>0</v>
      </c>
      <c r="U45" s="12">
        <v>25028</v>
      </c>
      <c r="V45" s="12">
        <v>1</v>
      </c>
      <c r="W45" s="12">
        <v>74868.3927703464</v>
      </c>
      <c r="X45">
        <v>1</v>
      </c>
      <c r="Y45">
        <v>1</v>
      </c>
      <c r="Z45" s="15">
        <v>0.29204294836223782</v>
      </c>
      <c r="AA45" t="str">
        <f t="shared" si="0"/>
        <v>1-CT</v>
      </c>
      <c r="AB45" s="9">
        <f t="shared" si="1"/>
        <v>85800</v>
      </c>
      <c r="AC45" s="9">
        <f t="shared" si="2"/>
        <v>227793.4997225455</v>
      </c>
    </row>
    <row r="46" spans="1:29" x14ac:dyDescent="0.25">
      <c r="A46" t="s">
        <v>29</v>
      </c>
      <c r="B46">
        <v>30012</v>
      </c>
      <c r="C46" s="8">
        <v>45601</v>
      </c>
      <c r="D46" s="9">
        <v>321600</v>
      </c>
      <c r="E46" s="10">
        <v>9</v>
      </c>
      <c r="F46" t="s">
        <v>72</v>
      </c>
      <c r="G46" s="11">
        <v>6</v>
      </c>
      <c r="H46" t="s">
        <v>31</v>
      </c>
      <c r="J46" s="12">
        <v>0</v>
      </c>
      <c r="L46" t="s">
        <v>34</v>
      </c>
      <c r="M46" s="13">
        <v>1090000</v>
      </c>
      <c r="N46" s="14">
        <v>11</v>
      </c>
      <c r="P46" s="14">
        <v>1</v>
      </c>
      <c r="Q46" s="15">
        <v>0.11</v>
      </c>
      <c r="R46" s="12">
        <v>60000</v>
      </c>
      <c r="S46" s="12">
        <v>1</v>
      </c>
      <c r="T46" s="12">
        <v>0</v>
      </c>
      <c r="U46" s="12">
        <v>30484</v>
      </c>
      <c r="V46" s="12">
        <v>1</v>
      </c>
      <c r="W46" s="12">
        <v>104623.77964061227</v>
      </c>
      <c r="X46">
        <v>1</v>
      </c>
      <c r="Y46">
        <v>1</v>
      </c>
      <c r="Z46" s="15">
        <v>0.29121344666030458</v>
      </c>
      <c r="AA46" t="str">
        <f t="shared" si="0"/>
        <v>1-CT</v>
      </c>
      <c r="AB46" s="9">
        <f t="shared" si="1"/>
        <v>119900</v>
      </c>
      <c r="AC46" s="9">
        <f t="shared" si="2"/>
        <v>317422.656859732</v>
      </c>
    </row>
    <row r="47" spans="1:29" x14ac:dyDescent="0.25">
      <c r="A47" t="s">
        <v>29</v>
      </c>
      <c r="B47">
        <v>30012</v>
      </c>
      <c r="C47" s="8">
        <v>45637</v>
      </c>
      <c r="D47" s="9">
        <v>321620</v>
      </c>
      <c r="E47" s="10">
        <v>2</v>
      </c>
      <c r="F47" t="s">
        <v>76</v>
      </c>
      <c r="G47" s="11">
        <v>6</v>
      </c>
      <c r="H47" t="s">
        <v>31</v>
      </c>
      <c r="J47" s="12">
        <v>0</v>
      </c>
      <c r="L47" t="s">
        <v>32</v>
      </c>
      <c r="M47" s="13">
        <v>490000</v>
      </c>
      <c r="N47" s="14">
        <v>12</v>
      </c>
      <c r="P47" s="14">
        <v>1</v>
      </c>
      <c r="Q47" s="15">
        <v>0.105</v>
      </c>
      <c r="R47" s="12">
        <v>25000</v>
      </c>
      <c r="S47" s="12">
        <v>1</v>
      </c>
      <c r="T47" s="12">
        <v>0</v>
      </c>
      <c r="U47" s="12">
        <v>19924</v>
      </c>
      <c r="V47" s="12">
        <v>1</v>
      </c>
      <c r="W47" s="12">
        <v>43192.815418180544</v>
      </c>
      <c r="X47">
        <v>1</v>
      </c>
      <c r="Y47">
        <v>1</v>
      </c>
      <c r="Z47" s="15">
        <v>0.29101978782371474</v>
      </c>
      <c r="AA47" t="str">
        <f t="shared" si="0"/>
        <v>1-CT</v>
      </c>
      <c r="AB47" s="9">
        <f t="shared" si="1"/>
        <v>51450</v>
      </c>
      <c r="AC47" s="9">
        <f t="shared" si="2"/>
        <v>142599.69603362022</v>
      </c>
    </row>
    <row r="48" spans="1:29" x14ac:dyDescent="0.25">
      <c r="A48" t="s">
        <v>29</v>
      </c>
      <c r="B48">
        <v>30012</v>
      </c>
      <c r="C48" s="8">
        <v>45574</v>
      </c>
      <c r="D48" s="9">
        <v>321600</v>
      </c>
      <c r="E48" s="10">
        <v>9</v>
      </c>
      <c r="F48" t="s">
        <v>77</v>
      </c>
      <c r="G48" s="11">
        <v>6</v>
      </c>
      <c r="H48" t="s">
        <v>31</v>
      </c>
      <c r="J48" s="12">
        <v>0</v>
      </c>
      <c r="L48" t="s">
        <v>40</v>
      </c>
      <c r="M48" s="13">
        <v>1095000</v>
      </c>
      <c r="N48" s="14">
        <v>11</v>
      </c>
      <c r="P48" s="14">
        <v>1</v>
      </c>
      <c r="Q48" s="15">
        <v>0.11</v>
      </c>
      <c r="R48" s="12">
        <v>60000</v>
      </c>
      <c r="S48" s="12">
        <v>1</v>
      </c>
      <c r="T48" s="12">
        <v>0</v>
      </c>
      <c r="U48" s="12">
        <v>30572</v>
      </c>
      <c r="V48" s="12">
        <v>1</v>
      </c>
      <c r="W48" s="12">
        <v>105103.70523529398</v>
      </c>
      <c r="X48">
        <v>1</v>
      </c>
      <c r="Y48">
        <v>1</v>
      </c>
      <c r="Z48" s="15">
        <v>0.29051860471961805</v>
      </c>
      <c r="AA48" t="str">
        <f t="shared" si="0"/>
        <v>1-CT</v>
      </c>
      <c r="AB48" s="9">
        <f t="shared" si="1"/>
        <v>120450</v>
      </c>
      <c r="AC48" s="9">
        <f t="shared" si="2"/>
        <v>318117.87216798175</v>
      </c>
    </row>
    <row r="49" spans="1:29" x14ac:dyDescent="0.25">
      <c r="A49" t="s">
        <v>29</v>
      </c>
      <c r="B49">
        <v>30012</v>
      </c>
      <c r="C49" s="8">
        <v>45567</v>
      </c>
      <c r="D49" s="9">
        <v>321600</v>
      </c>
      <c r="E49" s="10">
        <v>9</v>
      </c>
      <c r="F49" t="s">
        <v>57</v>
      </c>
      <c r="G49" s="11">
        <v>6</v>
      </c>
      <c r="H49" t="s">
        <v>31</v>
      </c>
      <c r="J49" s="12">
        <v>0</v>
      </c>
      <c r="L49" t="s">
        <v>38</v>
      </c>
      <c r="M49" s="13">
        <v>1096000</v>
      </c>
      <c r="N49" s="14">
        <v>11</v>
      </c>
      <c r="P49" s="14">
        <v>1</v>
      </c>
      <c r="Q49" s="15">
        <v>0.11</v>
      </c>
      <c r="R49" s="12">
        <v>60000</v>
      </c>
      <c r="S49" s="12">
        <v>1</v>
      </c>
      <c r="T49" s="12">
        <v>0</v>
      </c>
      <c r="U49" s="12">
        <v>30589.599999999999</v>
      </c>
      <c r="V49" s="12">
        <v>1</v>
      </c>
      <c r="W49" s="12">
        <v>105199.69035423032</v>
      </c>
      <c r="X49">
        <v>1</v>
      </c>
      <c r="Y49">
        <v>1</v>
      </c>
      <c r="Z49" s="15">
        <v>0.29038043686696924</v>
      </c>
      <c r="AA49" t="str">
        <f t="shared" si="0"/>
        <v>1-CT</v>
      </c>
      <c r="AB49" s="9">
        <f t="shared" si="1"/>
        <v>120560</v>
      </c>
      <c r="AC49" s="9">
        <f t="shared" si="2"/>
        <v>318256.95880619826</v>
      </c>
    </row>
    <row r="50" spans="1:29" x14ac:dyDescent="0.25">
      <c r="A50" t="s">
        <v>29</v>
      </c>
      <c r="B50">
        <v>30012</v>
      </c>
      <c r="C50" s="8">
        <v>45594</v>
      </c>
      <c r="D50" s="9">
        <v>321600</v>
      </c>
      <c r="E50" s="10">
        <v>9</v>
      </c>
      <c r="F50" t="s">
        <v>78</v>
      </c>
      <c r="G50" s="11">
        <v>6</v>
      </c>
      <c r="H50" t="s">
        <v>31</v>
      </c>
      <c r="J50" s="12">
        <v>0</v>
      </c>
      <c r="L50" t="s">
        <v>32</v>
      </c>
      <c r="M50" s="13">
        <v>1100000</v>
      </c>
      <c r="N50" s="14">
        <v>11</v>
      </c>
      <c r="P50" s="14">
        <v>1</v>
      </c>
      <c r="Q50" s="15">
        <v>0.11</v>
      </c>
      <c r="R50" s="12">
        <v>60000</v>
      </c>
      <c r="S50" s="12">
        <v>1</v>
      </c>
      <c r="T50" s="12">
        <v>0</v>
      </c>
      <c r="U50" s="12">
        <v>30660</v>
      </c>
      <c r="V50" s="12">
        <v>1</v>
      </c>
      <c r="W50" s="12">
        <v>105583.63082997569</v>
      </c>
      <c r="X50">
        <v>1</v>
      </c>
      <c r="Y50">
        <v>1</v>
      </c>
      <c r="Z50" s="15">
        <v>0.28983040837471802</v>
      </c>
      <c r="AA50" t="str">
        <f t="shared" si="0"/>
        <v>1-CT</v>
      </c>
      <c r="AB50" s="9">
        <f t="shared" si="1"/>
        <v>121000</v>
      </c>
      <c r="AC50" s="9">
        <f t="shared" si="2"/>
        <v>318813.44921218982</v>
      </c>
    </row>
    <row r="51" spans="1:29" x14ac:dyDescent="0.25">
      <c r="A51" t="s">
        <v>29</v>
      </c>
      <c r="B51">
        <v>30012</v>
      </c>
      <c r="C51" s="8">
        <v>45595</v>
      </c>
      <c r="D51" s="9">
        <v>321600</v>
      </c>
      <c r="E51" s="10">
        <v>9</v>
      </c>
      <c r="F51" t="s">
        <v>79</v>
      </c>
      <c r="G51" s="11">
        <v>6</v>
      </c>
      <c r="H51" t="s">
        <v>31</v>
      </c>
      <c r="J51" s="12">
        <v>0</v>
      </c>
      <c r="L51" t="s">
        <v>32</v>
      </c>
      <c r="M51" s="13">
        <v>1100000</v>
      </c>
      <c r="N51" s="14">
        <v>11</v>
      </c>
      <c r="P51" s="14">
        <v>1</v>
      </c>
      <c r="Q51" s="15">
        <v>0.11</v>
      </c>
      <c r="R51" s="12">
        <v>60000</v>
      </c>
      <c r="S51" s="12">
        <v>1</v>
      </c>
      <c r="T51" s="12">
        <v>0</v>
      </c>
      <c r="U51" s="12">
        <v>30660</v>
      </c>
      <c r="V51" s="12">
        <v>1</v>
      </c>
      <c r="W51" s="12">
        <v>105583.63082997569</v>
      </c>
      <c r="X51">
        <v>1</v>
      </c>
      <c r="Y51">
        <v>1</v>
      </c>
      <c r="Z51" s="15">
        <v>0.28983040837471802</v>
      </c>
      <c r="AA51" t="str">
        <f t="shared" si="0"/>
        <v>1-CT</v>
      </c>
      <c r="AB51" s="9">
        <f t="shared" si="1"/>
        <v>121000</v>
      </c>
      <c r="AC51" s="9">
        <f t="shared" si="2"/>
        <v>318813.44921218982</v>
      </c>
    </row>
    <row r="52" spans="1:29" x14ac:dyDescent="0.25">
      <c r="A52" t="s">
        <v>29</v>
      </c>
      <c r="B52">
        <v>30012</v>
      </c>
      <c r="C52" s="8">
        <v>45652</v>
      </c>
      <c r="D52" s="9">
        <v>321620</v>
      </c>
      <c r="E52" s="10">
        <v>2</v>
      </c>
      <c r="F52" t="s">
        <v>80</v>
      </c>
      <c r="G52" s="11">
        <v>6</v>
      </c>
      <c r="H52" t="s">
        <v>31</v>
      </c>
      <c r="J52" s="12">
        <v>0</v>
      </c>
      <c r="L52" t="s">
        <v>32</v>
      </c>
      <c r="M52" s="13">
        <v>495000</v>
      </c>
      <c r="N52" s="14">
        <v>12</v>
      </c>
      <c r="P52" s="14">
        <v>1</v>
      </c>
      <c r="Q52" s="15">
        <v>0.105</v>
      </c>
      <c r="R52" s="12">
        <v>25000</v>
      </c>
      <c r="S52" s="12">
        <v>1</v>
      </c>
      <c r="T52" s="12">
        <v>0</v>
      </c>
      <c r="U52" s="12">
        <v>20012</v>
      </c>
      <c r="V52" s="12">
        <v>1</v>
      </c>
      <c r="W52" s="12">
        <v>43633.558432651771</v>
      </c>
      <c r="X52">
        <v>1</v>
      </c>
      <c r="Y52">
        <v>1</v>
      </c>
      <c r="Z52" s="15">
        <v>0.28939149572826073</v>
      </c>
      <c r="AA52" t="str">
        <f t="shared" si="0"/>
        <v>1-CT</v>
      </c>
      <c r="AB52" s="9">
        <f t="shared" si="1"/>
        <v>51975</v>
      </c>
      <c r="AC52" s="9">
        <f t="shared" si="2"/>
        <v>143248.79038548906</v>
      </c>
    </row>
    <row r="53" spans="1:29" x14ac:dyDescent="0.25">
      <c r="A53" t="s">
        <v>29</v>
      </c>
      <c r="B53">
        <v>30012</v>
      </c>
      <c r="C53" s="8">
        <v>45575</v>
      </c>
      <c r="D53" s="9">
        <v>321600</v>
      </c>
      <c r="E53" s="10">
        <v>9</v>
      </c>
      <c r="F53" t="s">
        <v>41</v>
      </c>
      <c r="G53" s="11">
        <v>6</v>
      </c>
      <c r="H53" t="s">
        <v>31</v>
      </c>
      <c r="J53" s="12">
        <v>0</v>
      </c>
      <c r="L53" t="s">
        <v>38</v>
      </c>
      <c r="M53" s="13">
        <v>800000</v>
      </c>
      <c r="N53" s="14">
        <v>11</v>
      </c>
      <c r="P53" s="14">
        <v>1</v>
      </c>
      <c r="Q53" s="15">
        <v>0.11</v>
      </c>
      <c r="R53" s="12">
        <v>40000</v>
      </c>
      <c r="S53" s="12">
        <v>1</v>
      </c>
      <c r="T53" s="12">
        <v>0</v>
      </c>
      <c r="U53" s="12">
        <v>25380</v>
      </c>
      <c r="V53" s="12">
        <v>1</v>
      </c>
      <c r="W53" s="12">
        <v>76788.095149073226</v>
      </c>
      <c r="X53">
        <v>1</v>
      </c>
      <c r="Y53">
        <v>1</v>
      </c>
      <c r="Z53" s="15">
        <v>0.28821990408712095</v>
      </c>
      <c r="AA53" t="str">
        <f t="shared" si="0"/>
        <v>1-CT</v>
      </c>
      <c r="AB53" s="9">
        <f t="shared" si="1"/>
        <v>88000</v>
      </c>
      <c r="AC53" s="9">
        <f t="shared" si="2"/>
        <v>230575.92326969677</v>
      </c>
    </row>
    <row r="54" spans="1:29" x14ac:dyDescent="0.25">
      <c r="A54" t="s">
        <v>29</v>
      </c>
      <c r="B54">
        <v>30012</v>
      </c>
      <c r="C54" s="8">
        <v>45579</v>
      </c>
      <c r="D54" s="9">
        <v>321600</v>
      </c>
      <c r="E54" s="10">
        <v>9</v>
      </c>
      <c r="F54" t="s">
        <v>55</v>
      </c>
      <c r="G54" s="11">
        <v>6</v>
      </c>
      <c r="H54" t="s">
        <v>31</v>
      </c>
      <c r="J54" s="12">
        <v>0</v>
      </c>
      <c r="L54" t="s">
        <v>40</v>
      </c>
      <c r="M54" s="13">
        <v>800000</v>
      </c>
      <c r="N54" s="14">
        <v>11</v>
      </c>
      <c r="P54" s="14">
        <v>1</v>
      </c>
      <c r="Q54" s="15">
        <v>0.11</v>
      </c>
      <c r="R54" s="12">
        <v>40000</v>
      </c>
      <c r="S54" s="12">
        <v>1</v>
      </c>
      <c r="T54" s="12">
        <v>0</v>
      </c>
      <c r="U54" s="12">
        <v>25380</v>
      </c>
      <c r="V54" s="12">
        <v>1</v>
      </c>
      <c r="W54" s="12">
        <v>76788.095149073226</v>
      </c>
      <c r="X54">
        <v>1</v>
      </c>
      <c r="Y54">
        <v>1</v>
      </c>
      <c r="Z54" s="15">
        <v>0.28821990408712095</v>
      </c>
      <c r="AA54" t="str">
        <f t="shared" si="0"/>
        <v>1-CT</v>
      </c>
      <c r="AB54" s="9">
        <f t="shared" si="1"/>
        <v>88000</v>
      </c>
      <c r="AC54" s="9">
        <f t="shared" si="2"/>
        <v>230575.92326969677</v>
      </c>
    </row>
    <row r="55" spans="1:29" x14ac:dyDescent="0.25">
      <c r="A55" t="s">
        <v>29</v>
      </c>
      <c r="B55">
        <v>30012</v>
      </c>
      <c r="C55" s="8">
        <v>45595</v>
      </c>
      <c r="D55" s="9">
        <v>321600</v>
      </c>
      <c r="E55" s="10">
        <v>9</v>
      </c>
      <c r="F55" t="s">
        <v>81</v>
      </c>
      <c r="G55" s="11">
        <v>6</v>
      </c>
      <c r="H55" t="s">
        <v>31</v>
      </c>
      <c r="J55" s="12">
        <v>0</v>
      </c>
      <c r="L55" t="s">
        <v>32</v>
      </c>
      <c r="M55" s="13">
        <v>800000</v>
      </c>
      <c r="N55" s="14">
        <v>11</v>
      </c>
      <c r="P55" s="14">
        <v>1</v>
      </c>
      <c r="Q55" s="15">
        <v>0.11</v>
      </c>
      <c r="R55" s="12">
        <v>40000</v>
      </c>
      <c r="S55" s="12">
        <v>1</v>
      </c>
      <c r="T55" s="12">
        <v>0</v>
      </c>
      <c r="U55" s="12">
        <v>25380</v>
      </c>
      <c r="V55" s="12">
        <v>1</v>
      </c>
      <c r="W55" s="12">
        <v>76788.095149073226</v>
      </c>
      <c r="X55">
        <v>1</v>
      </c>
      <c r="Y55">
        <v>1</v>
      </c>
      <c r="Z55" s="15">
        <v>0.28821990408712095</v>
      </c>
      <c r="AA55" t="str">
        <f t="shared" si="0"/>
        <v>1-CT</v>
      </c>
      <c r="AB55" s="9">
        <f t="shared" si="1"/>
        <v>88000</v>
      </c>
      <c r="AC55" s="9">
        <f t="shared" si="2"/>
        <v>230575.92326969677</v>
      </c>
    </row>
    <row r="56" spans="1:29" x14ac:dyDescent="0.25">
      <c r="A56" t="s">
        <v>29</v>
      </c>
      <c r="B56">
        <v>30012</v>
      </c>
      <c r="C56" s="8">
        <v>45642</v>
      </c>
      <c r="D56" s="9">
        <v>321677</v>
      </c>
      <c r="E56" s="10">
        <v>9</v>
      </c>
      <c r="F56" t="s">
        <v>82</v>
      </c>
      <c r="G56" s="11">
        <v>6</v>
      </c>
      <c r="H56" t="s">
        <v>31</v>
      </c>
      <c r="J56" s="12">
        <v>0</v>
      </c>
      <c r="L56" t="s">
        <v>40</v>
      </c>
      <c r="M56" s="13">
        <v>139479</v>
      </c>
      <c r="N56" s="14">
        <v>12</v>
      </c>
      <c r="P56" s="14">
        <v>1</v>
      </c>
      <c r="Q56" s="15">
        <v>0.09</v>
      </c>
      <c r="R56" s="12">
        <v>0</v>
      </c>
      <c r="S56" s="12">
        <v>1</v>
      </c>
      <c r="T56" s="12">
        <v>10907</v>
      </c>
      <c r="U56" s="12">
        <v>2694.79</v>
      </c>
      <c r="V56" s="12">
        <v>1</v>
      </c>
      <c r="W56" s="12">
        <v>12197.644528391871</v>
      </c>
      <c r="X56">
        <v>1</v>
      </c>
      <c r="Y56">
        <v>1</v>
      </c>
      <c r="Z56" s="15">
        <v>0.28806780843147839</v>
      </c>
      <c r="AA56" t="str">
        <f t="shared" si="0"/>
        <v>1-CT</v>
      </c>
      <c r="AB56" s="9">
        <f t="shared" si="1"/>
        <v>12553.109999999999</v>
      </c>
      <c r="AC56" s="9">
        <f t="shared" si="2"/>
        <v>40179.409852214172</v>
      </c>
    </row>
    <row r="57" spans="1:29" x14ac:dyDescent="0.25">
      <c r="A57" t="s">
        <v>29</v>
      </c>
      <c r="B57">
        <v>30012</v>
      </c>
      <c r="C57" s="8">
        <v>45645</v>
      </c>
      <c r="D57" s="9">
        <v>321620</v>
      </c>
      <c r="E57" s="10">
        <v>2</v>
      </c>
      <c r="F57" t="s">
        <v>83</v>
      </c>
      <c r="G57" s="11">
        <v>6</v>
      </c>
      <c r="H57" t="s">
        <v>31</v>
      </c>
      <c r="J57" s="12">
        <v>0</v>
      </c>
      <c r="L57" t="s">
        <v>32</v>
      </c>
      <c r="M57" s="13">
        <v>500000</v>
      </c>
      <c r="N57" s="14">
        <v>12</v>
      </c>
      <c r="P57" s="14">
        <v>1</v>
      </c>
      <c r="Q57" s="15">
        <v>0.105</v>
      </c>
      <c r="R57" s="12">
        <v>25000</v>
      </c>
      <c r="S57" s="12">
        <v>1</v>
      </c>
      <c r="T57" s="12">
        <v>0</v>
      </c>
      <c r="U57" s="12">
        <v>20100</v>
      </c>
      <c r="V57" s="12">
        <v>1</v>
      </c>
      <c r="W57" s="12">
        <v>44074.301447122998</v>
      </c>
      <c r="X57">
        <v>1</v>
      </c>
      <c r="Y57">
        <v>1</v>
      </c>
      <c r="Z57" s="15">
        <v>0.28779767728203559</v>
      </c>
      <c r="AA57" t="str">
        <f t="shared" si="0"/>
        <v>1-CT</v>
      </c>
      <c r="AB57" s="9">
        <f t="shared" si="1"/>
        <v>52500</v>
      </c>
      <c r="AC57" s="9">
        <f t="shared" si="2"/>
        <v>143898.83864101779</v>
      </c>
    </row>
    <row r="58" spans="1:29" x14ac:dyDescent="0.25">
      <c r="A58" t="s">
        <v>29</v>
      </c>
      <c r="B58">
        <v>30012</v>
      </c>
      <c r="C58" s="8">
        <v>45638</v>
      </c>
      <c r="D58" s="9">
        <v>321620</v>
      </c>
      <c r="E58" s="10">
        <v>2</v>
      </c>
      <c r="F58" t="s">
        <v>62</v>
      </c>
      <c r="G58" s="11">
        <v>6</v>
      </c>
      <c r="H58" t="s">
        <v>31</v>
      </c>
      <c r="J58" s="12">
        <v>0</v>
      </c>
      <c r="L58" t="s">
        <v>32</v>
      </c>
      <c r="M58" s="13">
        <v>500000</v>
      </c>
      <c r="N58" s="14">
        <v>12</v>
      </c>
      <c r="P58" s="14">
        <v>1</v>
      </c>
      <c r="Q58" s="15">
        <v>0.105</v>
      </c>
      <c r="R58" s="12">
        <v>25000</v>
      </c>
      <c r="S58" s="12">
        <v>1</v>
      </c>
      <c r="T58" s="12">
        <v>0</v>
      </c>
      <c r="U58" s="12">
        <v>20100</v>
      </c>
      <c r="V58" s="12">
        <v>1</v>
      </c>
      <c r="W58" s="12">
        <v>44074.301447122998</v>
      </c>
      <c r="X58">
        <v>1</v>
      </c>
      <c r="Y58">
        <v>1</v>
      </c>
      <c r="Z58" s="15">
        <v>0.28779767728203559</v>
      </c>
      <c r="AA58" t="str">
        <f t="shared" si="0"/>
        <v>1-CT</v>
      </c>
      <c r="AB58" s="9">
        <f t="shared" si="1"/>
        <v>52500</v>
      </c>
      <c r="AC58" s="9">
        <f t="shared" si="2"/>
        <v>143898.83864101779</v>
      </c>
    </row>
    <row r="59" spans="1:29" x14ac:dyDescent="0.25">
      <c r="A59" t="s">
        <v>29</v>
      </c>
      <c r="B59">
        <v>30012</v>
      </c>
      <c r="C59" s="8">
        <v>45632</v>
      </c>
      <c r="D59" s="9">
        <v>321620</v>
      </c>
      <c r="E59" s="10">
        <v>2</v>
      </c>
      <c r="F59" t="s">
        <v>84</v>
      </c>
      <c r="G59" s="11">
        <v>6</v>
      </c>
      <c r="H59" t="s">
        <v>31</v>
      </c>
      <c r="J59" s="12">
        <v>0</v>
      </c>
      <c r="L59" t="s">
        <v>32</v>
      </c>
      <c r="M59" s="13">
        <v>500000</v>
      </c>
      <c r="N59" s="14">
        <v>12</v>
      </c>
      <c r="P59" s="14">
        <v>1</v>
      </c>
      <c r="Q59" s="15">
        <v>0.105</v>
      </c>
      <c r="R59" s="12">
        <v>25000</v>
      </c>
      <c r="S59" s="12">
        <v>1</v>
      </c>
      <c r="T59" s="12">
        <v>0</v>
      </c>
      <c r="U59" s="12">
        <v>20100</v>
      </c>
      <c r="V59" s="12">
        <v>1</v>
      </c>
      <c r="W59" s="12">
        <v>44074.301447122998</v>
      </c>
      <c r="X59">
        <v>1</v>
      </c>
      <c r="Y59">
        <v>1</v>
      </c>
      <c r="Z59" s="15">
        <v>0.28779767728203559</v>
      </c>
      <c r="AA59" t="str">
        <f t="shared" si="0"/>
        <v>1-CT</v>
      </c>
      <c r="AB59" s="9">
        <f t="shared" si="1"/>
        <v>52500</v>
      </c>
      <c r="AC59" s="9">
        <f t="shared" si="2"/>
        <v>143898.83864101779</v>
      </c>
    </row>
    <row r="60" spans="1:29" x14ac:dyDescent="0.25">
      <c r="A60" t="s">
        <v>29</v>
      </c>
      <c r="B60">
        <v>30012</v>
      </c>
      <c r="C60" s="8">
        <v>45636</v>
      </c>
      <c r="D60" s="9">
        <v>321620</v>
      </c>
      <c r="E60" s="10">
        <v>2</v>
      </c>
      <c r="F60" t="s">
        <v>85</v>
      </c>
      <c r="G60" s="11">
        <v>6</v>
      </c>
      <c r="H60" t="s">
        <v>31</v>
      </c>
      <c r="J60" s="12">
        <v>0</v>
      </c>
      <c r="L60" t="s">
        <v>36</v>
      </c>
      <c r="M60" s="13">
        <v>500000</v>
      </c>
      <c r="N60" s="14">
        <v>12</v>
      </c>
      <c r="P60" s="14">
        <v>1</v>
      </c>
      <c r="Q60" s="15">
        <v>0.105</v>
      </c>
      <c r="R60" s="12">
        <v>25000</v>
      </c>
      <c r="S60" s="12">
        <v>1</v>
      </c>
      <c r="T60" s="12">
        <v>0</v>
      </c>
      <c r="U60" s="12">
        <v>20100</v>
      </c>
      <c r="V60" s="12">
        <v>1</v>
      </c>
      <c r="W60" s="12">
        <v>44074.301447122998</v>
      </c>
      <c r="X60">
        <v>1</v>
      </c>
      <c r="Y60">
        <v>1</v>
      </c>
      <c r="Z60" s="15">
        <v>0.28779767728203559</v>
      </c>
      <c r="AA60" t="str">
        <f t="shared" si="0"/>
        <v>1-CT</v>
      </c>
      <c r="AB60" s="9">
        <f t="shared" si="1"/>
        <v>52500</v>
      </c>
      <c r="AC60" s="9">
        <f t="shared" si="2"/>
        <v>143898.83864101779</v>
      </c>
    </row>
    <row r="61" spans="1:29" x14ac:dyDescent="0.25">
      <c r="A61" t="s">
        <v>29</v>
      </c>
      <c r="B61">
        <v>30012</v>
      </c>
      <c r="C61" s="8">
        <v>45632</v>
      </c>
      <c r="D61" s="9">
        <v>321620</v>
      </c>
      <c r="E61" s="10">
        <v>2</v>
      </c>
      <c r="F61" t="s">
        <v>86</v>
      </c>
      <c r="G61" s="11">
        <v>6</v>
      </c>
      <c r="H61" t="s">
        <v>31</v>
      </c>
      <c r="J61" s="12">
        <v>0</v>
      </c>
      <c r="L61" t="s">
        <v>32</v>
      </c>
      <c r="M61" s="13">
        <v>500000</v>
      </c>
      <c r="N61" s="14">
        <v>12</v>
      </c>
      <c r="P61" s="14">
        <v>1</v>
      </c>
      <c r="Q61" s="15">
        <v>0.105</v>
      </c>
      <c r="R61" s="12">
        <v>25000</v>
      </c>
      <c r="S61" s="12">
        <v>1</v>
      </c>
      <c r="T61" s="12">
        <v>0</v>
      </c>
      <c r="U61" s="12">
        <v>20100</v>
      </c>
      <c r="V61" s="12">
        <v>1</v>
      </c>
      <c r="W61" s="12">
        <v>44074.301447122998</v>
      </c>
      <c r="X61">
        <v>1</v>
      </c>
      <c r="Y61">
        <v>1</v>
      </c>
      <c r="Z61" s="15">
        <v>0.28779767728203559</v>
      </c>
      <c r="AA61" t="str">
        <f t="shared" si="0"/>
        <v>1-CT</v>
      </c>
      <c r="AB61" s="9">
        <f t="shared" si="1"/>
        <v>52500</v>
      </c>
      <c r="AC61" s="9">
        <f t="shared" si="2"/>
        <v>143898.83864101779</v>
      </c>
    </row>
    <row r="62" spans="1:29" x14ac:dyDescent="0.25">
      <c r="A62" t="s">
        <v>29</v>
      </c>
      <c r="B62">
        <v>30012</v>
      </c>
      <c r="C62" s="8">
        <v>45656</v>
      </c>
      <c r="D62" s="9">
        <v>321620</v>
      </c>
      <c r="E62" s="10">
        <v>2</v>
      </c>
      <c r="F62" t="s">
        <v>87</v>
      </c>
      <c r="G62" s="11">
        <v>6</v>
      </c>
      <c r="H62" t="s">
        <v>31</v>
      </c>
      <c r="J62" s="12">
        <v>0</v>
      </c>
      <c r="L62" t="s">
        <v>32</v>
      </c>
      <c r="M62" s="13">
        <v>500000</v>
      </c>
      <c r="N62" s="14">
        <v>12</v>
      </c>
      <c r="P62" s="14">
        <v>1</v>
      </c>
      <c r="Q62" s="15">
        <v>0.105</v>
      </c>
      <c r="R62" s="12">
        <v>25000</v>
      </c>
      <c r="S62" s="12">
        <v>1</v>
      </c>
      <c r="T62" s="12">
        <v>0</v>
      </c>
      <c r="U62" s="12">
        <v>20100</v>
      </c>
      <c r="V62" s="12">
        <v>1</v>
      </c>
      <c r="W62" s="12">
        <v>44074.301447122998</v>
      </c>
      <c r="X62">
        <v>1</v>
      </c>
      <c r="Y62">
        <v>1</v>
      </c>
      <c r="Z62" s="15">
        <v>0.28779767728203559</v>
      </c>
      <c r="AA62" t="str">
        <f t="shared" si="0"/>
        <v>1-CT</v>
      </c>
      <c r="AB62" s="9">
        <f t="shared" si="1"/>
        <v>52500</v>
      </c>
      <c r="AC62" s="9">
        <f t="shared" si="2"/>
        <v>143898.83864101779</v>
      </c>
    </row>
    <row r="63" spans="1:29" x14ac:dyDescent="0.25">
      <c r="A63" t="s">
        <v>29</v>
      </c>
      <c r="B63">
        <v>30012</v>
      </c>
      <c r="C63" s="8">
        <v>45656</v>
      </c>
      <c r="D63" s="9">
        <v>321620</v>
      </c>
      <c r="E63" s="10">
        <v>2</v>
      </c>
      <c r="F63" t="s">
        <v>88</v>
      </c>
      <c r="G63" s="11">
        <v>6</v>
      </c>
      <c r="H63" t="s">
        <v>31</v>
      </c>
      <c r="J63" s="12">
        <v>0</v>
      </c>
      <c r="L63" t="s">
        <v>32</v>
      </c>
      <c r="M63" s="13">
        <v>500000</v>
      </c>
      <c r="N63" s="14">
        <v>12</v>
      </c>
      <c r="P63" s="14">
        <v>1</v>
      </c>
      <c r="Q63" s="15">
        <v>0.105</v>
      </c>
      <c r="R63" s="12">
        <v>25000</v>
      </c>
      <c r="S63" s="12">
        <v>1</v>
      </c>
      <c r="T63" s="12">
        <v>0</v>
      </c>
      <c r="U63" s="12">
        <v>20100</v>
      </c>
      <c r="V63" s="12">
        <v>1</v>
      </c>
      <c r="W63" s="12">
        <v>44074.301447122998</v>
      </c>
      <c r="X63">
        <v>1</v>
      </c>
      <c r="Y63">
        <v>1</v>
      </c>
      <c r="Z63" s="15">
        <v>0.28779767728203559</v>
      </c>
      <c r="AA63" t="str">
        <f t="shared" si="0"/>
        <v>1-CT</v>
      </c>
      <c r="AB63" s="9">
        <f t="shared" si="1"/>
        <v>52500</v>
      </c>
      <c r="AC63" s="9">
        <f t="shared" si="2"/>
        <v>143898.83864101779</v>
      </c>
    </row>
    <row r="64" spans="1:29" x14ac:dyDescent="0.25">
      <c r="A64" t="s">
        <v>29</v>
      </c>
      <c r="B64">
        <v>30012</v>
      </c>
      <c r="C64" s="8">
        <v>45635</v>
      </c>
      <c r="D64" s="9">
        <v>321620</v>
      </c>
      <c r="E64" s="10">
        <v>2</v>
      </c>
      <c r="F64" t="s">
        <v>89</v>
      </c>
      <c r="G64" s="11">
        <v>6</v>
      </c>
      <c r="H64" t="s">
        <v>31</v>
      </c>
      <c r="J64" s="12">
        <v>0</v>
      </c>
      <c r="L64" t="s">
        <v>32</v>
      </c>
      <c r="M64" s="13">
        <v>500000</v>
      </c>
      <c r="N64" s="14">
        <v>12</v>
      </c>
      <c r="P64" s="14">
        <v>1</v>
      </c>
      <c r="Q64" s="15">
        <v>0.105</v>
      </c>
      <c r="R64" s="12">
        <v>25000</v>
      </c>
      <c r="S64" s="12">
        <v>1</v>
      </c>
      <c r="T64" s="12">
        <v>0</v>
      </c>
      <c r="U64" s="12">
        <v>20100</v>
      </c>
      <c r="V64" s="12">
        <v>1</v>
      </c>
      <c r="W64" s="12">
        <v>44074.301447122998</v>
      </c>
      <c r="X64">
        <v>1</v>
      </c>
      <c r="Y64">
        <v>1</v>
      </c>
      <c r="Z64" s="15">
        <v>0.28779767728203559</v>
      </c>
      <c r="AA64" t="str">
        <f t="shared" si="0"/>
        <v>1-CT</v>
      </c>
      <c r="AB64" s="9">
        <f t="shared" si="1"/>
        <v>52500</v>
      </c>
      <c r="AC64" s="9">
        <f t="shared" si="2"/>
        <v>143898.83864101779</v>
      </c>
    </row>
    <row r="65" spans="1:29" x14ac:dyDescent="0.25">
      <c r="A65" t="s">
        <v>29</v>
      </c>
      <c r="B65">
        <v>30012</v>
      </c>
      <c r="C65" s="8">
        <v>45632</v>
      </c>
      <c r="D65" s="9">
        <v>321620</v>
      </c>
      <c r="E65" s="10">
        <v>2</v>
      </c>
      <c r="F65" t="s">
        <v>77</v>
      </c>
      <c r="G65" s="11">
        <v>6</v>
      </c>
      <c r="H65" t="s">
        <v>31</v>
      </c>
      <c r="J65" s="12">
        <v>0</v>
      </c>
      <c r="L65" t="s">
        <v>32</v>
      </c>
      <c r="M65" s="13">
        <v>501000</v>
      </c>
      <c r="N65" s="14">
        <v>12</v>
      </c>
      <c r="P65" s="14">
        <v>1</v>
      </c>
      <c r="Q65" s="15">
        <v>0.105</v>
      </c>
      <c r="R65" s="12">
        <v>25000</v>
      </c>
      <c r="S65" s="12">
        <v>1</v>
      </c>
      <c r="T65" s="12">
        <v>0</v>
      </c>
      <c r="U65" s="12">
        <v>20117.599999999999</v>
      </c>
      <c r="V65" s="12">
        <v>1</v>
      </c>
      <c r="W65" s="12">
        <v>44162.450050017243</v>
      </c>
      <c r="X65">
        <v>1</v>
      </c>
      <c r="Y65">
        <v>1</v>
      </c>
      <c r="Z65" s="15">
        <v>0.28748295423672965</v>
      </c>
      <c r="AA65" t="str">
        <f t="shared" si="0"/>
        <v>1-CT</v>
      </c>
      <c r="AB65" s="9">
        <f t="shared" si="1"/>
        <v>52605</v>
      </c>
      <c r="AC65" s="9">
        <f t="shared" si="2"/>
        <v>144028.96007260156</v>
      </c>
    </row>
    <row r="66" spans="1:29" x14ac:dyDescent="0.25">
      <c r="A66" t="s">
        <v>29</v>
      </c>
      <c r="B66">
        <v>30012</v>
      </c>
      <c r="C66" s="8">
        <v>45638</v>
      </c>
      <c r="D66" s="9">
        <v>321620</v>
      </c>
      <c r="E66" s="10">
        <v>2</v>
      </c>
      <c r="F66" t="s">
        <v>90</v>
      </c>
      <c r="G66" s="11">
        <v>6</v>
      </c>
      <c r="H66" t="s">
        <v>31</v>
      </c>
      <c r="J66" s="12">
        <v>0</v>
      </c>
      <c r="L66" t="s">
        <v>32</v>
      </c>
      <c r="M66" s="13">
        <v>330000</v>
      </c>
      <c r="N66" s="14">
        <v>12</v>
      </c>
      <c r="P66" s="14">
        <v>1</v>
      </c>
      <c r="Q66" s="15">
        <v>0.105</v>
      </c>
      <c r="R66" s="12">
        <v>25000</v>
      </c>
      <c r="S66" s="12">
        <v>1</v>
      </c>
      <c r="T66" s="12">
        <v>0</v>
      </c>
      <c r="U66" s="12">
        <v>4600</v>
      </c>
      <c r="V66" s="12">
        <v>1</v>
      </c>
      <c r="W66" s="12">
        <v>29089.038955101179</v>
      </c>
      <c r="X66">
        <v>1</v>
      </c>
      <c r="Y66">
        <v>1</v>
      </c>
      <c r="Z66" s="15">
        <v>0.28670548680779384</v>
      </c>
      <c r="AA66" t="str">
        <f t="shared" si="0"/>
        <v>1-CT</v>
      </c>
      <c r="AB66" s="9">
        <f t="shared" si="1"/>
        <v>34650</v>
      </c>
      <c r="AC66" s="9">
        <f t="shared" si="2"/>
        <v>94612.810646571961</v>
      </c>
    </row>
    <row r="67" spans="1:29" x14ac:dyDescent="0.25">
      <c r="A67" t="s">
        <v>29</v>
      </c>
      <c r="B67">
        <v>30012</v>
      </c>
      <c r="C67" s="8">
        <v>45646</v>
      </c>
      <c r="D67" s="9">
        <v>321620</v>
      </c>
      <c r="E67" s="10">
        <v>2</v>
      </c>
      <c r="F67" t="s">
        <v>37</v>
      </c>
      <c r="G67" s="11">
        <v>6</v>
      </c>
      <c r="H67" t="s">
        <v>31</v>
      </c>
      <c r="J67" s="12">
        <v>0</v>
      </c>
      <c r="L67" t="s">
        <v>40</v>
      </c>
      <c r="M67" s="13">
        <v>505000</v>
      </c>
      <c r="N67" s="14">
        <v>12</v>
      </c>
      <c r="P67" s="14">
        <v>1</v>
      </c>
      <c r="Q67" s="15">
        <v>0.105</v>
      </c>
      <c r="R67" s="12">
        <v>25000</v>
      </c>
      <c r="S67" s="12">
        <v>1</v>
      </c>
      <c r="T67" s="12">
        <v>0</v>
      </c>
      <c r="U67" s="12">
        <v>20188</v>
      </c>
      <c r="V67" s="12">
        <v>1</v>
      </c>
      <c r="W67" s="12">
        <v>44515.044461594232</v>
      </c>
      <c r="X67">
        <v>1</v>
      </c>
      <c r="Y67">
        <v>1</v>
      </c>
      <c r="Z67" s="15">
        <v>0.28623724854227595</v>
      </c>
      <c r="AA67" t="str">
        <f t="shared" ref="AA67:AA130" si="3">IF(N67&lt;=24,"1-CT",IF(N67&gt;60,"3-LT","2-MT"))</f>
        <v>1-CT</v>
      </c>
      <c r="AB67" s="9">
        <f t="shared" ref="AB67:AB130" si="4">Q67*M67</f>
        <v>53025</v>
      </c>
      <c r="AC67" s="9">
        <f t="shared" ref="AC67:AC130" si="5">Z67*M67</f>
        <v>144549.81051384934</v>
      </c>
    </row>
    <row r="68" spans="1:29" x14ac:dyDescent="0.25">
      <c r="A68" t="s">
        <v>29</v>
      </c>
      <c r="B68">
        <v>30012</v>
      </c>
      <c r="C68" s="8">
        <v>45642</v>
      </c>
      <c r="D68" s="9">
        <v>321620</v>
      </c>
      <c r="E68" s="10">
        <v>2</v>
      </c>
      <c r="F68" t="s">
        <v>30</v>
      </c>
      <c r="G68" s="11">
        <v>6</v>
      </c>
      <c r="H68" t="s">
        <v>31</v>
      </c>
      <c r="J68" s="12">
        <v>0</v>
      </c>
      <c r="L68" t="s">
        <v>32</v>
      </c>
      <c r="M68" s="13">
        <v>505000</v>
      </c>
      <c r="N68" s="14">
        <v>12</v>
      </c>
      <c r="P68" s="14">
        <v>1</v>
      </c>
      <c r="Q68" s="15">
        <v>0.105</v>
      </c>
      <c r="R68" s="12">
        <v>25000</v>
      </c>
      <c r="S68" s="12">
        <v>1</v>
      </c>
      <c r="T68" s="12">
        <v>0</v>
      </c>
      <c r="U68" s="12">
        <v>20188</v>
      </c>
      <c r="V68" s="12">
        <v>1</v>
      </c>
      <c r="W68" s="12">
        <v>44515.044461594232</v>
      </c>
      <c r="X68">
        <v>1</v>
      </c>
      <c r="Y68">
        <v>1</v>
      </c>
      <c r="Z68" s="15">
        <v>0.28623724854227595</v>
      </c>
      <c r="AA68" t="str">
        <f t="shared" si="3"/>
        <v>1-CT</v>
      </c>
      <c r="AB68" s="9">
        <f t="shared" si="4"/>
        <v>53025</v>
      </c>
      <c r="AC68" s="9">
        <f t="shared" si="5"/>
        <v>144549.81051384934</v>
      </c>
    </row>
    <row r="69" spans="1:29" x14ac:dyDescent="0.25">
      <c r="A69" t="s">
        <v>29</v>
      </c>
      <c r="B69">
        <v>30012</v>
      </c>
      <c r="C69" s="8">
        <v>45594</v>
      </c>
      <c r="D69" s="9">
        <v>321600</v>
      </c>
      <c r="E69" s="10">
        <v>9</v>
      </c>
      <c r="F69" t="s">
        <v>91</v>
      </c>
      <c r="G69" s="11">
        <v>6</v>
      </c>
      <c r="H69" t="s">
        <v>31</v>
      </c>
      <c r="J69" s="12">
        <v>0</v>
      </c>
      <c r="L69" t="s">
        <v>32</v>
      </c>
      <c r="M69" s="13">
        <v>1130000</v>
      </c>
      <c r="N69" s="14">
        <v>11</v>
      </c>
      <c r="P69" s="14">
        <v>1</v>
      </c>
      <c r="Q69" s="15">
        <v>0.11</v>
      </c>
      <c r="R69" s="12">
        <v>60000</v>
      </c>
      <c r="S69" s="12">
        <v>1</v>
      </c>
      <c r="T69" s="12">
        <v>0</v>
      </c>
      <c r="U69" s="12">
        <v>31188</v>
      </c>
      <c r="V69" s="12">
        <v>1</v>
      </c>
      <c r="W69" s="12">
        <v>108463.18439806593</v>
      </c>
      <c r="X69">
        <v>1</v>
      </c>
      <c r="Y69">
        <v>1</v>
      </c>
      <c r="Z69" s="15">
        <v>0.28583559548927762</v>
      </c>
      <c r="AA69" t="str">
        <f t="shared" si="3"/>
        <v>1-CT</v>
      </c>
      <c r="AB69" s="9">
        <f t="shared" si="4"/>
        <v>124300</v>
      </c>
      <c r="AC69" s="9">
        <f t="shared" si="5"/>
        <v>322994.22290288372</v>
      </c>
    </row>
    <row r="70" spans="1:29" x14ac:dyDescent="0.25">
      <c r="A70" t="s">
        <v>29</v>
      </c>
      <c r="B70">
        <v>30012</v>
      </c>
      <c r="C70" s="8">
        <v>45649</v>
      </c>
      <c r="D70" s="9">
        <v>321620</v>
      </c>
      <c r="E70" s="10">
        <v>2</v>
      </c>
      <c r="F70" t="s">
        <v>92</v>
      </c>
      <c r="G70" s="11">
        <v>6</v>
      </c>
      <c r="H70" t="s">
        <v>31</v>
      </c>
      <c r="J70" s="12">
        <v>0</v>
      </c>
      <c r="L70" t="s">
        <v>32</v>
      </c>
      <c r="M70" s="13">
        <v>560000</v>
      </c>
      <c r="N70" s="14">
        <v>12</v>
      </c>
      <c r="P70" s="14">
        <v>1</v>
      </c>
      <c r="Q70" s="15">
        <v>0.11</v>
      </c>
      <c r="R70" s="12">
        <v>27500</v>
      </c>
      <c r="S70" s="12">
        <v>1</v>
      </c>
      <c r="T70" s="12">
        <v>0</v>
      </c>
      <c r="U70" s="12">
        <v>21156</v>
      </c>
      <c r="V70" s="12">
        <v>1</v>
      </c>
      <c r="W70" s="12">
        <v>49493.728772098257</v>
      </c>
      <c r="X70">
        <v>1</v>
      </c>
      <c r="Y70">
        <v>1</v>
      </c>
      <c r="Z70" s="15">
        <v>0.28583016161447777</v>
      </c>
      <c r="AA70" t="str">
        <f t="shared" si="3"/>
        <v>1-CT</v>
      </c>
      <c r="AB70" s="9">
        <f t="shared" si="4"/>
        <v>61600</v>
      </c>
      <c r="AC70" s="9">
        <f t="shared" si="5"/>
        <v>160064.89050410755</v>
      </c>
    </row>
    <row r="71" spans="1:29" x14ac:dyDescent="0.25">
      <c r="A71" t="s">
        <v>29</v>
      </c>
      <c r="B71">
        <v>30012</v>
      </c>
      <c r="C71" s="8">
        <v>45569</v>
      </c>
      <c r="D71" s="9">
        <v>321600</v>
      </c>
      <c r="E71" s="10">
        <v>9</v>
      </c>
      <c r="F71" t="s">
        <v>93</v>
      </c>
      <c r="G71" s="11">
        <v>6</v>
      </c>
      <c r="H71" t="s">
        <v>31</v>
      </c>
      <c r="J71" s="12">
        <v>0</v>
      </c>
      <c r="L71" t="s">
        <v>32</v>
      </c>
      <c r="M71" s="13">
        <v>578000</v>
      </c>
      <c r="N71" s="14">
        <v>11</v>
      </c>
      <c r="P71" s="14">
        <v>1</v>
      </c>
      <c r="Q71" s="15">
        <v>0.11</v>
      </c>
      <c r="R71" s="12">
        <v>25000</v>
      </c>
      <c r="S71" s="12">
        <v>1</v>
      </c>
      <c r="T71" s="12">
        <v>0</v>
      </c>
      <c r="U71" s="12">
        <v>21472.799999999999</v>
      </c>
      <c r="V71" s="12">
        <v>1</v>
      </c>
      <c r="W71" s="12">
        <v>55479.398745205413</v>
      </c>
      <c r="X71">
        <v>1</v>
      </c>
      <c r="Y71">
        <v>1</v>
      </c>
      <c r="Z71" s="15">
        <v>0.28515285820395897</v>
      </c>
      <c r="AA71" t="str">
        <f t="shared" si="3"/>
        <v>1-CT</v>
      </c>
      <c r="AB71" s="9">
        <f t="shared" si="4"/>
        <v>63580</v>
      </c>
      <c r="AC71" s="9">
        <f t="shared" si="5"/>
        <v>164818.35204188828</v>
      </c>
    </row>
    <row r="72" spans="1:29" x14ac:dyDescent="0.25">
      <c r="A72" t="s">
        <v>29</v>
      </c>
      <c r="B72">
        <v>30012</v>
      </c>
      <c r="C72" s="8">
        <v>45638</v>
      </c>
      <c r="D72" s="9">
        <v>321620</v>
      </c>
      <c r="E72" s="10">
        <v>2</v>
      </c>
      <c r="F72" t="s">
        <v>94</v>
      </c>
      <c r="G72" s="11">
        <v>6</v>
      </c>
      <c r="H72" t="s">
        <v>31</v>
      </c>
      <c r="J72" s="12">
        <v>0</v>
      </c>
      <c r="L72" t="s">
        <v>32</v>
      </c>
      <c r="M72" s="13">
        <v>510000</v>
      </c>
      <c r="N72" s="14">
        <v>12</v>
      </c>
      <c r="P72" s="14">
        <v>1</v>
      </c>
      <c r="Q72" s="15">
        <v>0.105</v>
      </c>
      <c r="R72" s="12">
        <v>25000</v>
      </c>
      <c r="S72" s="12">
        <v>1</v>
      </c>
      <c r="T72" s="12">
        <v>0</v>
      </c>
      <c r="U72" s="12">
        <v>20276</v>
      </c>
      <c r="V72" s="12">
        <v>1</v>
      </c>
      <c r="W72" s="12">
        <v>44955.787476065459</v>
      </c>
      <c r="X72">
        <v>1</v>
      </c>
      <c r="Y72">
        <v>1</v>
      </c>
      <c r="Z72" s="15">
        <v>0.28470917056206019</v>
      </c>
      <c r="AA72" t="str">
        <f t="shared" si="3"/>
        <v>1-CT</v>
      </c>
      <c r="AB72" s="9">
        <f t="shared" si="4"/>
        <v>53550</v>
      </c>
      <c r="AC72" s="9">
        <f t="shared" si="5"/>
        <v>145201.67698665071</v>
      </c>
    </row>
    <row r="73" spans="1:29" x14ac:dyDescent="0.25">
      <c r="A73" t="s">
        <v>29</v>
      </c>
      <c r="B73">
        <v>30012</v>
      </c>
      <c r="C73" s="8">
        <v>45574</v>
      </c>
      <c r="D73" s="9">
        <v>321600</v>
      </c>
      <c r="E73" s="10">
        <v>9</v>
      </c>
      <c r="F73" t="s">
        <v>85</v>
      </c>
      <c r="G73" s="11">
        <v>6</v>
      </c>
      <c r="H73" t="s">
        <v>31</v>
      </c>
      <c r="J73" s="12">
        <v>0</v>
      </c>
      <c r="L73" t="s">
        <v>40</v>
      </c>
      <c r="M73" s="13">
        <v>825000</v>
      </c>
      <c r="N73" s="14">
        <v>11</v>
      </c>
      <c r="P73" s="14">
        <v>1</v>
      </c>
      <c r="Q73" s="15">
        <v>0.11</v>
      </c>
      <c r="R73" s="12">
        <v>40000</v>
      </c>
      <c r="S73" s="12">
        <v>1</v>
      </c>
      <c r="T73" s="12">
        <v>0</v>
      </c>
      <c r="U73" s="12">
        <v>25820</v>
      </c>
      <c r="V73" s="12">
        <v>1</v>
      </c>
      <c r="W73" s="12">
        <v>79187.723122481751</v>
      </c>
      <c r="X73">
        <v>1</v>
      </c>
      <c r="Y73">
        <v>1</v>
      </c>
      <c r="Z73" s="15">
        <v>0.28371474521176854</v>
      </c>
      <c r="AA73" t="str">
        <f t="shared" si="3"/>
        <v>1-CT</v>
      </c>
      <c r="AB73" s="9">
        <f t="shared" si="4"/>
        <v>90750</v>
      </c>
      <c r="AC73" s="9">
        <f t="shared" si="5"/>
        <v>234064.66479970905</v>
      </c>
    </row>
    <row r="74" spans="1:29" x14ac:dyDescent="0.25">
      <c r="A74" t="s">
        <v>29</v>
      </c>
      <c r="B74">
        <v>30012</v>
      </c>
      <c r="C74" s="8">
        <v>45638</v>
      </c>
      <c r="D74" s="9">
        <v>321620</v>
      </c>
      <c r="E74" s="10">
        <v>2</v>
      </c>
      <c r="F74" t="s">
        <v>95</v>
      </c>
      <c r="G74" s="11">
        <v>6</v>
      </c>
      <c r="H74" t="s">
        <v>31</v>
      </c>
      <c r="J74" s="12">
        <v>0</v>
      </c>
      <c r="L74" t="s">
        <v>38</v>
      </c>
      <c r="M74" s="13">
        <v>380000</v>
      </c>
      <c r="N74" s="14">
        <v>12</v>
      </c>
      <c r="P74" s="14">
        <v>1</v>
      </c>
      <c r="Q74" s="15">
        <v>0.11</v>
      </c>
      <c r="R74" s="12">
        <v>27500</v>
      </c>
      <c r="S74" s="12">
        <v>1</v>
      </c>
      <c r="T74" s="12">
        <v>0</v>
      </c>
      <c r="U74" s="12">
        <v>5100</v>
      </c>
      <c r="V74" s="12">
        <v>1</v>
      </c>
      <c r="W74" s="12">
        <v>33585.030238209532</v>
      </c>
      <c r="X74">
        <v>1</v>
      </c>
      <c r="Y74">
        <v>1</v>
      </c>
      <c r="Z74" s="15">
        <v>0.2834608484762427</v>
      </c>
      <c r="AA74" t="str">
        <f t="shared" si="3"/>
        <v>1-CT</v>
      </c>
      <c r="AB74" s="9">
        <f t="shared" si="4"/>
        <v>41800</v>
      </c>
      <c r="AC74" s="9">
        <f t="shared" si="5"/>
        <v>107715.12242097223</v>
      </c>
    </row>
    <row r="75" spans="1:29" x14ac:dyDescent="0.25">
      <c r="A75" t="s">
        <v>29</v>
      </c>
      <c r="B75">
        <v>30012</v>
      </c>
      <c r="C75" s="8">
        <v>45574</v>
      </c>
      <c r="D75" s="9">
        <v>321600</v>
      </c>
      <c r="E75" s="10">
        <v>9</v>
      </c>
      <c r="F75" t="s">
        <v>66</v>
      </c>
      <c r="G75" s="11">
        <v>6</v>
      </c>
      <c r="H75" t="s">
        <v>31</v>
      </c>
      <c r="J75" s="12">
        <v>0</v>
      </c>
      <c r="L75" t="s">
        <v>96</v>
      </c>
      <c r="M75" s="13">
        <v>1150000</v>
      </c>
      <c r="N75" s="14">
        <v>11</v>
      </c>
      <c r="P75" s="14">
        <v>1</v>
      </c>
      <c r="Q75" s="15">
        <v>0.11</v>
      </c>
      <c r="R75" s="12">
        <v>60000</v>
      </c>
      <c r="S75" s="12">
        <v>1</v>
      </c>
      <c r="T75" s="12">
        <v>0</v>
      </c>
      <c r="U75" s="12">
        <v>31540</v>
      </c>
      <c r="V75" s="12">
        <v>1</v>
      </c>
      <c r="W75" s="12">
        <v>110382.88677679277</v>
      </c>
      <c r="X75">
        <v>1</v>
      </c>
      <c r="Y75">
        <v>1</v>
      </c>
      <c r="Z75" s="15">
        <v>0.28329392695440264</v>
      </c>
      <c r="AA75" t="str">
        <f t="shared" si="3"/>
        <v>1-CT</v>
      </c>
      <c r="AB75" s="9">
        <f t="shared" si="4"/>
        <v>126500</v>
      </c>
      <c r="AC75" s="9">
        <f t="shared" si="5"/>
        <v>325788.01599756302</v>
      </c>
    </row>
    <row r="76" spans="1:29" x14ac:dyDescent="0.25">
      <c r="A76" t="s">
        <v>29</v>
      </c>
      <c r="B76">
        <v>30012</v>
      </c>
      <c r="C76" s="8">
        <v>45580</v>
      </c>
      <c r="D76" s="9">
        <v>321600</v>
      </c>
      <c r="E76" s="10">
        <v>9</v>
      </c>
      <c r="F76" t="s">
        <v>64</v>
      </c>
      <c r="G76" s="11">
        <v>6</v>
      </c>
      <c r="H76" t="s">
        <v>31</v>
      </c>
      <c r="J76" s="12">
        <v>0</v>
      </c>
      <c r="L76" t="s">
        <v>38</v>
      </c>
      <c r="M76" s="13">
        <v>1154000</v>
      </c>
      <c r="N76" s="14">
        <v>11</v>
      </c>
      <c r="P76" s="14">
        <v>1</v>
      </c>
      <c r="Q76" s="15">
        <v>0.11</v>
      </c>
      <c r="R76" s="12">
        <v>60000</v>
      </c>
      <c r="S76" s="12">
        <v>1</v>
      </c>
      <c r="T76" s="12">
        <v>0</v>
      </c>
      <c r="U76" s="12">
        <v>31610.400000000001</v>
      </c>
      <c r="V76" s="12">
        <v>1</v>
      </c>
      <c r="W76" s="12">
        <v>110766.82725253813</v>
      </c>
      <c r="X76">
        <v>1</v>
      </c>
      <c r="Y76">
        <v>1</v>
      </c>
      <c r="Z76" s="15">
        <v>0.2827966878681839</v>
      </c>
      <c r="AA76" t="str">
        <f t="shared" si="3"/>
        <v>1-CT</v>
      </c>
      <c r="AB76" s="9">
        <f t="shared" si="4"/>
        <v>126940</v>
      </c>
      <c r="AC76" s="9">
        <f t="shared" si="5"/>
        <v>326347.37779988424</v>
      </c>
    </row>
    <row r="77" spans="1:29" x14ac:dyDescent="0.25">
      <c r="A77" t="s">
        <v>29</v>
      </c>
      <c r="B77">
        <v>30012</v>
      </c>
      <c r="C77" s="8">
        <v>45575</v>
      </c>
      <c r="D77" s="9">
        <v>321600</v>
      </c>
      <c r="E77" s="10">
        <v>9</v>
      </c>
      <c r="F77" t="s">
        <v>97</v>
      </c>
      <c r="G77" s="11">
        <v>6</v>
      </c>
      <c r="H77" t="s">
        <v>31</v>
      </c>
      <c r="J77" s="12">
        <v>0</v>
      </c>
      <c r="L77" t="s">
        <v>38</v>
      </c>
      <c r="M77" s="13">
        <v>1155000</v>
      </c>
      <c r="N77" s="14">
        <v>11</v>
      </c>
      <c r="P77" s="14">
        <v>1</v>
      </c>
      <c r="Q77" s="15">
        <v>0.11</v>
      </c>
      <c r="R77" s="12">
        <v>60000</v>
      </c>
      <c r="S77" s="12">
        <v>1</v>
      </c>
      <c r="T77" s="12">
        <v>0</v>
      </c>
      <c r="U77" s="12">
        <v>31628</v>
      </c>
      <c r="V77" s="12">
        <v>1</v>
      </c>
      <c r="W77" s="12">
        <v>110862.81237147447</v>
      </c>
      <c r="X77">
        <v>1</v>
      </c>
      <c r="Y77">
        <v>1</v>
      </c>
      <c r="Z77" s="15">
        <v>0.28267294281076411</v>
      </c>
      <c r="AA77" t="str">
        <f t="shared" si="3"/>
        <v>1-CT</v>
      </c>
      <c r="AB77" s="9">
        <f t="shared" si="4"/>
        <v>127050</v>
      </c>
      <c r="AC77" s="9">
        <f t="shared" si="5"/>
        <v>326487.24894643255</v>
      </c>
    </row>
    <row r="78" spans="1:29" x14ac:dyDescent="0.25">
      <c r="A78" t="s">
        <v>29</v>
      </c>
      <c r="B78">
        <v>30012</v>
      </c>
      <c r="C78" s="8">
        <v>45575</v>
      </c>
      <c r="D78" s="9">
        <v>321600</v>
      </c>
      <c r="E78" s="10">
        <v>9</v>
      </c>
      <c r="F78" t="s">
        <v>63</v>
      </c>
      <c r="G78" s="11">
        <v>6</v>
      </c>
      <c r="H78" t="s">
        <v>31</v>
      </c>
      <c r="J78" s="12">
        <v>0</v>
      </c>
      <c r="L78" t="s">
        <v>40</v>
      </c>
      <c r="M78" s="13">
        <v>1156000</v>
      </c>
      <c r="N78" s="14">
        <v>11</v>
      </c>
      <c r="P78" s="14">
        <v>1</v>
      </c>
      <c r="Q78" s="15">
        <v>0.11</v>
      </c>
      <c r="R78" s="12">
        <v>60000</v>
      </c>
      <c r="S78" s="12">
        <v>1</v>
      </c>
      <c r="T78" s="12">
        <v>0</v>
      </c>
      <c r="U78" s="12">
        <v>31645.599999999999</v>
      </c>
      <c r="V78" s="12">
        <v>1</v>
      </c>
      <c r="W78" s="12">
        <v>110958.79749041083</v>
      </c>
      <c r="X78">
        <v>1</v>
      </c>
      <c r="Y78">
        <v>1</v>
      </c>
      <c r="Z78" s="15">
        <v>0.28254942240825232</v>
      </c>
      <c r="AA78" t="str">
        <f t="shared" si="3"/>
        <v>1-CT</v>
      </c>
      <c r="AB78" s="9">
        <f t="shared" si="4"/>
        <v>127160</v>
      </c>
      <c r="AC78" s="9">
        <f t="shared" si="5"/>
        <v>326627.13230393967</v>
      </c>
    </row>
    <row r="79" spans="1:29" x14ac:dyDescent="0.25">
      <c r="A79" t="s">
        <v>29</v>
      </c>
      <c r="B79">
        <v>30012</v>
      </c>
      <c r="C79" s="8">
        <v>45646</v>
      </c>
      <c r="D79" s="9">
        <v>321620</v>
      </c>
      <c r="E79" s="10">
        <v>2</v>
      </c>
      <c r="F79" t="s">
        <v>98</v>
      </c>
      <c r="G79" s="11">
        <v>6</v>
      </c>
      <c r="H79" t="s">
        <v>31</v>
      </c>
      <c r="J79" s="12">
        <v>0</v>
      </c>
      <c r="L79" t="s">
        <v>40</v>
      </c>
      <c r="M79" s="13">
        <v>520000</v>
      </c>
      <c r="N79" s="14">
        <v>12</v>
      </c>
      <c r="P79" s="14">
        <v>1</v>
      </c>
      <c r="Q79" s="15">
        <v>0.105</v>
      </c>
      <c r="R79" s="12">
        <v>25000</v>
      </c>
      <c r="S79" s="12">
        <v>1</v>
      </c>
      <c r="T79" s="12">
        <v>0</v>
      </c>
      <c r="U79" s="12">
        <v>20452</v>
      </c>
      <c r="V79" s="12">
        <v>1</v>
      </c>
      <c r="W79" s="12">
        <v>45837.273505007921</v>
      </c>
      <c r="X79">
        <v>1</v>
      </c>
      <c r="Y79">
        <v>1</v>
      </c>
      <c r="Z79" s="15">
        <v>0.28174612234066709</v>
      </c>
      <c r="AA79" t="str">
        <f t="shared" si="3"/>
        <v>1-CT</v>
      </c>
      <c r="AB79" s="9">
        <f t="shared" si="4"/>
        <v>54600</v>
      </c>
      <c r="AC79" s="9">
        <f t="shared" si="5"/>
        <v>146507.98361714688</v>
      </c>
    </row>
    <row r="80" spans="1:29" x14ac:dyDescent="0.25">
      <c r="A80" t="s">
        <v>29</v>
      </c>
      <c r="B80">
        <v>30012</v>
      </c>
      <c r="C80" s="8">
        <v>45575</v>
      </c>
      <c r="D80" s="9">
        <v>321600</v>
      </c>
      <c r="E80" s="10">
        <v>9</v>
      </c>
      <c r="F80" t="s">
        <v>99</v>
      </c>
      <c r="G80" s="11">
        <v>6</v>
      </c>
      <c r="H80" t="s">
        <v>31</v>
      </c>
      <c r="J80" s="12">
        <v>0</v>
      </c>
      <c r="L80" t="s">
        <v>40</v>
      </c>
      <c r="M80" s="13">
        <v>1168000</v>
      </c>
      <c r="N80" s="14">
        <v>11</v>
      </c>
      <c r="P80" s="14">
        <v>1</v>
      </c>
      <c r="Q80" s="15">
        <v>0.11</v>
      </c>
      <c r="R80" s="12">
        <v>60000</v>
      </c>
      <c r="S80" s="12">
        <v>1</v>
      </c>
      <c r="T80" s="12">
        <v>0</v>
      </c>
      <c r="U80" s="12">
        <v>31856.799999999999</v>
      </c>
      <c r="V80" s="12">
        <v>1</v>
      </c>
      <c r="W80" s="12">
        <v>112110.61891764692</v>
      </c>
      <c r="X80">
        <v>1</v>
      </c>
      <c r="Y80">
        <v>1</v>
      </c>
      <c r="Z80" s="15">
        <v>0.2810844802822493</v>
      </c>
      <c r="AA80" t="str">
        <f t="shared" si="3"/>
        <v>1-CT</v>
      </c>
      <c r="AB80" s="9">
        <f t="shared" si="4"/>
        <v>128480</v>
      </c>
      <c r="AC80" s="9">
        <f t="shared" si="5"/>
        <v>328306.67296966718</v>
      </c>
    </row>
    <row r="81" spans="1:29" x14ac:dyDescent="0.25">
      <c r="A81" t="s">
        <v>29</v>
      </c>
      <c r="B81">
        <v>30012</v>
      </c>
      <c r="C81" s="8">
        <v>45568</v>
      </c>
      <c r="D81" s="9">
        <v>321600</v>
      </c>
      <c r="E81" s="10">
        <v>9</v>
      </c>
      <c r="F81" t="s">
        <v>94</v>
      </c>
      <c r="G81" s="11">
        <v>6</v>
      </c>
      <c r="H81" t="s">
        <v>31</v>
      </c>
      <c r="J81" s="12">
        <v>0</v>
      </c>
      <c r="L81" t="s">
        <v>40</v>
      </c>
      <c r="M81" s="13">
        <v>1150000</v>
      </c>
      <c r="N81" s="14">
        <v>11</v>
      </c>
      <c r="P81" s="14">
        <v>1</v>
      </c>
      <c r="Q81" s="15">
        <v>0.11</v>
      </c>
      <c r="R81" s="12">
        <v>60000</v>
      </c>
      <c r="S81" s="12">
        <v>1</v>
      </c>
      <c r="T81" s="12">
        <v>0</v>
      </c>
      <c r="U81" s="12">
        <v>30240</v>
      </c>
      <c r="V81" s="12">
        <v>1</v>
      </c>
      <c r="W81" s="12">
        <v>110382.88677679277</v>
      </c>
      <c r="X81">
        <v>1</v>
      </c>
      <c r="Y81">
        <v>1</v>
      </c>
      <c r="Z81" s="15">
        <v>0.28068027984714972</v>
      </c>
      <c r="AA81" t="str">
        <f t="shared" si="3"/>
        <v>1-CT</v>
      </c>
      <c r="AB81" s="9">
        <f t="shared" si="4"/>
        <v>126500</v>
      </c>
      <c r="AC81" s="9">
        <f t="shared" si="5"/>
        <v>322782.32182422216</v>
      </c>
    </row>
    <row r="82" spans="1:29" x14ac:dyDescent="0.25">
      <c r="A82" t="s">
        <v>29</v>
      </c>
      <c r="B82">
        <v>30012</v>
      </c>
      <c r="C82" s="8">
        <v>45587</v>
      </c>
      <c r="D82" s="9">
        <v>321600</v>
      </c>
      <c r="E82" s="10">
        <v>9</v>
      </c>
      <c r="F82" t="s">
        <v>100</v>
      </c>
      <c r="G82" s="11">
        <v>6</v>
      </c>
      <c r="H82" t="s">
        <v>31</v>
      </c>
      <c r="J82" s="12">
        <v>0</v>
      </c>
      <c r="L82" t="s">
        <v>38</v>
      </c>
      <c r="M82" s="13">
        <v>1175000</v>
      </c>
      <c r="N82" s="14">
        <v>11</v>
      </c>
      <c r="P82" s="14">
        <v>1</v>
      </c>
      <c r="Q82" s="15">
        <v>0.11</v>
      </c>
      <c r="R82" s="12">
        <v>60000</v>
      </c>
      <c r="S82" s="12">
        <v>1</v>
      </c>
      <c r="T82" s="12">
        <v>0</v>
      </c>
      <c r="U82" s="12">
        <v>31980</v>
      </c>
      <c r="V82" s="12">
        <v>1</v>
      </c>
      <c r="W82" s="12">
        <v>112782.5147502013</v>
      </c>
      <c r="X82">
        <v>1</v>
      </c>
      <c r="Y82">
        <v>1</v>
      </c>
      <c r="Z82" s="15">
        <v>0.28024441899929448</v>
      </c>
      <c r="AA82" t="str">
        <f t="shared" si="3"/>
        <v>1-CT</v>
      </c>
      <c r="AB82" s="9">
        <f t="shared" si="4"/>
        <v>129250</v>
      </c>
      <c r="AC82" s="9">
        <f t="shared" si="5"/>
        <v>329287.19232417102</v>
      </c>
    </row>
    <row r="83" spans="1:29" x14ac:dyDescent="0.25">
      <c r="A83" t="s">
        <v>29</v>
      </c>
      <c r="B83">
        <v>30012</v>
      </c>
      <c r="C83" s="8">
        <v>45572</v>
      </c>
      <c r="D83" s="9">
        <v>321600</v>
      </c>
      <c r="E83" s="10">
        <v>9</v>
      </c>
      <c r="F83" t="s">
        <v>57</v>
      </c>
      <c r="G83" s="11">
        <v>6</v>
      </c>
      <c r="H83" t="s">
        <v>31</v>
      </c>
      <c r="J83" s="12">
        <v>0</v>
      </c>
      <c r="L83" t="s">
        <v>32</v>
      </c>
      <c r="M83" s="13">
        <v>850000</v>
      </c>
      <c r="N83" s="14">
        <v>11</v>
      </c>
      <c r="P83" s="14">
        <v>1</v>
      </c>
      <c r="Q83" s="15">
        <v>0.11</v>
      </c>
      <c r="R83" s="12">
        <v>40000</v>
      </c>
      <c r="S83" s="12">
        <v>1</v>
      </c>
      <c r="T83" s="12">
        <v>0</v>
      </c>
      <c r="U83" s="12">
        <v>26260</v>
      </c>
      <c r="V83" s="12">
        <v>1</v>
      </c>
      <c r="W83" s="12">
        <v>81587.351095890306</v>
      </c>
      <c r="X83">
        <v>1</v>
      </c>
      <c r="Y83">
        <v>1</v>
      </c>
      <c r="Z83" s="15">
        <v>0.27948737929463763</v>
      </c>
      <c r="AA83" t="str">
        <f t="shared" si="3"/>
        <v>1-CT</v>
      </c>
      <c r="AB83" s="9">
        <f t="shared" si="4"/>
        <v>93500</v>
      </c>
      <c r="AC83" s="9">
        <f t="shared" si="5"/>
        <v>237564.27240044199</v>
      </c>
    </row>
    <row r="84" spans="1:29" x14ac:dyDescent="0.25">
      <c r="A84" t="s">
        <v>29</v>
      </c>
      <c r="B84">
        <v>30012</v>
      </c>
      <c r="C84" s="8">
        <v>45582</v>
      </c>
      <c r="D84" s="9">
        <v>321600</v>
      </c>
      <c r="E84" s="10">
        <v>9</v>
      </c>
      <c r="F84" t="s">
        <v>101</v>
      </c>
      <c r="G84" s="11">
        <v>6</v>
      </c>
      <c r="H84" t="s">
        <v>31</v>
      </c>
      <c r="J84" s="12">
        <v>0</v>
      </c>
      <c r="L84" t="s">
        <v>32</v>
      </c>
      <c r="M84" s="13">
        <v>850000</v>
      </c>
      <c r="N84" s="14">
        <v>11</v>
      </c>
      <c r="P84" s="14">
        <v>1</v>
      </c>
      <c r="Q84" s="15">
        <v>0.11</v>
      </c>
      <c r="R84" s="12">
        <v>40000</v>
      </c>
      <c r="S84" s="12">
        <v>1</v>
      </c>
      <c r="T84" s="12">
        <v>0</v>
      </c>
      <c r="U84" s="12">
        <v>26260</v>
      </c>
      <c r="V84" s="12">
        <v>1</v>
      </c>
      <c r="W84" s="12">
        <v>81587.351095890306</v>
      </c>
      <c r="X84">
        <v>1</v>
      </c>
      <c r="Y84">
        <v>1</v>
      </c>
      <c r="Z84" s="15">
        <v>0.27948737929463763</v>
      </c>
      <c r="AA84" t="str">
        <f t="shared" si="3"/>
        <v>1-CT</v>
      </c>
      <c r="AB84" s="9">
        <f t="shared" si="4"/>
        <v>93500</v>
      </c>
      <c r="AC84" s="9">
        <f t="shared" si="5"/>
        <v>237564.27240044199</v>
      </c>
    </row>
    <row r="85" spans="1:29" x14ac:dyDescent="0.25">
      <c r="A85" t="s">
        <v>29</v>
      </c>
      <c r="B85">
        <v>30012</v>
      </c>
      <c r="C85" s="8">
        <v>45569</v>
      </c>
      <c r="D85" s="9">
        <v>321600</v>
      </c>
      <c r="E85" s="10">
        <v>9</v>
      </c>
      <c r="F85" t="s">
        <v>102</v>
      </c>
      <c r="G85" s="11">
        <v>6</v>
      </c>
      <c r="H85" t="s">
        <v>31</v>
      </c>
      <c r="J85" s="12">
        <v>0</v>
      </c>
      <c r="L85" t="s">
        <v>32</v>
      </c>
      <c r="M85" s="13">
        <v>1192000</v>
      </c>
      <c r="N85" s="14">
        <v>11</v>
      </c>
      <c r="P85" s="14">
        <v>1</v>
      </c>
      <c r="Q85" s="15">
        <v>0.11</v>
      </c>
      <c r="R85" s="12">
        <v>60000</v>
      </c>
      <c r="S85" s="12">
        <v>1</v>
      </c>
      <c r="T85" s="12">
        <v>0</v>
      </c>
      <c r="U85" s="12">
        <v>32279.200000000001</v>
      </c>
      <c r="V85" s="12">
        <v>1</v>
      </c>
      <c r="W85" s="12">
        <v>114414.26177211912</v>
      </c>
      <c r="X85">
        <v>1</v>
      </c>
      <c r="Y85">
        <v>1</v>
      </c>
      <c r="Z85" s="15">
        <v>0.27824730848656426</v>
      </c>
      <c r="AA85" t="str">
        <f t="shared" si="3"/>
        <v>1-CT</v>
      </c>
      <c r="AB85" s="9">
        <f t="shared" si="4"/>
        <v>131120</v>
      </c>
      <c r="AC85" s="9">
        <f t="shared" si="5"/>
        <v>331670.79171598458</v>
      </c>
    </row>
    <row r="86" spans="1:29" x14ac:dyDescent="0.25">
      <c r="A86" t="s">
        <v>29</v>
      </c>
      <c r="B86">
        <v>30012</v>
      </c>
      <c r="C86" s="8">
        <v>45566</v>
      </c>
      <c r="D86" s="9">
        <v>321600</v>
      </c>
      <c r="E86" s="10">
        <v>9</v>
      </c>
      <c r="F86" t="s">
        <v>103</v>
      </c>
      <c r="G86" s="11">
        <v>6</v>
      </c>
      <c r="H86" t="s">
        <v>31</v>
      </c>
      <c r="J86" s="12">
        <v>0</v>
      </c>
      <c r="L86" t="s">
        <v>104</v>
      </c>
      <c r="M86" s="13">
        <v>1200000</v>
      </c>
      <c r="N86" s="14">
        <v>11</v>
      </c>
      <c r="P86" s="14">
        <v>1</v>
      </c>
      <c r="Q86" s="15">
        <v>0.11</v>
      </c>
      <c r="R86" s="12">
        <v>60000</v>
      </c>
      <c r="S86" s="12">
        <v>1</v>
      </c>
      <c r="T86" s="12">
        <v>0</v>
      </c>
      <c r="U86" s="12">
        <v>32420</v>
      </c>
      <c r="V86" s="12">
        <v>1</v>
      </c>
      <c r="W86" s="12">
        <v>115182.14272360984</v>
      </c>
      <c r="X86">
        <v>1</v>
      </c>
      <c r="Y86">
        <v>1</v>
      </c>
      <c r="Z86" s="15">
        <v>0.27732799949520714</v>
      </c>
      <c r="AA86" t="str">
        <f t="shared" si="3"/>
        <v>1-CT</v>
      </c>
      <c r="AB86" s="9">
        <f t="shared" si="4"/>
        <v>132000</v>
      </c>
      <c r="AC86" s="9">
        <f t="shared" si="5"/>
        <v>332793.59939424857</v>
      </c>
    </row>
    <row r="87" spans="1:29" x14ac:dyDescent="0.25">
      <c r="A87" t="s">
        <v>29</v>
      </c>
      <c r="B87">
        <v>30012</v>
      </c>
      <c r="C87" s="8">
        <v>45588</v>
      </c>
      <c r="D87" s="9">
        <v>321600</v>
      </c>
      <c r="E87" s="10">
        <v>9</v>
      </c>
      <c r="F87" t="s">
        <v>105</v>
      </c>
      <c r="G87" s="11">
        <v>6</v>
      </c>
      <c r="H87" t="s">
        <v>31</v>
      </c>
      <c r="J87" s="12">
        <v>0</v>
      </c>
      <c r="L87" t="s">
        <v>40</v>
      </c>
      <c r="M87" s="13">
        <v>1200000</v>
      </c>
      <c r="N87" s="14">
        <v>11</v>
      </c>
      <c r="P87" s="14">
        <v>1</v>
      </c>
      <c r="Q87" s="15">
        <v>0.11</v>
      </c>
      <c r="R87" s="12">
        <v>60000</v>
      </c>
      <c r="S87" s="12">
        <v>1</v>
      </c>
      <c r="T87" s="12">
        <v>0</v>
      </c>
      <c r="U87" s="12">
        <v>32420</v>
      </c>
      <c r="V87" s="12">
        <v>1</v>
      </c>
      <c r="W87" s="12">
        <v>115182.14272360984</v>
      </c>
      <c r="X87">
        <v>1</v>
      </c>
      <c r="Y87">
        <v>1</v>
      </c>
      <c r="Z87" s="15">
        <v>0.27732799949520714</v>
      </c>
      <c r="AA87" t="str">
        <f t="shared" si="3"/>
        <v>1-CT</v>
      </c>
      <c r="AB87" s="9">
        <f t="shared" si="4"/>
        <v>132000</v>
      </c>
      <c r="AC87" s="9">
        <f t="shared" si="5"/>
        <v>332793.59939424857</v>
      </c>
    </row>
    <row r="88" spans="1:29" x14ac:dyDescent="0.25">
      <c r="A88" t="s">
        <v>29</v>
      </c>
      <c r="B88">
        <v>30012</v>
      </c>
      <c r="C88" s="8">
        <v>45567</v>
      </c>
      <c r="D88" s="9">
        <v>321600</v>
      </c>
      <c r="E88" s="10">
        <v>9</v>
      </c>
      <c r="F88" t="s">
        <v>106</v>
      </c>
      <c r="G88" s="11">
        <v>6</v>
      </c>
      <c r="H88" t="s">
        <v>31</v>
      </c>
      <c r="J88" s="12">
        <v>0</v>
      </c>
      <c r="L88" t="s">
        <v>40</v>
      </c>
      <c r="M88" s="13">
        <v>1200000</v>
      </c>
      <c r="N88" s="14">
        <v>11</v>
      </c>
      <c r="P88" s="14">
        <v>1</v>
      </c>
      <c r="Q88" s="15">
        <v>0.11</v>
      </c>
      <c r="R88" s="12">
        <v>60000</v>
      </c>
      <c r="S88" s="12">
        <v>1</v>
      </c>
      <c r="T88" s="12">
        <v>0</v>
      </c>
      <c r="U88" s="12">
        <v>32420</v>
      </c>
      <c r="V88" s="12">
        <v>1</v>
      </c>
      <c r="W88" s="12">
        <v>115182.14272360984</v>
      </c>
      <c r="X88">
        <v>1</v>
      </c>
      <c r="Y88">
        <v>1</v>
      </c>
      <c r="Z88" s="15">
        <v>0.27732799949520714</v>
      </c>
      <c r="AA88" t="str">
        <f t="shared" si="3"/>
        <v>1-CT</v>
      </c>
      <c r="AB88" s="9">
        <f t="shared" si="4"/>
        <v>132000</v>
      </c>
      <c r="AC88" s="9">
        <f t="shared" si="5"/>
        <v>332793.59939424857</v>
      </c>
    </row>
    <row r="89" spans="1:29" x14ac:dyDescent="0.25">
      <c r="A89" t="s">
        <v>29</v>
      </c>
      <c r="B89">
        <v>30012</v>
      </c>
      <c r="C89" s="8">
        <v>45569</v>
      </c>
      <c r="D89" s="9">
        <v>321600</v>
      </c>
      <c r="E89" s="10">
        <v>9</v>
      </c>
      <c r="F89" t="s">
        <v>59</v>
      </c>
      <c r="G89" s="11">
        <v>6</v>
      </c>
      <c r="H89" t="s">
        <v>31</v>
      </c>
      <c r="J89" s="12">
        <v>0</v>
      </c>
      <c r="L89" t="s">
        <v>40</v>
      </c>
      <c r="M89" s="13">
        <v>1180000</v>
      </c>
      <c r="N89" s="14">
        <v>11</v>
      </c>
      <c r="P89" s="14">
        <v>1</v>
      </c>
      <c r="Q89" s="15">
        <v>0.11</v>
      </c>
      <c r="R89" s="12">
        <v>60000</v>
      </c>
      <c r="S89" s="12">
        <v>1</v>
      </c>
      <c r="T89" s="12">
        <v>0</v>
      </c>
      <c r="U89" s="12">
        <v>30768</v>
      </c>
      <c r="V89" s="12">
        <v>1</v>
      </c>
      <c r="W89" s="12">
        <v>113262.44034488301</v>
      </c>
      <c r="X89">
        <v>1</v>
      </c>
      <c r="Y89">
        <v>1</v>
      </c>
      <c r="Z89" s="15">
        <v>0.27710992238615206</v>
      </c>
      <c r="AA89" t="str">
        <f t="shared" si="3"/>
        <v>1-CT</v>
      </c>
      <c r="AB89" s="9">
        <f t="shared" si="4"/>
        <v>129800</v>
      </c>
      <c r="AC89" s="9">
        <f t="shared" si="5"/>
        <v>326989.70841565944</v>
      </c>
    </row>
    <row r="90" spans="1:29" x14ac:dyDescent="0.25">
      <c r="A90" t="s">
        <v>29</v>
      </c>
      <c r="B90">
        <v>30012</v>
      </c>
      <c r="C90" s="8">
        <v>45594</v>
      </c>
      <c r="D90" s="9">
        <v>321600</v>
      </c>
      <c r="E90" s="10">
        <v>9</v>
      </c>
      <c r="F90" t="s">
        <v>107</v>
      </c>
      <c r="G90" s="11">
        <v>6</v>
      </c>
      <c r="H90" t="s">
        <v>31</v>
      </c>
      <c r="J90" s="12">
        <v>0</v>
      </c>
      <c r="L90" t="s">
        <v>108</v>
      </c>
      <c r="M90" s="13">
        <v>865000</v>
      </c>
      <c r="N90" s="14">
        <v>11</v>
      </c>
      <c r="P90" s="14">
        <v>1</v>
      </c>
      <c r="Q90" s="15">
        <v>0.11</v>
      </c>
      <c r="R90" s="12">
        <v>40000</v>
      </c>
      <c r="S90" s="12">
        <v>1</v>
      </c>
      <c r="T90" s="12">
        <v>0</v>
      </c>
      <c r="U90" s="12">
        <v>26524</v>
      </c>
      <c r="V90" s="12">
        <v>1</v>
      </c>
      <c r="W90" s="12">
        <v>83027.127879935433</v>
      </c>
      <c r="X90">
        <v>1</v>
      </c>
      <c r="Y90">
        <v>1</v>
      </c>
      <c r="Z90" s="15">
        <v>0.2770738020159163</v>
      </c>
      <c r="AA90" t="str">
        <f t="shared" si="3"/>
        <v>1-CT</v>
      </c>
      <c r="AB90" s="9">
        <f t="shared" si="4"/>
        <v>95150</v>
      </c>
      <c r="AC90" s="9">
        <f t="shared" si="5"/>
        <v>239668.83874376761</v>
      </c>
    </row>
    <row r="91" spans="1:29" x14ac:dyDescent="0.25">
      <c r="A91" t="s">
        <v>29</v>
      </c>
      <c r="B91">
        <v>30012</v>
      </c>
      <c r="C91" s="8">
        <v>45638</v>
      </c>
      <c r="D91" s="9">
        <v>321620</v>
      </c>
      <c r="E91" s="10">
        <v>2</v>
      </c>
      <c r="F91" t="s">
        <v>60</v>
      </c>
      <c r="G91" s="11">
        <v>6</v>
      </c>
      <c r="H91" t="s">
        <v>31</v>
      </c>
      <c r="J91" s="12">
        <v>0</v>
      </c>
      <c r="L91" t="s">
        <v>38</v>
      </c>
      <c r="M91" s="13">
        <v>600000</v>
      </c>
      <c r="N91" s="14">
        <v>12</v>
      </c>
      <c r="P91" s="14">
        <v>1</v>
      </c>
      <c r="Q91" s="15">
        <v>0.11</v>
      </c>
      <c r="R91" s="12">
        <v>27500</v>
      </c>
      <c r="S91" s="12">
        <v>1</v>
      </c>
      <c r="T91" s="12">
        <v>0</v>
      </c>
      <c r="U91" s="12">
        <v>21860</v>
      </c>
      <c r="V91" s="12">
        <v>1</v>
      </c>
      <c r="W91" s="12">
        <v>53028.995112962424</v>
      </c>
      <c r="X91">
        <v>1</v>
      </c>
      <c r="Y91">
        <v>1</v>
      </c>
      <c r="Z91" s="15">
        <v>0.27587511201697001</v>
      </c>
      <c r="AA91" t="str">
        <f t="shared" si="3"/>
        <v>1-CT</v>
      </c>
      <c r="AB91" s="9">
        <f t="shared" si="4"/>
        <v>66000</v>
      </c>
      <c r="AC91" s="9">
        <f t="shared" si="5"/>
        <v>165525.06721018199</v>
      </c>
    </row>
    <row r="92" spans="1:29" x14ac:dyDescent="0.25">
      <c r="A92" t="s">
        <v>29</v>
      </c>
      <c r="B92">
        <v>30012</v>
      </c>
      <c r="C92" s="8">
        <v>45574</v>
      </c>
      <c r="D92" s="9">
        <v>321600</v>
      </c>
      <c r="E92" s="10">
        <v>9</v>
      </c>
      <c r="F92" t="s">
        <v>63</v>
      </c>
      <c r="G92" s="11">
        <v>6</v>
      </c>
      <c r="H92" t="s">
        <v>31</v>
      </c>
      <c r="J92" s="12">
        <v>0</v>
      </c>
      <c r="L92" t="s">
        <v>40</v>
      </c>
      <c r="M92" s="13">
        <v>880000</v>
      </c>
      <c r="N92" s="14">
        <v>11</v>
      </c>
      <c r="P92" s="14">
        <v>1</v>
      </c>
      <c r="Q92" s="15">
        <v>0.11</v>
      </c>
      <c r="R92" s="12">
        <v>40000</v>
      </c>
      <c r="S92" s="12">
        <v>1</v>
      </c>
      <c r="T92" s="12">
        <v>0</v>
      </c>
      <c r="U92" s="12">
        <v>26788</v>
      </c>
      <c r="V92" s="12">
        <v>1</v>
      </c>
      <c r="W92" s="12">
        <v>84466.904663980546</v>
      </c>
      <c r="X92">
        <v>1</v>
      </c>
      <c r="Y92">
        <v>1</v>
      </c>
      <c r="Z92" s="15">
        <v>0.27474632833943774</v>
      </c>
      <c r="AA92" t="str">
        <f t="shared" si="3"/>
        <v>1-CT</v>
      </c>
      <c r="AB92" s="9">
        <f t="shared" si="4"/>
        <v>96800</v>
      </c>
      <c r="AC92" s="9">
        <f t="shared" si="5"/>
        <v>241776.76893870521</v>
      </c>
    </row>
    <row r="93" spans="1:29" x14ac:dyDescent="0.25">
      <c r="A93" t="s">
        <v>29</v>
      </c>
      <c r="B93">
        <v>30012</v>
      </c>
      <c r="C93" s="8">
        <v>45573</v>
      </c>
      <c r="D93" s="9">
        <v>321600</v>
      </c>
      <c r="E93" s="10">
        <v>9</v>
      </c>
      <c r="F93" t="s">
        <v>67</v>
      </c>
      <c r="G93" s="11">
        <v>6</v>
      </c>
      <c r="H93" t="s">
        <v>31</v>
      </c>
      <c r="J93" s="12">
        <v>0</v>
      </c>
      <c r="L93" t="s">
        <v>109</v>
      </c>
      <c r="M93" s="13">
        <v>1228000</v>
      </c>
      <c r="N93" s="14">
        <v>11</v>
      </c>
      <c r="P93" s="14">
        <v>1</v>
      </c>
      <c r="Q93" s="15">
        <v>0.11</v>
      </c>
      <c r="R93" s="12">
        <v>60000</v>
      </c>
      <c r="S93" s="12">
        <v>1</v>
      </c>
      <c r="T93" s="12">
        <v>0</v>
      </c>
      <c r="U93" s="12">
        <v>32912.800000000003</v>
      </c>
      <c r="V93" s="12">
        <v>1</v>
      </c>
      <c r="W93" s="12">
        <v>117869.72605382741</v>
      </c>
      <c r="X93">
        <v>1</v>
      </c>
      <c r="Y93">
        <v>1</v>
      </c>
      <c r="Z93" s="15">
        <v>0.27420910787910974</v>
      </c>
      <c r="AA93" t="str">
        <f t="shared" si="3"/>
        <v>1-CT</v>
      </c>
      <c r="AB93" s="9">
        <f t="shared" si="4"/>
        <v>135080</v>
      </c>
      <c r="AC93" s="9">
        <f t="shared" si="5"/>
        <v>336728.78447554674</v>
      </c>
    </row>
    <row r="94" spans="1:29" x14ac:dyDescent="0.25">
      <c r="A94" t="s">
        <v>29</v>
      </c>
      <c r="B94">
        <v>30012</v>
      </c>
      <c r="C94" s="8">
        <v>45582</v>
      </c>
      <c r="D94" s="9">
        <v>321600</v>
      </c>
      <c r="E94" s="10">
        <v>9</v>
      </c>
      <c r="F94" t="s">
        <v>59</v>
      </c>
      <c r="G94" s="11">
        <v>6</v>
      </c>
      <c r="H94" t="s">
        <v>31</v>
      </c>
      <c r="J94" s="12">
        <v>0</v>
      </c>
      <c r="L94" t="s">
        <v>40</v>
      </c>
      <c r="M94" s="13">
        <v>886000</v>
      </c>
      <c r="N94" s="14">
        <v>11</v>
      </c>
      <c r="P94" s="14">
        <v>1</v>
      </c>
      <c r="Q94" s="15">
        <v>0.11</v>
      </c>
      <c r="R94" s="12">
        <v>40000</v>
      </c>
      <c r="S94" s="12">
        <v>1</v>
      </c>
      <c r="T94" s="12">
        <v>0</v>
      </c>
      <c r="U94" s="12">
        <v>26893.599999999999</v>
      </c>
      <c r="V94" s="12">
        <v>1</v>
      </c>
      <c r="W94" s="12">
        <v>85042.815377598599</v>
      </c>
      <c r="X94">
        <v>1</v>
      </c>
      <c r="Y94">
        <v>1</v>
      </c>
      <c r="Z94" s="15">
        <v>0.27383842272193981</v>
      </c>
      <c r="AA94" t="str">
        <f t="shared" si="3"/>
        <v>1-CT</v>
      </c>
      <c r="AB94" s="9">
        <f t="shared" si="4"/>
        <v>97460</v>
      </c>
      <c r="AC94" s="9">
        <f t="shared" si="5"/>
        <v>242620.84253163869</v>
      </c>
    </row>
    <row r="95" spans="1:29" x14ac:dyDescent="0.25">
      <c r="A95" t="s">
        <v>29</v>
      </c>
      <c r="B95">
        <v>30012</v>
      </c>
      <c r="C95" s="8">
        <v>45652</v>
      </c>
      <c r="D95" s="9">
        <v>321620</v>
      </c>
      <c r="E95" s="10">
        <v>2</v>
      </c>
      <c r="F95" t="s">
        <v>110</v>
      </c>
      <c r="G95" s="11">
        <v>6</v>
      </c>
      <c r="H95" t="s">
        <v>31</v>
      </c>
      <c r="J95" s="12">
        <v>0</v>
      </c>
      <c r="L95" t="s">
        <v>38</v>
      </c>
      <c r="M95" s="13">
        <v>550000</v>
      </c>
      <c r="N95" s="14">
        <v>12</v>
      </c>
      <c r="P95" s="14">
        <v>1</v>
      </c>
      <c r="Q95" s="15">
        <v>0.105</v>
      </c>
      <c r="R95" s="12">
        <v>25000</v>
      </c>
      <c r="S95" s="12">
        <v>1</v>
      </c>
      <c r="T95" s="12">
        <v>0</v>
      </c>
      <c r="U95" s="12">
        <v>20980</v>
      </c>
      <c r="V95" s="12">
        <v>1</v>
      </c>
      <c r="W95" s="12">
        <v>48481.731591835298</v>
      </c>
      <c r="X95">
        <v>1</v>
      </c>
      <c r="Y95">
        <v>1</v>
      </c>
      <c r="Z95" s="15">
        <v>0.27353764088734756</v>
      </c>
      <c r="AA95" t="str">
        <f t="shared" si="3"/>
        <v>1-CT</v>
      </c>
      <c r="AB95" s="9">
        <f t="shared" si="4"/>
        <v>57750</v>
      </c>
      <c r="AC95" s="9">
        <f t="shared" si="5"/>
        <v>150445.70248804116</v>
      </c>
    </row>
    <row r="96" spans="1:29" x14ac:dyDescent="0.25">
      <c r="A96" t="s">
        <v>29</v>
      </c>
      <c r="B96">
        <v>30012</v>
      </c>
      <c r="C96" s="8">
        <v>45638</v>
      </c>
      <c r="D96" s="9">
        <v>321620</v>
      </c>
      <c r="E96" s="10">
        <v>2</v>
      </c>
      <c r="F96" t="s">
        <v>46</v>
      </c>
      <c r="G96" s="11">
        <v>6</v>
      </c>
      <c r="H96" t="s">
        <v>31</v>
      </c>
      <c r="J96" s="12">
        <v>0</v>
      </c>
      <c r="L96" t="s">
        <v>34</v>
      </c>
      <c r="M96" s="13">
        <v>550000</v>
      </c>
      <c r="N96" s="14">
        <v>12</v>
      </c>
      <c r="P96" s="14">
        <v>1</v>
      </c>
      <c r="Q96" s="15">
        <v>0.105</v>
      </c>
      <c r="R96" s="12">
        <v>25000</v>
      </c>
      <c r="S96" s="12">
        <v>1</v>
      </c>
      <c r="T96" s="12">
        <v>0</v>
      </c>
      <c r="U96" s="12">
        <v>20980</v>
      </c>
      <c r="V96" s="12">
        <v>1</v>
      </c>
      <c r="W96" s="12">
        <v>48481.731591835298</v>
      </c>
      <c r="X96">
        <v>1</v>
      </c>
      <c r="Y96">
        <v>1</v>
      </c>
      <c r="Z96" s="15">
        <v>0.27353764088734756</v>
      </c>
      <c r="AA96" t="str">
        <f t="shared" si="3"/>
        <v>1-CT</v>
      </c>
      <c r="AB96" s="9">
        <f t="shared" si="4"/>
        <v>57750</v>
      </c>
      <c r="AC96" s="9">
        <f t="shared" si="5"/>
        <v>150445.70248804116</v>
      </c>
    </row>
    <row r="97" spans="1:29" x14ac:dyDescent="0.25">
      <c r="A97" t="s">
        <v>29</v>
      </c>
      <c r="B97">
        <v>30012</v>
      </c>
      <c r="C97" s="8">
        <v>45652</v>
      </c>
      <c r="D97" s="9">
        <v>321620</v>
      </c>
      <c r="E97" s="10">
        <v>2</v>
      </c>
      <c r="F97" t="s">
        <v>45</v>
      </c>
      <c r="G97" s="11">
        <v>6</v>
      </c>
      <c r="H97" t="s">
        <v>31</v>
      </c>
      <c r="J97" s="12">
        <v>0</v>
      </c>
      <c r="L97" t="s">
        <v>38</v>
      </c>
      <c r="M97" s="13">
        <v>550000</v>
      </c>
      <c r="N97" s="14">
        <v>12</v>
      </c>
      <c r="P97" s="14">
        <v>1</v>
      </c>
      <c r="Q97" s="15">
        <v>0.105</v>
      </c>
      <c r="R97" s="12">
        <v>25000</v>
      </c>
      <c r="S97" s="12">
        <v>1</v>
      </c>
      <c r="T97" s="12">
        <v>0</v>
      </c>
      <c r="U97" s="12">
        <v>20980</v>
      </c>
      <c r="V97" s="12">
        <v>1</v>
      </c>
      <c r="W97" s="12">
        <v>48481.731591835298</v>
      </c>
      <c r="X97">
        <v>1</v>
      </c>
      <c r="Y97">
        <v>1</v>
      </c>
      <c r="Z97" s="15">
        <v>0.27353764088734756</v>
      </c>
      <c r="AA97" t="str">
        <f t="shared" si="3"/>
        <v>1-CT</v>
      </c>
      <c r="AB97" s="9">
        <f t="shared" si="4"/>
        <v>57750</v>
      </c>
      <c r="AC97" s="9">
        <f t="shared" si="5"/>
        <v>150445.70248804116</v>
      </c>
    </row>
    <row r="98" spans="1:29" x14ac:dyDescent="0.25">
      <c r="A98" t="s">
        <v>29</v>
      </c>
      <c r="B98">
        <v>30012</v>
      </c>
      <c r="C98" s="8">
        <v>45588</v>
      </c>
      <c r="D98" s="9">
        <v>321600</v>
      </c>
      <c r="E98" s="10">
        <v>9</v>
      </c>
      <c r="F98" t="s">
        <v>75</v>
      </c>
      <c r="G98" s="11">
        <v>6</v>
      </c>
      <c r="H98" t="s">
        <v>31</v>
      </c>
      <c r="J98" s="12">
        <v>0</v>
      </c>
      <c r="L98" t="s">
        <v>32</v>
      </c>
      <c r="M98" s="13">
        <v>1237000</v>
      </c>
      <c r="N98" s="14">
        <v>11</v>
      </c>
      <c r="P98" s="14">
        <v>1</v>
      </c>
      <c r="Q98" s="15">
        <v>0.11</v>
      </c>
      <c r="R98" s="12">
        <v>60000</v>
      </c>
      <c r="S98" s="12">
        <v>1</v>
      </c>
      <c r="T98" s="12">
        <v>0</v>
      </c>
      <c r="U98" s="12">
        <v>33071.199999999997</v>
      </c>
      <c r="V98" s="12">
        <v>1</v>
      </c>
      <c r="W98" s="12">
        <v>118733.59212425449</v>
      </c>
      <c r="X98">
        <v>1</v>
      </c>
      <c r="Y98">
        <v>1</v>
      </c>
      <c r="Z98" s="15">
        <v>0.27323796897144131</v>
      </c>
      <c r="AA98" t="str">
        <f t="shared" si="3"/>
        <v>1-CT</v>
      </c>
      <c r="AB98" s="9">
        <f t="shared" si="4"/>
        <v>136070</v>
      </c>
      <c r="AC98" s="9">
        <f t="shared" si="5"/>
        <v>337995.36761767289</v>
      </c>
    </row>
    <row r="99" spans="1:29" x14ac:dyDescent="0.25">
      <c r="A99" t="s">
        <v>29</v>
      </c>
      <c r="B99">
        <v>30012</v>
      </c>
      <c r="C99" s="8">
        <v>45590</v>
      </c>
      <c r="D99" s="9">
        <v>321600</v>
      </c>
      <c r="E99" s="10">
        <v>9</v>
      </c>
      <c r="F99" t="s">
        <v>111</v>
      </c>
      <c r="G99" s="11">
        <v>6</v>
      </c>
      <c r="H99" t="s">
        <v>31</v>
      </c>
      <c r="J99" s="12">
        <v>0</v>
      </c>
      <c r="L99" t="s">
        <v>32</v>
      </c>
      <c r="M99" s="13">
        <v>1245000</v>
      </c>
      <c r="N99" s="14">
        <v>11</v>
      </c>
      <c r="P99" s="14">
        <v>1</v>
      </c>
      <c r="Q99" s="15">
        <v>0.11</v>
      </c>
      <c r="R99" s="12">
        <v>60000</v>
      </c>
      <c r="S99" s="12">
        <v>1</v>
      </c>
      <c r="T99" s="12">
        <v>0</v>
      </c>
      <c r="U99" s="12">
        <v>33212</v>
      </c>
      <c r="V99" s="12">
        <v>1</v>
      </c>
      <c r="W99" s="12">
        <v>119501.47307574521</v>
      </c>
      <c r="X99">
        <v>1</v>
      </c>
      <c r="Y99">
        <v>1</v>
      </c>
      <c r="Z99" s="15">
        <v>0.2723870586472994</v>
      </c>
      <c r="AA99" t="str">
        <f t="shared" si="3"/>
        <v>1-CT</v>
      </c>
      <c r="AB99" s="9">
        <f t="shared" si="4"/>
        <v>136950</v>
      </c>
      <c r="AC99" s="9">
        <f t="shared" si="5"/>
        <v>339121.88801588776</v>
      </c>
    </row>
    <row r="100" spans="1:29" x14ac:dyDescent="0.25">
      <c r="A100" t="s">
        <v>29</v>
      </c>
      <c r="B100">
        <v>30012</v>
      </c>
      <c r="C100" s="8">
        <v>45573</v>
      </c>
      <c r="D100" s="9">
        <v>321600</v>
      </c>
      <c r="E100" s="10">
        <v>9</v>
      </c>
      <c r="F100" t="s">
        <v>112</v>
      </c>
      <c r="G100" s="11">
        <v>6</v>
      </c>
      <c r="H100" t="s">
        <v>31</v>
      </c>
      <c r="J100" s="12">
        <v>0</v>
      </c>
      <c r="L100" t="s">
        <v>34</v>
      </c>
      <c r="M100" s="13">
        <v>900000</v>
      </c>
      <c r="N100" s="14">
        <v>11</v>
      </c>
      <c r="P100" s="14">
        <v>1</v>
      </c>
      <c r="Q100" s="15">
        <v>0.11</v>
      </c>
      <c r="R100" s="12">
        <v>40000</v>
      </c>
      <c r="S100" s="12">
        <v>1</v>
      </c>
      <c r="T100" s="12">
        <v>0</v>
      </c>
      <c r="U100" s="12">
        <v>27140</v>
      </c>
      <c r="V100" s="12">
        <v>1</v>
      </c>
      <c r="W100" s="12">
        <v>86386.607042707386</v>
      </c>
      <c r="X100">
        <v>1</v>
      </c>
      <c r="Y100">
        <v>1</v>
      </c>
      <c r="Z100" s="15">
        <v>0.27176918761051339</v>
      </c>
      <c r="AA100" t="str">
        <f t="shared" si="3"/>
        <v>1-CT</v>
      </c>
      <c r="AB100" s="9">
        <f t="shared" si="4"/>
        <v>99000</v>
      </c>
      <c r="AC100" s="9">
        <f t="shared" si="5"/>
        <v>244592.26884946204</v>
      </c>
    </row>
    <row r="101" spans="1:29" x14ac:dyDescent="0.25">
      <c r="A101" t="s">
        <v>29</v>
      </c>
      <c r="B101">
        <v>30012</v>
      </c>
      <c r="C101" s="8">
        <v>45593</v>
      </c>
      <c r="D101" s="9">
        <v>321600</v>
      </c>
      <c r="E101" s="10">
        <v>9</v>
      </c>
      <c r="F101" t="s">
        <v>69</v>
      </c>
      <c r="G101" s="11">
        <v>6</v>
      </c>
      <c r="H101" t="s">
        <v>31</v>
      </c>
      <c r="J101" s="12">
        <v>0</v>
      </c>
      <c r="L101" t="s">
        <v>40</v>
      </c>
      <c r="M101" s="13">
        <v>903000</v>
      </c>
      <c r="N101" s="14">
        <v>11</v>
      </c>
      <c r="P101" s="14">
        <v>1</v>
      </c>
      <c r="Q101" s="15">
        <v>0.11</v>
      </c>
      <c r="R101" s="12">
        <v>40000</v>
      </c>
      <c r="S101" s="12">
        <v>1</v>
      </c>
      <c r="T101" s="12">
        <v>0</v>
      </c>
      <c r="U101" s="12">
        <v>27192.799999999999</v>
      </c>
      <c r="V101" s="12">
        <v>1</v>
      </c>
      <c r="W101" s="12">
        <v>86674.562399516406</v>
      </c>
      <c r="X101">
        <v>1</v>
      </c>
      <c r="Y101">
        <v>1</v>
      </c>
      <c r="Z101" s="15">
        <v>0.271334504873043</v>
      </c>
      <c r="AA101" t="str">
        <f t="shared" si="3"/>
        <v>1-CT</v>
      </c>
      <c r="AB101" s="9">
        <f t="shared" si="4"/>
        <v>99330</v>
      </c>
      <c r="AC101" s="9">
        <f t="shared" si="5"/>
        <v>245015.05790035785</v>
      </c>
    </row>
    <row r="102" spans="1:29" x14ac:dyDescent="0.25">
      <c r="A102" t="s">
        <v>29</v>
      </c>
      <c r="B102">
        <v>30012</v>
      </c>
      <c r="C102" s="8">
        <v>45650</v>
      </c>
      <c r="D102" s="9">
        <v>321620</v>
      </c>
      <c r="E102" s="10">
        <v>2</v>
      </c>
      <c r="F102" t="s">
        <v>113</v>
      </c>
      <c r="G102" s="11">
        <v>6</v>
      </c>
      <c r="H102" t="s">
        <v>31</v>
      </c>
      <c r="J102" s="12">
        <v>0</v>
      </c>
      <c r="L102" t="s">
        <v>32</v>
      </c>
      <c r="M102" s="13">
        <v>560000</v>
      </c>
      <c r="N102" s="14">
        <v>12</v>
      </c>
      <c r="P102" s="14">
        <v>1</v>
      </c>
      <c r="Q102" s="15">
        <v>0.105</v>
      </c>
      <c r="R102" s="12">
        <v>25000</v>
      </c>
      <c r="S102" s="12">
        <v>1</v>
      </c>
      <c r="T102" s="12">
        <v>0</v>
      </c>
      <c r="U102" s="12">
        <v>21156</v>
      </c>
      <c r="V102" s="12">
        <v>1</v>
      </c>
      <c r="W102" s="12">
        <v>49363.217620777759</v>
      </c>
      <c r="X102">
        <v>1</v>
      </c>
      <c r="Y102">
        <v>1</v>
      </c>
      <c r="Z102" s="15">
        <v>0.27100704961776345</v>
      </c>
      <c r="AA102" t="str">
        <f t="shared" si="3"/>
        <v>1-CT</v>
      </c>
      <c r="AB102" s="9">
        <f t="shared" si="4"/>
        <v>58800</v>
      </c>
      <c r="AC102" s="9">
        <f t="shared" si="5"/>
        <v>151763.94778594753</v>
      </c>
    </row>
    <row r="103" spans="1:29" x14ac:dyDescent="0.25">
      <c r="A103" t="s">
        <v>29</v>
      </c>
      <c r="B103">
        <v>30012</v>
      </c>
      <c r="C103" s="8">
        <v>45642</v>
      </c>
      <c r="D103" s="9">
        <v>321620</v>
      </c>
      <c r="E103" s="10">
        <v>2</v>
      </c>
      <c r="F103" t="s">
        <v>114</v>
      </c>
      <c r="G103" s="11">
        <v>6</v>
      </c>
      <c r="H103" t="s">
        <v>31</v>
      </c>
      <c r="J103" s="12">
        <v>0</v>
      </c>
      <c r="L103" t="s">
        <v>38</v>
      </c>
      <c r="M103" s="13">
        <v>560000</v>
      </c>
      <c r="N103" s="14">
        <v>12</v>
      </c>
      <c r="P103" s="14">
        <v>1</v>
      </c>
      <c r="Q103" s="15">
        <v>0.105</v>
      </c>
      <c r="R103" s="12">
        <v>25000</v>
      </c>
      <c r="S103" s="12">
        <v>1</v>
      </c>
      <c r="T103" s="12">
        <v>0</v>
      </c>
      <c r="U103" s="12">
        <v>21156</v>
      </c>
      <c r="V103" s="12">
        <v>1</v>
      </c>
      <c r="W103" s="12">
        <v>49363.217620777759</v>
      </c>
      <c r="X103">
        <v>1</v>
      </c>
      <c r="Y103">
        <v>1</v>
      </c>
      <c r="Z103" s="15">
        <v>0.27100704961776345</v>
      </c>
      <c r="AA103" t="str">
        <f t="shared" si="3"/>
        <v>1-CT</v>
      </c>
      <c r="AB103" s="9">
        <f t="shared" si="4"/>
        <v>58800</v>
      </c>
      <c r="AC103" s="9">
        <f t="shared" si="5"/>
        <v>151763.94778594753</v>
      </c>
    </row>
    <row r="104" spans="1:29" x14ac:dyDescent="0.25">
      <c r="A104" t="s">
        <v>29</v>
      </c>
      <c r="B104">
        <v>30012</v>
      </c>
      <c r="C104" s="8">
        <v>45623</v>
      </c>
      <c r="D104" s="9">
        <v>321620</v>
      </c>
      <c r="E104" s="10">
        <v>2</v>
      </c>
      <c r="F104" t="s">
        <v>57</v>
      </c>
      <c r="G104" s="11">
        <v>6</v>
      </c>
      <c r="H104" t="s">
        <v>31</v>
      </c>
      <c r="J104" s="12">
        <v>0</v>
      </c>
      <c r="L104" t="s">
        <v>38</v>
      </c>
      <c r="M104" s="13">
        <v>1102000</v>
      </c>
      <c r="N104" s="14">
        <v>12</v>
      </c>
      <c r="P104" s="14">
        <v>1</v>
      </c>
      <c r="Q104" s="15">
        <v>0.105</v>
      </c>
      <c r="R104" s="12">
        <v>60000</v>
      </c>
      <c r="S104" s="12">
        <v>1</v>
      </c>
      <c r="T104" s="12">
        <v>0</v>
      </c>
      <c r="U104" s="12">
        <v>30695.200000000001</v>
      </c>
      <c r="V104" s="12">
        <v>1</v>
      </c>
      <c r="W104" s="12">
        <v>97139.760389459087</v>
      </c>
      <c r="X104">
        <v>1</v>
      </c>
      <c r="Y104">
        <v>1</v>
      </c>
      <c r="Z104" s="15">
        <v>0.2707477605285048</v>
      </c>
      <c r="AA104" t="str">
        <f t="shared" si="3"/>
        <v>1-CT</v>
      </c>
      <c r="AB104" s="9">
        <f t="shared" si="4"/>
        <v>115710</v>
      </c>
      <c r="AC104" s="9">
        <f t="shared" si="5"/>
        <v>298364.03210241231</v>
      </c>
    </row>
    <row r="105" spans="1:29" x14ac:dyDescent="0.25">
      <c r="A105" t="s">
        <v>29</v>
      </c>
      <c r="B105">
        <v>30012</v>
      </c>
      <c r="C105" s="8">
        <v>45567</v>
      </c>
      <c r="D105" s="9">
        <v>321600</v>
      </c>
      <c r="E105" s="10">
        <v>9</v>
      </c>
      <c r="F105" t="s">
        <v>115</v>
      </c>
      <c r="G105" s="11">
        <v>6</v>
      </c>
      <c r="H105" t="s">
        <v>31</v>
      </c>
      <c r="J105" s="12">
        <v>0</v>
      </c>
      <c r="L105" t="s">
        <v>40</v>
      </c>
      <c r="M105" s="13">
        <v>1270000</v>
      </c>
      <c r="N105" s="14">
        <v>11</v>
      </c>
      <c r="P105" s="14">
        <v>1</v>
      </c>
      <c r="Q105" s="15">
        <v>0.11</v>
      </c>
      <c r="R105" s="12">
        <v>60000</v>
      </c>
      <c r="S105" s="12">
        <v>1</v>
      </c>
      <c r="T105" s="12">
        <v>0</v>
      </c>
      <c r="U105" s="12">
        <v>33652</v>
      </c>
      <c r="V105" s="12">
        <v>1</v>
      </c>
      <c r="W105" s="12">
        <v>121901.10104915375</v>
      </c>
      <c r="X105">
        <v>1</v>
      </c>
      <c r="Y105">
        <v>1</v>
      </c>
      <c r="Z105" s="15">
        <v>0.2698001413844836</v>
      </c>
      <c r="AA105" t="str">
        <f t="shared" si="3"/>
        <v>1-CT</v>
      </c>
      <c r="AB105" s="9">
        <f t="shared" si="4"/>
        <v>139700</v>
      </c>
      <c r="AC105" s="9">
        <f t="shared" si="5"/>
        <v>342646.17955829418</v>
      </c>
    </row>
    <row r="106" spans="1:29" x14ac:dyDescent="0.25">
      <c r="A106" t="s">
        <v>29</v>
      </c>
      <c r="B106">
        <v>30012</v>
      </c>
      <c r="C106" s="8">
        <v>45574</v>
      </c>
      <c r="D106" s="9">
        <v>321600</v>
      </c>
      <c r="E106" s="10">
        <v>9</v>
      </c>
      <c r="F106" t="s">
        <v>76</v>
      </c>
      <c r="G106" s="11">
        <v>6</v>
      </c>
      <c r="H106" t="s">
        <v>31</v>
      </c>
      <c r="J106" s="12">
        <v>0</v>
      </c>
      <c r="L106" t="s">
        <v>32</v>
      </c>
      <c r="M106" s="13">
        <v>1275000</v>
      </c>
      <c r="N106" s="14">
        <v>11</v>
      </c>
      <c r="P106" s="14">
        <v>1</v>
      </c>
      <c r="Q106" s="15">
        <v>0.11</v>
      </c>
      <c r="R106" s="12">
        <v>60000</v>
      </c>
      <c r="S106" s="12">
        <v>1</v>
      </c>
      <c r="T106" s="12">
        <v>0</v>
      </c>
      <c r="U106" s="12">
        <v>33740</v>
      </c>
      <c r="V106" s="12">
        <v>1</v>
      </c>
      <c r="W106" s="12">
        <v>122381.02664383544</v>
      </c>
      <c r="X106">
        <v>1</v>
      </c>
      <c r="Y106">
        <v>1</v>
      </c>
      <c r="Z106" s="15">
        <v>0.26929547247417296</v>
      </c>
      <c r="AA106" t="str">
        <f t="shared" si="3"/>
        <v>1-CT</v>
      </c>
      <c r="AB106" s="9">
        <f t="shared" si="4"/>
        <v>140250</v>
      </c>
      <c r="AC106" s="9">
        <f t="shared" si="5"/>
        <v>343351.7274045705</v>
      </c>
    </row>
    <row r="107" spans="1:29" x14ac:dyDescent="0.25">
      <c r="A107" t="s">
        <v>29</v>
      </c>
      <c r="B107">
        <v>30012</v>
      </c>
      <c r="C107" s="8">
        <v>45630</v>
      </c>
      <c r="D107" s="9">
        <v>321620</v>
      </c>
      <c r="E107" s="10">
        <v>2</v>
      </c>
      <c r="F107" t="s">
        <v>59</v>
      </c>
      <c r="G107" s="11">
        <v>6</v>
      </c>
      <c r="H107" t="s">
        <v>31</v>
      </c>
      <c r="J107" s="12">
        <v>0</v>
      </c>
      <c r="L107" t="s">
        <v>32</v>
      </c>
      <c r="M107" s="13">
        <v>259000</v>
      </c>
      <c r="N107" s="14">
        <v>12</v>
      </c>
      <c r="P107" s="14">
        <v>1</v>
      </c>
      <c r="Q107" s="15">
        <v>0.105</v>
      </c>
      <c r="R107" s="12">
        <v>5180</v>
      </c>
      <c r="S107" s="12">
        <v>1</v>
      </c>
      <c r="T107" s="12">
        <v>0</v>
      </c>
      <c r="U107" s="12">
        <v>15858.4</v>
      </c>
      <c r="V107" s="12">
        <v>1</v>
      </c>
      <c r="W107" s="12">
        <v>22830.488149609715</v>
      </c>
      <c r="X107">
        <v>1</v>
      </c>
      <c r="Y107">
        <v>1</v>
      </c>
      <c r="Z107" s="15">
        <v>0.26845228499392837</v>
      </c>
      <c r="AA107" t="str">
        <f t="shared" si="3"/>
        <v>1-CT</v>
      </c>
      <c r="AB107" s="9">
        <f t="shared" si="4"/>
        <v>27195</v>
      </c>
      <c r="AC107" s="9">
        <f t="shared" si="5"/>
        <v>69529.141813427443</v>
      </c>
    </row>
    <row r="108" spans="1:29" x14ac:dyDescent="0.25">
      <c r="A108" t="s">
        <v>29</v>
      </c>
      <c r="B108">
        <v>30012</v>
      </c>
      <c r="C108" s="8">
        <v>45596</v>
      </c>
      <c r="D108" s="9">
        <v>321600</v>
      </c>
      <c r="E108" s="10">
        <v>9</v>
      </c>
      <c r="F108" t="s">
        <v>116</v>
      </c>
      <c r="G108" s="11">
        <v>6</v>
      </c>
      <c r="H108" t="s">
        <v>31</v>
      </c>
      <c r="J108" s="12">
        <v>0</v>
      </c>
      <c r="L108" t="s">
        <v>40</v>
      </c>
      <c r="M108" s="13">
        <v>1290000</v>
      </c>
      <c r="N108" s="14">
        <v>11</v>
      </c>
      <c r="P108" s="14">
        <v>1</v>
      </c>
      <c r="Q108" s="15">
        <v>0.11</v>
      </c>
      <c r="R108" s="12">
        <v>60000</v>
      </c>
      <c r="S108" s="12">
        <v>1</v>
      </c>
      <c r="T108" s="12">
        <v>0</v>
      </c>
      <c r="U108" s="12">
        <v>34004</v>
      </c>
      <c r="V108" s="12">
        <v>1</v>
      </c>
      <c r="W108" s="12">
        <v>123820.80342788057</v>
      </c>
      <c r="X108">
        <v>1</v>
      </c>
      <c r="Y108">
        <v>1</v>
      </c>
      <c r="Z108" s="15">
        <v>0.26780596853345168</v>
      </c>
      <c r="AA108" t="str">
        <f t="shared" si="3"/>
        <v>1-CT</v>
      </c>
      <c r="AB108" s="9">
        <f t="shared" si="4"/>
        <v>141900</v>
      </c>
      <c r="AC108" s="9">
        <f t="shared" si="5"/>
        <v>345469.69940815266</v>
      </c>
    </row>
    <row r="109" spans="1:29" x14ac:dyDescent="0.25">
      <c r="A109" t="s">
        <v>29</v>
      </c>
      <c r="B109">
        <v>30012</v>
      </c>
      <c r="C109" s="8">
        <v>45575</v>
      </c>
      <c r="D109" s="9">
        <v>321600</v>
      </c>
      <c r="E109" s="10">
        <v>9</v>
      </c>
      <c r="F109" t="s">
        <v>117</v>
      </c>
      <c r="G109" s="11">
        <v>6</v>
      </c>
      <c r="H109" t="s">
        <v>31</v>
      </c>
      <c r="J109" s="12">
        <v>0</v>
      </c>
      <c r="L109" t="s">
        <v>40</v>
      </c>
      <c r="M109" s="13">
        <v>942000</v>
      </c>
      <c r="N109" s="14">
        <v>11</v>
      </c>
      <c r="P109" s="14">
        <v>1</v>
      </c>
      <c r="Q109" s="15">
        <v>0.11</v>
      </c>
      <c r="R109" s="12">
        <v>40000</v>
      </c>
      <c r="S109" s="12">
        <v>1</v>
      </c>
      <c r="T109" s="12">
        <v>0</v>
      </c>
      <c r="U109" s="12">
        <v>27879.200000000001</v>
      </c>
      <c r="V109" s="12">
        <v>1</v>
      </c>
      <c r="W109" s="12">
        <v>90417.982038033733</v>
      </c>
      <c r="X109">
        <v>1</v>
      </c>
      <c r="Y109">
        <v>1</v>
      </c>
      <c r="Z109" s="15">
        <v>0.26594646476927741</v>
      </c>
      <c r="AA109" t="str">
        <f t="shared" si="3"/>
        <v>1-CT</v>
      </c>
      <c r="AB109" s="9">
        <f t="shared" si="4"/>
        <v>103620</v>
      </c>
      <c r="AC109" s="9">
        <f t="shared" si="5"/>
        <v>250521.56981265932</v>
      </c>
    </row>
    <row r="110" spans="1:29" x14ac:dyDescent="0.25">
      <c r="A110" t="s">
        <v>29</v>
      </c>
      <c r="B110">
        <v>30012</v>
      </c>
      <c r="C110" s="8">
        <v>45582</v>
      </c>
      <c r="D110" s="9">
        <v>321600</v>
      </c>
      <c r="E110" s="10">
        <v>9</v>
      </c>
      <c r="F110" t="s">
        <v>118</v>
      </c>
      <c r="G110" s="11">
        <v>6</v>
      </c>
      <c r="H110" t="s">
        <v>31</v>
      </c>
      <c r="J110" s="12">
        <v>0</v>
      </c>
      <c r="L110" t="s">
        <v>40</v>
      </c>
      <c r="M110" s="13">
        <v>950000</v>
      </c>
      <c r="N110" s="14">
        <v>11</v>
      </c>
      <c r="P110" s="14">
        <v>1</v>
      </c>
      <c r="Q110" s="15">
        <v>0.11</v>
      </c>
      <c r="R110" s="12">
        <v>40000</v>
      </c>
      <c r="S110" s="12">
        <v>1</v>
      </c>
      <c r="T110" s="12">
        <v>0</v>
      </c>
      <c r="U110" s="12">
        <v>28020</v>
      </c>
      <c r="V110" s="12">
        <v>1</v>
      </c>
      <c r="W110" s="12">
        <v>91185.862989524452</v>
      </c>
      <c r="X110">
        <v>1</v>
      </c>
      <c r="Y110">
        <v>1</v>
      </c>
      <c r="Z110" s="15">
        <v>0.26489824672187967</v>
      </c>
      <c r="AA110" t="str">
        <f t="shared" si="3"/>
        <v>1-CT</v>
      </c>
      <c r="AB110" s="9">
        <f t="shared" si="4"/>
        <v>104500</v>
      </c>
      <c r="AC110" s="9">
        <f t="shared" si="5"/>
        <v>251653.33438578568</v>
      </c>
    </row>
    <row r="111" spans="1:29" x14ac:dyDescent="0.25">
      <c r="A111" t="s">
        <v>29</v>
      </c>
      <c r="B111">
        <v>30012</v>
      </c>
      <c r="C111" s="8">
        <v>45589</v>
      </c>
      <c r="D111" s="9">
        <v>321600</v>
      </c>
      <c r="E111" s="10">
        <v>9</v>
      </c>
      <c r="F111" t="s">
        <v>39</v>
      </c>
      <c r="G111" s="11">
        <v>6</v>
      </c>
      <c r="H111" t="s">
        <v>31</v>
      </c>
      <c r="J111" s="12">
        <v>0</v>
      </c>
      <c r="L111" t="s">
        <v>40</v>
      </c>
      <c r="M111" s="13">
        <v>1322000</v>
      </c>
      <c r="N111" s="14">
        <v>11</v>
      </c>
      <c r="P111" s="14">
        <v>1</v>
      </c>
      <c r="Q111" s="15">
        <v>0.11</v>
      </c>
      <c r="R111" s="12">
        <v>60000</v>
      </c>
      <c r="S111" s="12">
        <v>1</v>
      </c>
      <c r="T111" s="12">
        <v>0</v>
      </c>
      <c r="U111" s="12">
        <v>34567.199999999997</v>
      </c>
      <c r="V111" s="12">
        <v>1</v>
      </c>
      <c r="W111" s="12">
        <v>126892.32723384351</v>
      </c>
      <c r="X111">
        <v>1</v>
      </c>
      <c r="Y111">
        <v>1</v>
      </c>
      <c r="Z111" s="15">
        <v>0.26474616071649293</v>
      </c>
      <c r="AA111" t="str">
        <f t="shared" si="3"/>
        <v>1-CT</v>
      </c>
      <c r="AB111" s="9">
        <f t="shared" si="4"/>
        <v>145420</v>
      </c>
      <c r="AC111" s="9">
        <f t="shared" si="5"/>
        <v>349994.42446720367</v>
      </c>
    </row>
    <row r="112" spans="1:29" x14ac:dyDescent="0.25">
      <c r="A112" t="s">
        <v>29</v>
      </c>
      <c r="B112">
        <v>30012</v>
      </c>
      <c r="C112" s="8">
        <v>45566</v>
      </c>
      <c r="D112" s="9">
        <v>321600</v>
      </c>
      <c r="E112" s="10">
        <v>9</v>
      </c>
      <c r="F112" t="s">
        <v>35</v>
      </c>
      <c r="G112" s="11">
        <v>6</v>
      </c>
      <c r="H112" t="s">
        <v>31</v>
      </c>
      <c r="J112" s="12">
        <v>0</v>
      </c>
      <c r="L112" t="s">
        <v>109</v>
      </c>
      <c r="M112" s="13">
        <v>1325000</v>
      </c>
      <c r="N112" s="14">
        <v>11</v>
      </c>
      <c r="P112" s="14">
        <v>1</v>
      </c>
      <c r="Q112" s="15">
        <v>0.11</v>
      </c>
      <c r="R112" s="12">
        <v>60000</v>
      </c>
      <c r="S112" s="12">
        <v>1</v>
      </c>
      <c r="T112" s="12">
        <v>0</v>
      </c>
      <c r="U112" s="12">
        <v>34620</v>
      </c>
      <c r="V112" s="12">
        <v>1</v>
      </c>
      <c r="W112" s="12">
        <v>127180.28259065252</v>
      </c>
      <c r="X112">
        <v>1</v>
      </c>
      <c r="Y112">
        <v>1</v>
      </c>
      <c r="Z112" s="15">
        <v>0.2644672041632995</v>
      </c>
      <c r="AA112" t="str">
        <f t="shared" si="3"/>
        <v>1-CT</v>
      </c>
      <c r="AB112" s="9">
        <f t="shared" si="4"/>
        <v>145750</v>
      </c>
      <c r="AC112" s="9">
        <f t="shared" si="5"/>
        <v>350419.04551637184</v>
      </c>
    </row>
    <row r="113" spans="1:29" x14ac:dyDescent="0.25">
      <c r="A113" t="s">
        <v>29</v>
      </c>
      <c r="B113">
        <v>30012</v>
      </c>
      <c r="C113" s="8">
        <v>45657</v>
      </c>
      <c r="D113" s="9">
        <v>321620</v>
      </c>
      <c r="E113" s="10">
        <v>2</v>
      </c>
      <c r="F113" t="s">
        <v>95</v>
      </c>
      <c r="G113" s="11">
        <v>6</v>
      </c>
      <c r="H113" t="s">
        <v>31</v>
      </c>
      <c r="J113" s="12">
        <v>0</v>
      </c>
      <c r="L113" t="s">
        <v>32</v>
      </c>
      <c r="M113" s="13">
        <v>595000</v>
      </c>
      <c r="N113" s="14">
        <v>12</v>
      </c>
      <c r="P113" s="14">
        <v>1</v>
      </c>
      <c r="Q113" s="15">
        <v>0.105</v>
      </c>
      <c r="R113" s="12">
        <v>25000</v>
      </c>
      <c r="S113" s="12">
        <v>1</v>
      </c>
      <c r="T113" s="12">
        <v>0</v>
      </c>
      <c r="U113" s="12">
        <v>21772</v>
      </c>
      <c r="V113" s="12">
        <v>1</v>
      </c>
      <c r="W113" s="12">
        <v>52448.418722076363</v>
      </c>
      <c r="X113">
        <v>1</v>
      </c>
      <c r="Y113">
        <v>1</v>
      </c>
      <c r="Z113" s="15">
        <v>0.26285237512628418</v>
      </c>
      <c r="AA113" t="str">
        <f t="shared" si="3"/>
        <v>1-CT</v>
      </c>
      <c r="AB113" s="9">
        <f t="shared" si="4"/>
        <v>62475</v>
      </c>
      <c r="AC113" s="9">
        <f t="shared" si="5"/>
        <v>156397.1632001391</v>
      </c>
    </row>
    <row r="114" spans="1:29" x14ac:dyDescent="0.25">
      <c r="A114" t="s">
        <v>29</v>
      </c>
      <c r="B114">
        <v>30012</v>
      </c>
      <c r="C114" s="8">
        <v>45652</v>
      </c>
      <c r="D114" s="9">
        <v>321620</v>
      </c>
      <c r="E114" s="10">
        <v>2</v>
      </c>
      <c r="F114" t="s">
        <v>119</v>
      </c>
      <c r="G114" s="11">
        <v>6</v>
      </c>
      <c r="H114" t="s">
        <v>31</v>
      </c>
      <c r="J114" s="12">
        <v>0</v>
      </c>
      <c r="L114" t="s">
        <v>38</v>
      </c>
      <c r="M114" s="13">
        <v>600000</v>
      </c>
      <c r="N114" s="14">
        <v>12</v>
      </c>
      <c r="P114" s="14">
        <v>1</v>
      </c>
      <c r="Q114" s="15">
        <v>0.105</v>
      </c>
      <c r="R114" s="12">
        <v>25000</v>
      </c>
      <c r="S114" s="12">
        <v>1</v>
      </c>
      <c r="T114" s="12">
        <v>0</v>
      </c>
      <c r="U114" s="12">
        <v>21860</v>
      </c>
      <c r="V114" s="12">
        <v>1</v>
      </c>
      <c r="W114" s="12">
        <v>52889.161736547605</v>
      </c>
      <c r="X114">
        <v>1</v>
      </c>
      <c r="Y114">
        <v>1</v>
      </c>
      <c r="Z114" s="15">
        <v>0.26176882095705289</v>
      </c>
      <c r="AA114" t="str">
        <f t="shared" si="3"/>
        <v>1-CT</v>
      </c>
      <c r="AB114" s="9">
        <f t="shared" si="4"/>
        <v>63000</v>
      </c>
      <c r="AC114" s="9">
        <f t="shared" si="5"/>
        <v>157061.29257423175</v>
      </c>
    </row>
    <row r="115" spans="1:29" x14ac:dyDescent="0.25">
      <c r="A115" t="s">
        <v>29</v>
      </c>
      <c r="B115">
        <v>30012</v>
      </c>
      <c r="C115" s="8">
        <v>45589</v>
      </c>
      <c r="D115" s="9">
        <v>321600</v>
      </c>
      <c r="E115" s="10">
        <v>9</v>
      </c>
      <c r="F115" t="s">
        <v>58</v>
      </c>
      <c r="G115" s="11">
        <v>6</v>
      </c>
      <c r="H115" t="s">
        <v>31</v>
      </c>
      <c r="J115" s="12">
        <v>0</v>
      </c>
      <c r="L115" t="s">
        <v>40</v>
      </c>
      <c r="M115" s="13">
        <v>595000</v>
      </c>
      <c r="N115" s="14">
        <v>4</v>
      </c>
      <c r="P115" s="14">
        <v>2</v>
      </c>
      <c r="Q115" s="15">
        <v>0.11</v>
      </c>
      <c r="R115" s="12">
        <v>40000</v>
      </c>
      <c r="S115" s="12">
        <v>1</v>
      </c>
      <c r="T115" s="12">
        <v>0</v>
      </c>
      <c r="U115" s="12">
        <v>21772</v>
      </c>
      <c r="V115" s="12">
        <v>1</v>
      </c>
      <c r="W115" s="12">
        <v>155629.63223253004</v>
      </c>
      <c r="X115">
        <v>1</v>
      </c>
      <c r="Y115">
        <v>1</v>
      </c>
      <c r="Z115" s="15">
        <v>0.25976169934286125</v>
      </c>
      <c r="AA115" t="str">
        <f t="shared" si="3"/>
        <v>1-CT</v>
      </c>
      <c r="AB115" s="9">
        <f t="shared" si="4"/>
        <v>65450</v>
      </c>
      <c r="AC115" s="9">
        <f t="shared" si="5"/>
        <v>154558.21110900244</v>
      </c>
    </row>
    <row r="116" spans="1:29" x14ac:dyDescent="0.25">
      <c r="A116" t="s">
        <v>29</v>
      </c>
      <c r="B116">
        <v>30012</v>
      </c>
      <c r="C116" s="8">
        <v>45635</v>
      </c>
      <c r="D116" s="9">
        <v>321620</v>
      </c>
      <c r="E116" s="10">
        <v>2</v>
      </c>
      <c r="F116" t="s">
        <v>120</v>
      </c>
      <c r="G116" s="11">
        <v>6</v>
      </c>
      <c r="H116" t="s">
        <v>31</v>
      </c>
      <c r="J116" s="12">
        <v>0</v>
      </c>
      <c r="L116" t="s">
        <v>32</v>
      </c>
      <c r="M116" s="13">
        <v>610000</v>
      </c>
      <c r="N116" s="14">
        <v>12</v>
      </c>
      <c r="P116" s="14">
        <v>1</v>
      </c>
      <c r="Q116" s="15">
        <v>0.105</v>
      </c>
      <c r="R116" s="12">
        <v>25000</v>
      </c>
      <c r="S116" s="12">
        <v>1</v>
      </c>
      <c r="T116" s="12">
        <v>0</v>
      </c>
      <c r="U116" s="12">
        <v>22036</v>
      </c>
      <c r="V116" s="12">
        <v>1</v>
      </c>
      <c r="W116" s="12">
        <v>53770.647765490059</v>
      </c>
      <c r="X116">
        <v>1</v>
      </c>
      <c r="Y116">
        <v>1</v>
      </c>
      <c r="Z116" s="15">
        <v>0.25965751946679488</v>
      </c>
      <c r="AA116" t="str">
        <f t="shared" si="3"/>
        <v>1-CT</v>
      </c>
      <c r="AB116" s="9">
        <f t="shared" si="4"/>
        <v>64050</v>
      </c>
      <c r="AC116" s="9">
        <f t="shared" si="5"/>
        <v>158391.08687474488</v>
      </c>
    </row>
    <row r="117" spans="1:29" x14ac:dyDescent="0.25">
      <c r="A117" t="s">
        <v>29</v>
      </c>
      <c r="B117">
        <v>30012</v>
      </c>
      <c r="C117" s="8">
        <v>45574</v>
      </c>
      <c r="D117" s="9">
        <v>321600</v>
      </c>
      <c r="E117" s="10">
        <v>9</v>
      </c>
      <c r="F117" t="s">
        <v>121</v>
      </c>
      <c r="G117" s="11">
        <v>6</v>
      </c>
      <c r="H117" t="s">
        <v>31</v>
      </c>
      <c r="J117" s="12">
        <v>0</v>
      </c>
      <c r="L117" t="s">
        <v>36</v>
      </c>
      <c r="M117" s="13">
        <v>1000000</v>
      </c>
      <c r="N117" s="14">
        <v>11</v>
      </c>
      <c r="P117" s="14">
        <v>1</v>
      </c>
      <c r="Q117" s="15">
        <v>0.11</v>
      </c>
      <c r="R117" s="12">
        <v>40000</v>
      </c>
      <c r="S117" s="12">
        <v>1</v>
      </c>
      <c r="T117" s="12">
        <v>0</v>
      </c>
      <c r="U117" s="12">
        <v>28900</v>
      </c>
      <c r="V117" s="12">
        <v>1</v>
      </c>
      <c r="W117" s="12">
        <v>95985.118936341532</v>
      </c>
      <c r="X117">
        <v>1</v>
      </c>
      <c r="Y117">
        <v>1</v>
      </c>
      <c r="Z117" s="15">
        <v>0.25874226997108818</v>
      </c>
      <c r="AA117" t="str">
        <f t="shared" si="3"/>
        <v>1-CT</v>
      </c>
      <c r="AB117" s="9">
        <f t="shared" si="4"/>
        <v>110000</v>
      </c>
      <c r="AC117" s="9">
        <f t="shared" si="5"/>
        <v>258742.26997108819</v>
      </c>
    </row>
    <row r="118" spans="1:29" x14ac:dyDescent="0.25">
      <c r="A118" t="s">
        <v>29</v>
      </c>
      <c r="B118">
        <v>30012</v>
      </c>
      <c r="C118" s="8">
        <v>45579</v>
      </c>
      <c r="D118" s="9">
        <v>321600</v>
      </c>
      <c r="E118" s="10">
        <v>9</v>
      </c>
      <c r="F118" t="s">
        <v>86</v>
      </c>
      <c r="G118" s="11">
        <v>6</v>
      </c>
      <c r="H118" t="s">
        <v>31</v>
      </c>
      <c r="J118" s="12">
        <v>0</v>
      </c>
      <c r="L118" t="s">
        <v>38</v>
      </c>
      <c r="M118" s="13">
        <v>1000000</v>
      </c>
      <c r="N118" s="14">
        <v>11</v>
      </c>
      <c r="P118" s="14">
        <v>1</v>
      </c>
      <c r="Q118" s="15">
        <v>0.11</v>
      </c>
      <c r="R118" s="12">
        <v>40000</v>
      </c>
      <c r="S118" s="12">
        <v>1</v>
      </c>
      <c r="T118" s="12">
        <v>0</v>
      </c>
      <c r="U118" s="12">
        <v>28900</v>
      </c>
      <c r="V118" s="12">
        <v>1</v>
      </c>
      <c r="W118" s="12">
        <v>95985.118936341532</v>
      </c>
      <c r="X118">
        <v>1</v>
      </c>
      <c r="Y118">
        <v>1</v>
      </c>
      <c r="Z118" s="15">
        <v>0.25874226997108818</v>
      </c>
      <c r="AA118" t="str">
        <f t="shared" si="3"/>
        <v>1-CT</v>
      </c>
      <c r="AB118" s="9">
        <f t="shared" si="4"/>
        <v>110000</v>
      </c>
      <c r="AC118" s="9">
        <f t="shared" si="5"/>
        <v>258742.26997108819</v>
      </c>
    </row>
    <row r="119" spans="1:29" x14ac:dyDescent="0.25">
      <c r="A119" t="s">
        <v>29</v>
      </c>
      <c r="B119">
        <v>30012</v>
      </c>
      <c r="C119" s="8">
        <v>45583</v>
      </c>
      <c r="D119" s="9">
        <v>321600</v>
      </c>
      <c r="E119" s="10">
        <v>9</v>
      </c>
      <c r="F119" t="s">
        <v>122</v>
      </c>
      <c r="G119" s="11">
        <v>6</v>
      </c>
      <c r="H119" t="s">
        <v>31</v>
      </c>
      <c r="J119" s="12">
        <v>0</v>
      </c>
      <c r="L119" t="s">
        <v>123</v>
      </c>
      <c r="M119" s="13">
        <v>1000000</v>
      </c>
      <c r="N119" s="14">
        <v>11</v>
      </c>
      <c r="P119" s="14">
        <v>1</v>
      </c>
      <c r="Q119" s="15">
        <v>0.11</v>
      </c>
      <c r="R119" s="12">
        <v>40000</v>
      </c>
      <c r="S119" s="12">
        <v>1</v>
      </c>
      <c r="T119" s="12">
        <v>0</v>
      </c>
      <c r="U119" s="12">
        <v>28900</v>
      </c>
      <c r="V119" s="12">
        <v>1</v>
      </c>
      <c r="W119" s="12">
        <v>95985.118936341532</v>
      </c>
      <c r="X119">
        <v>1</v>
      </c>
      <c r="Y119">
        <v>1</v>
      </c>
      <c r="Z119" s="15">
        <v>0.25874226997108818</v>
      </c>
      <c r="AA119" t="str">
        <f t="shared" si="3"/>
        <v>1-CT</v>
      </c>
      <c r="AB119" s="9">
        <f t="shared" si="4"/>
        <v>110000</v>
      </c>
      <c r="AC119" s="9">
        <f t="shared" si="5"/>
        <v>258742.26997108819</v>
      </c>
    </row>
    <row r="120" spans="1:29" x14ac:dyDescent="0.25">
      <c r="A120" t="s">
        <v>29</v>
      </c>
      <c r="B120">
        <v>30012</v>
      </c>
      <c r="C120" s="8">
        <v>45573</v>
      </c>
      <c r="D120" s="9">
        <v>321600</v>
      </c>
      <c r="E120" s="10">
        <v>9</v>
      </c>
      <c r="F120" t="s">
        <v>124</v>
      </c>
      <c r="G120" s="11">
        <v>6</v>
      </c>
      <c r="H120" t="s">
        <v>31</v>
      </c>
      <c r="J120" s="12">
        <v>0</v>
      </c>
      <c r="L120" t="s">
        <v>38</v>
      </c>
      <c r="M120" s="13">
        <v>1000000</v>
      </c>
      <c r="N120" s="14">
        <v>11</v>
      </c>
      <c r="P120" s="14">
        <v>1</v>
      </c>
      <c r="Q120" s="15">
        <v>0.11</v>
      </c>
      <c r="R120" s="12">
        <v>40000</v>
      </c>
      <c r="S120" s="12">
        <v>1</v>
      </c>
      <c r="T120" s="12">
        <v>0</v>
      </c>
      <c r="U120" s="12">
        <v>28900</v>
      </c>
      <c r="V120" s="12">
        <v>1</v>
      </c>
      <c r="W120" s="12">
        <v>95985.118936341532</v>
      </c>
      <c r="X120">
        <v>1</v>
      </c>
      <c r="Y120">
        <v>1</v>
      </c>
      <c r="Z120" s="15">
        <v>0.25874226997108818</v>
      </c>
      <c r="AA120" t="str">
        <f t="shared" si="3"/>
        <v>1-CT</v>
      </c>
      <c r="AB120" s="9">
        <f t="shared" si="4"/>
        <v>110000</v>
      </c>
      <c r="AC120" s="9">
        <f t="shared" si="5"/>
        <v>258742.26997108819</v>
      </c>
    </row>
    <row r="121" spans="1:29" x14ac:dyDescent="0.25">
      <c r="A121" t="s">
        <v>29</v>
      </c>
      <c r="B121">
        <v>30012</v>
      </c>
      <c r="C121" s="8">
        <v>45580</v>
      </c>
      <c r="D121" s="9">
        <v>321600</v>
      </c>
      <c r="E121" s="10">
        <v>9</v>
      </c>
      <c r="F121" t="s">
        <v>115</v>
      </c>
      <c r="G121" s="11">
        <v>6</v>
      </c>
      <c r="H121" t="s">
        <v>31</v>
      </c>
      <c r="J121" s="12">
        <v>0</v>
      </c>
      <c r="L121" t="s">
        <v>32</v>
      </c>
      <c r="M121" s="13">
        <v>1000000</v>
      </c>
      <c r="N121" s="14">
        <v>11</v>
      </c>
      <c r="P121" s="14">
        <v>1</v>
      </c>
      <c r="Q121" s="15">
        <v>0.11</v>
      </c>
      <c r="R121" s="12">
        <v>40000</v>
      </c>
      <c r="S121" s="12">
        <v>1</v>
      </c>
      <c r="T121" s="12">
        <v>0</v>
      </c>
      <c r="U121" s="12">
        <v>28900</v>
      </c>
      <c r="V121" s="12">
        <v>1</v>
      </c>
      <c r="W121" s="12">
        <v>95985.118936341532</v>
      </c>
      <c r="X121">
        <v>1</v>
      </c>
      <c r="Y121">
        <v>1</v>
      </c>
      <c r="Z121" s="15">
        <v>0.25874226997108818</v>
      </c>
      <c r="AA121" t="str">
        <f t="shared" si="3"/>
        <v>1-CT</v>
      </c>
      <c r="AB121" s="9">
        <f t="shared" si="4"/>
        <v>110000</v>
      </c>
      <c r="AC121" s="9">
        <f t="shared" si="5"/>
        <v>258742.26997108819</v>
      </c>
    </row>
    <row r="122" spans="1:29" x14ac:dyDescent="0.25">
      <c r="A122" t="s">
        <v>29</v>
      </c>
      <c r="B122">
        <v>30012</v>
      </c>
      <c r="C122" s="8">
        <v>45635</v>
      </c>
      <c r="D122" s="9">
        <v>321620</v>
      </c>
      <c r="E122" s="10">
        <v>2</v>
      </c>
      <c r="F122" t="s">
        <v>125</v>
      </c>
      <c r="G122" s="11">
        <v>6</v>
      </c>
      <c r="H122" t="s">
        <v>31</v>
      </c>
      <c r="J122" s="12">
        <v>0</v>
      </c>
      <c r="L122" t="s">
        <v>36</v>
      </c>
      <c r="M122" s="13">
        <v>617000</v>
      </c>
      <c r="N122" s="14">
        <v>12</v>
      </c>
      <c r="P122" s="14">
        <v>1</v>
      </c>
      <c r="Q122" s="15">
        <v>0.105</v>
      </c>
      <c r="R122" s="12">
        <v>25000</v>
      </c>
      <c r="S122" s="12">
        <v>1</v>
      </c>
      <c r="T122" s="12">
        <v>0</v>
      </c>
      <c r="U122" s="12">
        <v>22159.200000000001</v>
      </c>
      <c r="V122" s="12">
        <v>1</v>
      </c>
      <c r="W122" s="12">
        <v>54387.687985749784</v>
      </c>
      <c r="X122">
        <v>1</v>
      </c>
      <c r="Y122">
        <v>1</v>
      </c>
      <c r="Z122" s="15">
        <v>0.25822222891640956</v>
      </c>
      <c r="AA122" t="str">
        <f t="shared" si="3"/>
        <v>1-CT</v>
      </c>
      <c r="AB122" s="9">
        <f t="shared" si="4"/>
        <v>64785</v>
      </c>
      <c r="AC122" s="9">
        <f t="shared" si="5"/>
        <v>159323.1152414247</v>
      </c>
    </row>
    <row r="123" spans="1:29" x14ac:dyDescent="0.25">
      <c r="A123" t="s">
        <v>29</v>
      </c>
      <c r="B123">
        <v>30012</v>
      </c>
      <c r="C123" s="8">
        <v>45587</v>
      </c>
      <c r="D123" s="9">
        <v>321600</v>
      </c>
      <c r="E123" s="10">
        <v>9</v>
      </c>
      <c r="F123" t="s">
        <v>126</v>
      </c>
      <c r="G123" s="11">
        <v>6</v>
      </c>
      <c r="H123" t="s">
        <v>31</v>
      </c>
      <c r="J123" s="12">
        <v>0</v>
      </c>
      <c r="L123" t="s">
        <v>32</v>
      </c>
      <c r="M123" s="13">
        <v>1400000</v>
      </c>
      <c r="N123" s="14">
        <v>11</v>
      </c>
      <c r="P123" s="14">
        <v>1</v>
      </c>
      <c r="Q123" s="15">
        <v>0.11</v>
      </c>
      <c r="R123" s="12">
        <v>60000</v>
      </c>
      <c r="S123" s="12">
        <v>1</v>
      </c>
      <c r="T123" s="12">
        <v>0</v>
      </c>
      <c r="U123" s="12">
        <v>35940</v>
      </c>
      <c r="V123" s="12">
        <v>1</v>
      </c>
      <c r="W123" s="12">
        <v>134379.16651087816</v>
      </c>
      <c r="X123">
        <v>1</v>
      </c>
      <c r="Y123">
        <v>1</v>
      </c>
      <c r="Z123" s="15">
        <v>0.2578974701991863</v>
      </c>
      <c r="AA123" t="str">
        <f t="shared" si="3"/>
        <v>1-CT</v>
      </c>
      <c r="AB123" s="9">
        <f t="shared" si="4"/>
        <v>154000</v>
      </c>
      <c r="AC123" s="9">
        <f t="shared" si="5"/>
        <v>361056.45827886084</v>
      </c>
    </row>
    <row r="124" spans="1:29" x14ac:dyDescent="0.25">
      <c r="A124" t="s">
        <v>29</v>
      </c>
      <c r="B124">
        <v>30012</v>
      </c>
      <c r="C124" s="8">
        <v>45656</v>
      </c>
      <c r="D124" s="9">
        <v>321620</v>
      </c>
      <c r="E124" s="10">
        <v>2</v>
      </c>
      <c r="F124" t="s">
        <v>127</v>
      </c>
      <c r="G124" s="11">
        <v>6</v>
      </c>
      <c r="H124" t="s">
        <v>31</v>
      </c>
      <c r="J124" s="12">
        <v>0</v>
      </c>
      <c r="L124" t="s">
        <v>40</v>
      </c>
      <c r="M124" s="13">
        <v>420000</v>
      </c>
      <c r="N124" s="14">
        <v>4</v>
      </c>
      <c r="P124" s="14">
        <v>2</v>
      </c>
      <c r="Q124" s="15">
        <v>0.105</v>
      </c>
      <c r="R124" s="12">
        <v>25000</v>
      </c>
      <c r="S124" s="12">
        <v>1</v>
      </c>
      <c r="T124" s="12">
        <v>0</v>
      </c>
      <c r="U124" s="12">
        <v>18692</v>
      </c>
      <c r="V124" s="12">
        <v>1</v>
      </c>
      <c r="W124" s="12">
        <v>109633.59425600448</v>
      </c>
      <c r="X124">
        <v>1</v>
      </c>
      <c r="Y124">
        <v>1</v>
      </c>
      <c r="Z124" s="15">
        <v>0.25660741152312766</v>
      </c>
      <c r="AA124" t="str">
        <f t="shared" si="3"/>
        <v>1-CT</v>
      </c>
      <c r="AB124" s="9">
        <f t="shared" si="4"/>
        <v>44100</v>
      </c>
      <c r="AC124" s="9">
        <f t="shared" si="5"/>
        <v>107775.11283971362</v>
      </c>
    </row>
    <row r="125" spans="1:29" x14ac:dyDescent="0.25">
      <c r="A125" t="s">
        <v>29</v>
      </c>
      <c r="B125">
        <v>30012</v>
      </c>
      <c r="C125" s="8">
        <v>45638</v>
      </c>
      <c r="D125" s="9">
        <v>321620</v>
      </c>
      <c r="E125" s="10">
        <v>2</v>
      </c>
      <c r="F125" t="s">
        <v>117</v>
      </c>
      <c r="G125" s="11">
        <v>6</v>
      </c>
      <c r="H125" t="s">
        <v>31</v>
      </c>
      <c r="J125" s="12">
        <v>0</v>
      </c>
      <c r="L125" t="s">
        <v>32</v>
      </c>
      <c r="M125" s="13">
        <v>635000</v>
      </c>
      <c r="N125" s="14">
        <v>12</v>
      </c>
      <c r="P125" s="14">
        <v>1</v>
      </c>
      <c r="Q125" s="15">
        <v>0.105</v>
      </c>
      <c r="R125" s="12">
        <v>25000</v>
      </c>
      <c r="S125" s="12">
        <v>1</v>
      </c>
      <c r="T125" s="12">
        <v>0</v>
      </c>
      <c r="U125" s="12">
        <v>22476</v>
      </c>
      <c r="V125" s="12">
        <v>1</v>
      </c>
      <c r="W125" s="12">
        <v>55974.362837846209</v>
      </c>
      <c r="X125">
        <v>1</v>
      </c>
      <c r="Y125">
        <v>1</v>
      </c>
      <c r="Z125" s="15">
        <v>0.25468336280373738</v>
      </c>
      <c r="AA125" t="str">
        <f t="shared" si="3"/>
        <v>1-CT</v>
      </c>
      <c r="AB125" s="9">
        <f t="shared" si="4"/>
        <v>66675</v>
      </c>
      <c r="AC125" s="9">
        <f t="shared" si="5"/>
        <v>161723.93538037324</v>
      </c>
    </row>
    <row r="126" spans="1:29" x14ac:dyDescent="0.25">
      <c r="A126" t="s">
        <v>29</v>
      </c>
      <c r="B126">
        <v>30012</v>
      </c>
      <c r="C126" s="8">
        <v>45574</v>
      </c>
      <c r="D126" s="9">
        <v>321600</v>
      </c>
      <c r="E126" s="10">
        <v>9</v>
      </c>
      <c r="F126" t="s">
        <v>100</v>
      </c>
      <c r="G126" s="11">
        <v>6</v>
      </c>
      <c r="H126" t="s">
        <v>31</v>
      </c>
      <c r="J126" s="12">
        <v>0</v>
      </c>
      <c r="L126" t="s">
        <v>40</v>
      </c>
      <c r="M126" s="13">
        <v>1450000</v>
      </c>
      <c r="N126" s="14">
        <v>11</v>
      </c>
      <c r="P126" s="14">
        <v>1</v>
      </c>
      <c r="Q126" s="15">
        <v>0.11</v>
      </c>
      <c r="R126" s="12">
        <v>60000</v>
      </c>
      <c r="S126" s="12">
        <v>1</v>
      </c>
      <c r="T126" s="12">
        <v>0</v>
      </c>
      <c r="U126" s="12">
        <v>36820</v>
      </c>
      <c r="V126" s="12">
        <v>1</v>
      </c>
      <c r="W126" s="12">
        <v>139178.42245769524</v>
      </c>
      <c r="X126">
        <v>1</v>
      </c>
      <c r="Y126">
        <v>1</v>
      </c>
      <c r="Z126" s="15">
        <v>0.25390985569192154</v>
      </c>
      <c r="AA126" t="str">
        <f t="shared" si="3"/>
        <v>1-CT</v>
      </c>
      <c r="AB126" s="9">
        <f t="shared" si="4"/>
        <v>159500</v>
      </c>
      <c r="AC126" s="9">
        <f t="shared" si="5"/>
        <v>368169.29075328622</v>
      </c>
    </row>
    <row r="127" spans="1:29" x14ac:dyDescent="0.25">
      <c r="A127" t="s">
        <v>29</v>
      </c>
      <c r="B127">
        <v>30012</v>
      </c>
      <c r="C127" s="8">
        <v>45595</v>
      </c>
      <c r="D127" s="9">
        <v>321600</v>
      </c>
      <c r="E127" s="10">
        <v>9</v>
      </c>
      <c r="F127" t="s">
        <v>72</v>
      </c>
      <c r="G127" s="11">
        <v>6</v>
      </c>
      <c r="H127" t="s">
        <v>31</v>
      </c>
      <c r="J127" s="12">
        <v>0</v>
      </c>
      <c r="L127" t="s">
        <v>40</v>
      </c>
      <c r="M127" s="13">
        <v>1462000</v>
      </c>
      <c r="N127" s="14">
        <v>11</v>
      </c>
      <c r="P127" s="14">
        <v>1</v>
      </c>
      <c r="Q127" s="15">
        <v>0.11</v>
      </c>
      <c r="R127" s="12">
        <v>60000</v>
      </c>
      <c r="S127" s="12">
        <v>1</v>
      </c>
      <c r="T127" s="12">
        <v>0</v>
      </c>
      <c r="U127" s="12">
        <v>37031.199999999997</v>
      </c>
      <c r="V127" s="12">
        <v>1</v>
      </c>
      <c r="W127" s="12">
        <v>140330.24388493132</v>
      </c>
      <c r="X127">
        <v>1</v>
      </c>
      <c r="Y127">
        <v>1</v>
      </c>
      <c r="Z127" s="15">
        <v>0.25299497230243406</v>
      </c>
      <c r="AA127" t="str">
        <f t="shared" si="3"/>
        <v>1-CT</v>
      </c>
      <c r="AB127" s="9">
        <f t="shared" si="4"/>
        <v>160820</v>
      </c>
      <c r="AC127" s="9">
        <f t="shared" si="5"/>
        <v>369878.6495061586</v>
      </c>
    </row>
    <row r="128" spans="1:29" x14ac:dyDescent="0.25">
      <c r="A128" t="s">
        <v>29</v>
      </c>
      <c r="B128">
        <v>30012</v>
      </c>
      <c r="C128" s="8">
        <v>45638</v>
      </c>
      <c r="D128" s="9">
        <v>321620</v>
      </c>
      <c r="E128" s="10">
        <v>2</v>
      </c>
      <c r="F128" t="s">
        <v>67</v>
      </c>
      <c r="G128" s="11">
        <v>6</v>
      </c>
      <c r="H128" t="s">
        <v>31</v>
      </c>
      <c r="J128" s="12">
        <v>0</v>
      </c>
      <c r="L128" t="s">
        <v>32</v>
      </c>
      <c r="M128" s="13">
        <v>645000</v>
      </c>
      <c r="N128" s="14">
        <v>12</v>
      </c>
      <c r="P128" s="14">
        <v>1</v>
      </c>
      <c r="Q128" s="15">
        <v>0.105</v>
      </c>
      <c r="R128" s="12">
        <v>25000</v>
      </c>
      <c r="S128" s="12">
        <v>1</v>
      </c>
      <c r="T128" s="12">
        <v>0</v>
      </c>
      <c r="U128" s="12">
        <v>22652</v>
      </c>
      <c r="V128" s="12">
        <v>1</v>
      </c>
      <c r="W128" s="12">
        <v>56855.84886678867</v>
      </c>
      <c r="X128">
        <v>1</v>
      </c>
      <c r="Y128">
        <v>1</v>
      </c>
      <c r="Z128" s="15">
        <v>0.25280647154209479</v>
      </c>
      <c r="AA128" t="str">
        <f t="shared" si="3"/>
        <v>1-CT</v>
      </c>
      <c r="AB128" s="9">
        <f t="shared" si="4"/>
        <v>67725</v>
      </c>
      <c r="AC128" s="9">
        <f t="shared" si="5"/>
        <v>163060.17414465113</v>
      </c>
    </row>
    <row r="129" spans="1:29" x14ac:dyDescent="0.25">
      <c r="A129" t="s">
        <v>29</v>
      </c>
      <c r="B129">
        <v>30012</v>
      </c>
      <c r="C129" s="8">
        <v>45657</v>
      </c>
      <c r="D129" s="9">
        <v>321620</v>
      </c>
      <c r="E129" s="10">
        <v>2</v>
      </c>
      <c r="F129" t="s">
        <v>128</v>
      </c>
      <c r="G129" s="11">
        <v>6</v>
      </c>
      <c r="H129" t="s">
        <v>31</v>
      </c>
      <c r="J129" s="12">
        <v>0</v>
      </c>
      <c r="L129" t="s">
        <v>32</v>
      </c>
      <c r="M129" s="13">
        <v>650000</v>
      </c>
      <c r="N129" s="14">
        <v>12</v>
      </c>
      <c r="P129" s="14">
        <v>1</v>
      </c>
      <c r="Q129" s="15">
        <v>0.105</v>
      </c>
      <c r="R129" s="12">
        <v>25000</v>
      </c>
      <c r="S129" s="12">
        <v>1</v>
      </c>
      <c r="T129" s="12">
        <v>0</v>
      </c>
      <c r="U129" s="12">
        <v>22740</v>
      </c>
      <c r="V129" s="12">
        <v>1</v>
      </c>
      <c r="W129" s="12">
        <v>57296.591881259897</v>
      </c>
      <c r="X129">
        <v>1</v>
      </c>
      <c r="Y129">
        <v>1</v>
      </c>
      <c r="Z129" s="15">
        <v>0.25189063793632122</v>
      </c>
      <c r="AA129" t="str">
        <f t="shared" si="3"/>
        <v>1-CT</v>
      </c>
      <c r="AB129" s="9">
        <f t="shared" si="4"/>
        <v>68250</v>
      </c>
      <c r="AC129" s="9">
        <f t="shared" si="5"/>
        <v>163728.91465860879</v>
      </c>
    </row>
    <row r="130" spans="1:29" x14ac:dyDescent="0.25">
      <c r="A130" t="s">
        <v>29</v>
      </c>
      <c r="B130">
        <v>30012</v>
      </c>
      <c r="C130" s="8">
        <v>45603</v>
      </c>
      <c r="D130" s="9">
        <v>321600</v>
      </c>
      <c r="E130" s="10">
        <v>9</v>
      </c>
      <c r="F130" t="s">
        <v>129</v>
      </c>
      <c r="G130" s="11">
        <v>6</v>
      </c>
      <c r="H130" t="s">
        <v>31</v>
      </c>
      <c r="J130" s="12">
        <v>0</v>
      </c>
      <c r="L130" t="s">
        <v>130</v>
      </c>
      <c r="M130" s="13">
        <v>1500000</v>
      </c>
      <c r="N130" s="14">
        <v>11</v>
      </c>
      <c r="P130" s="14">
        <v>1</v>
      </c>
      <c r="Q130" s="15">
        <v>0.11</v>
      </c>
      <c r="R130" s="12">
        <v>60000</v>
      </c>
      <c r="S130" s="12">
        <v>1</v>
      </c>
      <c r="T130" s="12">
        <v>0</v>
      </c>
      <c r="U130" s="12">
        <v>37700</v>
      </c>
      <c r="V130" s="12">
        <v>1</v>
      </c>
      <c r="W130" s="12">
        <v>143977.67840451229</v>
      </c>
      <c r="X130">
        <v>1</v>
      </c>
      <c r="Y130">
        <v>1</v>
      </c>
      <c r="Z130" s="15">
        <v>0.25019802240567801</v>
      </c>
      <c r="AA130" t="str">
        <f t="shared" si="3"/>
        <v>1-CT</v>
      </c>
      <c r="AB130" s="9">
        <f t="shared" si="4"/>
        <v>165000</v>
      </c>
      <c r="AC130" s="9">
        <f t="shared" si="5"/>
        <v>375297.03360851703</v>
      </c>
    </row>
    <row r="131" spans="1:29" x14ac:dyDescent="0.25">
      <c r="A131" t="s">
        <v>29</v>
      </c>
      <c r="B131">
        <v>30012</v>
      </c>
      <c r="C131" s="8">
        <v>45574</v>
      </c>
      <c r="D131" s="9">
        <v>321600</v>
      </c>
      <c r="E131" s="10">
        <v>9</v>
      </c>
      <c r="F131" t="s">
        <v>126</v>
      </c>
      <c r="G131" s="11">
        <v>6</v>
      </c>
      <c r="H131" t="s">
        <v>31</v>
      </c>
      <c r="J131" s="12">
        <v>0</v>
      </c>
      <c r="L131" t="s">
        <v>40</v>
      </c>
      <c r="M131" s="13">
        <v>1500000</v>
      </c>
      <c r="N131" s="14">
        <v>11</v>
      </c>
      <c r="P131" s="14">
        <v>1</v>
      </c>
      <c r="Q131" s="15">
        <v>0.11</v>
      </c>
      <c r="R131" s="12">
        <v>60000</v>
      </c>
      <c r="S131" s="12">
        <v>1</v>
      </c>
      <c r="T131" s="12">
        <v>0</v>
      </c>
      <c r="U131" s="12">
        <v>37700</v>
      </c>
      <c r="V131" s="12">
        <v>1</v>
      </c>
      <c r="W131" s="12">
        <v>143977.67840451229</v>
      </c>
      <c r="X131">
        <v>1</v>
      </c>
      <c r="Y131">
        <v>1</v>
      </c>
      <c r="Z131" s="15">
        <v>0.25019802240567801</v>
      </c>
      <c r="AA131" t="str">
        <f t="shared" ref="AA131:AA194" si="6">IF(N131&lt;=24,"1-CT",IF(N131&gt;60,"3-LT","2-MT"))</f>
        <v>1-CT</v>
      </c>
      <c r="AB131" s="9">
        <f t="shared" ref="AB131:AB194" si="7">Q131*M131</f>
        <v>165000</v>
      </c>
      <c r="AC131" s="9">
        <f t="shared" ref="AC131:AC194" si="8">Z131*M131</f>
        <v>375297.03360851703</v>
      </c>
    </row>
    <row r="132" spans="1:29" x14ac:dyDescent="0.25">
      <c r="A132" t="s">
        <v>29</v>
      </c>
      <c r="B132">
        <v>30012</v>
      </c>
      <c r="C132" s="8">
        <v>45625</v>
      </c>
      <c r="D132" s="9">
        <v>321620</v>
      </c>
      <c r="E132" s="10">
        <v>2</v>
      </c>
      <c r="F132" t="s">
        <v>131</v>
      </c>
      <c r="G132" s="11">
        <v>6</v>
      </c>
      <c r="H132" t="s">
        <v>31</v>
      </c>
      <c r="J132" s="12">
        <v>0</v>
      </c>
      <c r="L132" t="s">
        <v>32</v>
      </c>
      <c r="M132" s="13">
        <v>932000</v>
      </c>
      <c r="N132" s="14">
        <v>12</v>
      </c>
      <c r="P132" s="14">
        <v>1</v>
      </c>
      <c r="Q132" s="15">
        <v>0.105</v>
      </c>
      <c r="R132" s="12">
        <v>40000</v>
      </c>
      <c r="S132" s="12">
        <v>1</v>
      </c>
      <c r="T132" s="12">
        <v>0</v>
      </c>
      <c r="U132" s="12">
        <v>27703.200000000001</v>
      </c>
      <c r="V132" s="12">
        <v>1</v>
      </c>
      <c r="W132" s="12">
        <v>82154.497897437264</v>
      </c>
      <c r="X132">
        <v>1</v>
      </c>
      <c r="Y132">
        <v>1</v>
      </c>
      <c r="Z132" s="15">
        <v>0.25019305158717992</v>
      </c>
      <c r="AA132" t="str">
        <f t="shared" si="6"/>
        <v>1-CT</v>
      </c>
      <c r="AB132" s="9">
        <f t="shared" si="7"/>
        <v>97860</v>
      </c>
      <c r="AC132" s="9">
        <f t="shared" si="8"/>
        <v>233179.92407925168</v>
      </c>
    </row>
    <row r="133" spans="1:29" x14ac:dyDescent="0.25">
      <c r="A133" t="s">
        <v>29</v>
      </c>
      <c r="B133">
        <v>30012</v>
      </c>
      <c r="C133" s="8">
        <v>45649</v>
      </c>
      <c r="D133" s="9">
        <v>321620</v>
      </c>
      <c r="E133" s="10">
        <v>2</v>
      </c>
      <c r="F133" t="s">
        <v>72</v>
      </c>
      <c r="G133" s="11">
        <v>6</v>
      </c>
      <c r="H133" t="s">
        <v>31</v>
      </c>
      <c r="J133" s="12">
        <v>0</v>
      </c>
      <c r="L133" t="s">
        <v>32</v>
      </c>
      <c r="M133" s="13">
        <v>660000</v>
      </c>
      <c r="N133" s="14">
        <v>12</v>
      </c>
      <c r="P133" s="14">
        <v>1</v>
      </c>
      <c r="Q133" s="15">
        <v>0.105</v>
      </c>
      <c r="R133" s="12">
        <v>25000</v>
      </c>
      <c r="S133" s="12">
        <v>1</v>
      </c>
      <c r="T133" s="12">
        <v>0</v>
      </c>
      <c r="U133" s="12">
        <v>22916</v>
      </c>
      <c r="V133" s="12">
        <v>1</v>
      </c>
      <c r="W133" s="12">
        <v>58178.077910202359</v>
      </c>
      <c r="X133">
        <v>1</v>
      </c>
      <c r="Y133">
        <v>1</v>
      </c>
      <c r="Z133" s="15">
        <v>0.25010240676285844</v>
      </c>
      <c r="AA133" t="str">
        <f t="shared" si="6"/>
        <v>1-CT</v>
      </c>
      <c r="AB133" s="9">
        <f t="shared" si="7"/>
        <v>69300</v>
      </c>
      <c r="AC133" s="9">
        <f t="shared" si="8"/>
        <v>165067.58846348658</v>
      </c>
    </row>
    <row r="134" spans="1:29" x14ac:dyDescent="0.25">
      <c r="A134" t="s">
        <v>29</v>
      </c>
      <c r="B134">
        <v>30012</v>
      </c>
      <c r="C134" s="8">
        <v>45645</v>
      </c>
      <c r="D134" s="9">
        <v>321620</v>
      </c>
      <c r="E134" s="10">
        <v>2</v>
      </c>
      <c r="F134" t="s">
        <v>132</v>
      </c>
      <c r="G134" s="11">
        <v>6</v>
      </c>
      <c r="H134" t="s">
        <v>31</v>
      </c>
      <c r="J134" s="12">
        <v>0</v>
      </c>
      <c r="L134" t="s">
        <v>38</v>
      </c>
      <c r="M134" s="13">
        <v>662000</v>
      </c>
      <c r="N134" s="14">
        <v>12</v>
      </c>
      <c r="P134" s="14">
        <v>1</v>
      </c>
      <c r="Q134" s="15">
        <v>0.105</v>
      </c>
      <c r="R134" s="12">
        <v>25000</v>
      </c>
      <c r="S134" s="12">
        <v>1</v>
      </c>
      <c r="T134" s="12">
        <v>0</v>
      </c>
      <c r="U134" s="12">
        <v>22951.200000000001</v>
      </c>
      <c r="V134" s="12">
        <v>1</v>
      </c>
      <c r="W134" s="12">
        <v>58354.37511599085</v>
      </c>
      <c r="X134">
        <v>1</v>
      </c>
      <c r="Y134">
        <v>1</v>
      </c>
      <c r="Z134" s="15">
        <v>0.24975152404165735</v>
      </c>
      <c r="AA134" t="str">
        <f t="shared" si="6"/>
        <v>1-CT</v>
      </c>
      <c r="AB134" s="9">
        <f t="shared" si="7"/>
        <v>69510</v>
      </c>
      <c r="AC134" s="9">
        <f t="shared" si="8"/>
        <v>165335.50891557717</v>
      </c>
    </row>
    <row r="135" spans="1:29" x14ac:dyDescent="0.25">
      <c r="A135" t="s">
        <v>29</v>
      </c>
      <c r="B135">
        <v>30012</v>
      </c>
      <c r="C135" s="8">
        <v>45639</v>
      </c>
      <c r="D135" s="9">
        <v>321620</v>
      </c>
      <c r="E135" s="10">
        <v>2</v>
      </c>
      <c r="F135" t="s">
        <v>102</v>
      </c>
      <c r="G135" s="11">
        <v>6</v>
      </c>
      <c r="H135" t="s">
        <v>31</v>
      </c>
      <c r="J135" s="12">
        <v>0</v>
      </c>
      <c r="L135" t="s">
        <v>38</v>
      </c>
      <c r="M135" s="13">
        <v>700000</v>
      </c>
      <c r="N135" s="14">
        <v>12</v>
      </c>
      <c r="P135" s="14">
        <v>1</v>
      </c>
      <c r="Q135" s="15">
        <v>0.11</v>
      </c>
      <c r="R135" s="12">
        <v>25000</v>
      </c>
      <c r="S135" s="12">
        <v>1</v>
      </c>
      <c r="T135" s="12">
        <v>0</v>
      </c>
      <c r="U135" s="12">
        <v>23620</v>
      </c>
      <c r="V135" s="12">
        <v>1</v>
      </c>
      <c r="W135" s="12">
        <v>61867.160965122821</v>
      </c>
      <c r="X135">
        <v>1</v>
      </c>
      <c r="Y135">
        <v>1</v>
      </c>
      <c r="Z135" s="15">
        <v>0.24864787768872287</v>
      </c>
      <c r="AA135" t="str">
        <f t="shared" si="6"/>
        <v>1-CT</v>
      </c>
      <c r="AB135" s="9">
        <f t="shared" si="7"/>
        <v>77000</v>
      </c>
      <c r="AC135" s="9">
        <f t="shared" si="8"/>
        <v>174053.51438210602</v>
      </c>
    </row>
    <row r="136" spans="1:29" x14ac:dyDescent="0.25">
      <c r="A136" t="s">
        <v>29</v>
      </c>
      <c r="B136">
        <v>30012</v>
      </c>
      <c r="C136" s="8">
        <v>45639</v>
      </c>
      <c r="D136" s="9">
        <v>321620</v>
      </c>
      <c r="E136" s="10">
        <v>2</v>
      </c>
      <c r="F136" t="s">
        <v>133</v>
      </c>
      <c r="G136" s="11">
        <v>6</v>
      </c>
      <c r="H136" t="s">
        <v>31</v>
      </c>
      <c r="J136" s="12">
        <v>0</v>
      </c>
      <c r="L136" t="s">
        <v>32</v>
      </c>
      <c r="M136" s="13">
        <v>700000</v>
      </c>
      <c r="N136" s="14">
        <v>12</v>
      </c>
      <c r="P136" s="14">
        <v>1</v>
      </c>
      <c r="Q136" s="15">
        <v>0.11</v>
      </c>
      <c r="R136" s="12">
        <v>25000</v>
      </c>
      <c r="S136" s="12">
        <v>1</v>
      </c>
      <c r="T136" s="12">
        <v>0</v>
      </c>
      <c r="U136" s="12">
        <v>23620</v>
      </c>
      <c r="V136" s="12">
        <v>1</v>
      </c>
      <c r="W136" s="12">
        <v>61867.160965122821</v>
      </c>
      <c r="X136">
        <v>1</v>
      </c>
      <c r="Y136">
        <v>1</v>
      </c>
      <c r="Z136" s="15">
        <v>0.24864787768872287</v>
      </c>
      <c r="AA136" t="str">
        <f t="shared" si="6"/>
        <v>1-CT</v>
      </c>
      <c r="AB136" s="9">
        <f t="shared" si="7"/>
        <v>77000</v>
      </c>
      <c r="AC136" s="9">
        <f t="shared" si="8"/>
        <v>174053.51438210602</v>
      </c>
    </row>
    <row r="137" spans="1:29" x14ac:dyDescent="0.25">
      <c r="A137" t="s">
        <v>29</v>
      </c>
      <c r="B137">
        <v>30012</v>
      </c>
      <c r="C137" s="8">
        <v>45636</v>
      </c>
      <c r="D137" s="9">
        <v>321620</v>
      </c>
      <c r="E137" s="10">
        <v>2</v>
      </c>
      <c r="F137" t="s">
        <v>81</v>
      </c>
      <c r="G137" s="11">
        <v>6</v>
      </c>
      <c r="H137" t="s">
        <v>31</v>
      </c>
      <c r="J137" s="12">
        <v>0</v>
      </c>
      <c r="L137" t="s">
        <v>38</v>
      </c>
      <c r="M137" s="13">
        <v>670000</v>
      </c>
      <c r="N137" s="14">
        <v>12</v>
      </c>
      <c r="P137" s="14">
        <v>1</v>
      </c>
      <c r="Q137" s="15">
        <v>0.105</v>
      </c>
      <c r="R137" s="12">
        <v>25000</v>
      </c>
      <c r="S137" s="12">
        <v>1</v>
      </c>
      <c r="T137" s="12">
        <v>0</v>
      </c>
      <c r="U137" s="12">
        <v>23092</v>
      </c>
      <c r="V137" s="12">
        <v>1</v>
      </c>
      <c r="W137" s="12">
        <v>59059.56393914482</v>
      </c>
      <c r="X137">
        <v>1</v>
      </c>
      <c r="Y137">
        <v>1</v>
      </c>
      <c r="Z137" s="15">
        <v>0.24836983623605924</v>
      </c>
      <c r="AA137" t="str">
        <f t="shared" si="6"/>
        <v>1-CT</v>
      </c>
      <c r="AB137" s="9">
        <f t="shared" si="7"/>
        <v>70350</v>
      </c>
      <c r="AC137" s="9">
        <f t="shared" si="8"/>
        <v>166407.79027815969</v>
      </c>
    </row>
    <row r="138" spans="1:29" x14ac:dyDescent="0.25">
      <c r="A138" t="s">
        <v>29</v>
      </c>
      <c r="B138">
        <v>30012</v>
      </c>
      <c r="C138" s="8">
        <v>45628</v>
      </c>
      <c r="D138" s="9">
        <v>321620</v>
      </c>
      <c r="E138" s="10">
        <v>2</v>
      </c>
      <c r="F138" t="s">
        <v>134</v>
      </c>
      <c r="G138" s="11">
        <v>6</v>
      </c>
      <c r="H138" t="s">
        <v>31</v>
      </c>
      <c r="J138" s="12">
        <v>0</v>
      </c>
      <c r="L138" t="s">
        <v>32</v>
      </c>
      <c r="M138" s="13">
        <v>950000</v>
      </c>
      <c r="N138" s="14">
        <v>12</v>
      </c>
      <c r="P138" s="14">
        <v>1</v>
      </c>
      <c r="Q138" s="15">
        <v>0.105</v>
      </c>
      <c r="R138" s="12">
        <v>40000</v>
      </c>
      <c r="S138" s="12">
        <v>1</v>
      </c>
      <c r="T138" s="12">
        <v>0</v>
      </c>
      <c r="U138" s="12">
        <v>28020</v>
      </c>
      <c r="V138" s="12">
        <v>1</v>
      </c>
      <c r="W138" s="12">
        <v>83741.172749533711</v>
      </c>
      <c r="X138">
        <v>1</v>
      </c>
      <c r="Y138">
        <v>1</v>
      </c>
      <c r="Z138" s="15">
        <v>0.24799211881565977</v>
      </c>
      <c r="AA138" t="str">
        <f t="shared" si="6"/>
        <v>1-CT</v>
      </c>
      <c r="AB138" s="9">
        <f t="shared" si="7"/>
        <v>99750</v>
      </c>
      <c r="AC138" s="9">
        <f t="shared" si="8"/>
        <v>235592.51287487679</v>
      </c>
    </row>
    <row r="139" spans="1:29" x14ac:dyDescent="0.25">
      <c r="A139" t="s">
        <v>29</v>
      </c>
      <c r="B139">
        <v>30012</v>
      </c>
      <c r="C139" s="8">
        <v>45566</v>
      </c>
      <c r="D139" s="9">
        <v>321600</v>
      </c>
      <c r="E139" s="10">
        <v>9</v>
      </c>
      <c r="F139" t="s">
        <v>135</v>
      </c>
      <c r="G139" s="11">
        <v>6</v>
      </c>
      <c r="H139" t="s">
        <v>31</v>
      </c>
      <c r="J139" s="12">
        <v>0</v>
      </c>
      <c r="L139" t="s">
        <v>40</v>
      </c>
      <c r="M139" s="13">
        <v>1110000</v>
      </c>
      <c r="N139" s="14">
        <v>11</v>
      </c>
      <c r="P139" s="14">
        <v>1</v>
      </c>
      <c r="Q139" s="15">
        <v>0.11</v>
      </c>
      <c r="R139" s="12">
        <v>40000</v>
      </c>
      <c r="S139" s="12">
        <v>1</v>
      </c>
      <c r="T139" s="12">
        <v>0</v>
      </c>
      <c r="U139" s="12">
        <v>30836</v>
      </c>
      <c r="V139" s="12">
        <v>1</v>
      </c>
      <c r="W139" s="12">
        <v>106543.48201933911</v>
      </c>
      <c r="X139">
        <v>1</v>
      </c>
      <c r="Y139">
        <v>1</v>
      </c>
      <c r="Z139" s="15">
        <v>0.24722222600554822</v>
      </c>
      <c r="AA139" t="str">
        <f t="shared" si="6"/>
        <v>1-CT</v>
      </c>
      <c r="AB139" s="9">
        <f t="shared" si="7"/>
        <v>122100</v>
      </c>
      <c r="AC139" s="9">
        <f t="shared" si="8"/>
        <v>274416.6708661585</v>
      </c>
    </row>
    <row r="140" spans="1:29" x14ac:dyDescent="0.25">
      <c r="A140" t="s">
        <v>29</v>
      </c>
      <c r="B140">
        <v>30012</v>
      </c>
      <c r="C140" s="8">
        <v>45646</v>
      </c>
      <c r="D140" s="9">
        <v>321620</v>
      </c>
      <c r="E140" s="10">
        <v>2</v>
      </c>
      <c r="F140" t="s">
        <v>74</v>
      </c>
      <c r="G140" s="11">
        <v>6</v>
      </c>
      <c r="H140" t="s">
        <v>31</v>
      </c>
      <c r="J140" s="12">
        <v>0</v>
      </c>
      <c r="L140" t="s">
        <v>40</v>
      </c>
      <c r="M140" s="13">
        <v>680000</v>
      </c>
      <c r="N140" s="14">
        <v>12</v>
      </c>
      <c r="P140" s="14">
        <v>1</v>
      </c>
      <c r="Q140" s="15">
        <v>0.105</v>
      </c>
      <c r="R140" s="12">
        <v>25000</v>
      </c>
      <c r="S140" s="12">
        <v>1</v>
      </c>
      <c r="T140" s="12">
        <v>0</v>
      </c>
      <c r="U140" s="12">
        <v>23268</v>
      </c>
      <c r="V140" s="12">
        <v>1</v>
      </c>
      <c r="W140" s="12">
        <v>59941.049968087282</v>
      </c>
      <c r="X140">
        <v>1</v>
      </c>
      <c r="Y140">
        <v>1</v>
      </c>
      <c r="Z140" s="15">
        <v>0.24669036664155114</v>
      </c>
      <c r="AA140" t="str">
        <f t="shared" si="6"/>
        <v>1-CT</v>
      </c>
      <c r="AB140" s="9">
        <f t="shared" si="7"/>
        <v>71400</v>
      </c>
      <c r="AC140" s="9">
        <f t="shared" si="8"/>
        <v>167749.44931625479</v>
      </c>
    </row>
    <row r="141" spans="1:29" x14ac:dyDescent="0.25">
      <c r="A141" t="s">
        <v>29</v>
      </c>
      <c r="B141">
        <v>30012</v>
      </c>
      <c r="C141" s="8">
        <v>45643</v>
      </c>
      <c r="D141" s="9">
        <v>321620</v>
      </c>
      <c r="E141" s="10">
        <v>2</v>
      </c>
      <c r="F141" t="s">
        <v>115</v>
      </c>
      <c r="G141" s="11">
        <v>6</v>
      </c>
      <c r="H141" t="s">
        <v>31</v>
      </c>
      <c r="J141" s="12">
        <v>0</v>
      </c>
      <c r="L141" t="s">
        <v>32</v>
      </c>
      <c r="M141" s="13">
        <v>683000</v>
      </c>
      <c r="N141" s="14">
        <v>12</v>
      </c>
      <c r="P141" s="14">
        <v>1</v>
      </c>
      <c r="Q141" s="15">
        <v>0.105</v>
      </c>
      <c r="R141" s="12">
        <v>25000</v>
      </c>
      <c r="S141" s="12">
        <v>1</v>
      </c>
      <c r="T141" s="12">
        <v>0</v>
      </c>
      <c r="U141" s="12">
        <v>23320.799999999999</v>
      </c>
      <c r="V141" s="12">
        <v>1</v>
      </c>
      <c r="W141" s="12">
        <v>60205.495776770018</v>
      </c>
      <c r="X141">
        <v>1</v>
      </c>
      <c r="Y141">
        <v>1</v>
      </c>
      <c r="Z141" s="15">
        <v>0.24619651704327189</v>
      </c>
      <c r="AA141" t="str">
        <f t="shared" si="6"/>
        <v>1-CT</v>
      </c>
      <c r="AB141" s="9">
        <f t="shared" si="7"/>
        <v>71715</v>
      </c>
      <c r="AC141" s="9">
        <f t="shared" si="8"/>
        <v>168152.2211405547</v>
      </c>
    </row>
    <row r="142" spans="1:29" x14ac:dyDescent="0.25">
      <c r="A142" t="s">
        <v>29</v>
      </c>
      <c r="B142">
        <v>30012</v>
      </c>
      <c r="C142" s="8">
        <v>45574</v>
      </c>
      <c r="D142" s="9">
        <v>321600</v>
      </c>
      <c r="E142" s="10">
        <v>2</v>
      </c>
      <c r="F142" t="s">
        <v>122</v>
      </c>
      <c r="G142" s="11">
        <v>6</v>
      </c>
      <c r="H142" t="s">
        <v>31</v>
      </c>
      <c r="J142" s="12">
        <v>0</v>
      </c>
      <c r="L142" t="s">
        <v>32</v>
      </c>
      <c r="M142" s="13">
        <v>620000</v>
      </c>
      <c r="N142" s="14">
        <v>12</v>
      </c>
      <c r="P142" s="14">
        <v>1</v>
      </c>
      <c r="Q142" s="15">
        <v>9.0999999999999998E-2</v>
      </c>
      <c r="R142" s="12">
        <v>25000</v>
      </c>
      <c r="S142" s="12">
        <v>1</v>
      </c>
      <c r="T142" s="12">
        <v>14610</v>
      </c>
      <c r="U142" s="12">
        <v>7500</v>
      </c>
      <c r="V142" s="12">
        <v>1</v>
      </c>
      <c r="W142" s="12">
        <v>54248.671044217052</v>
      </c>
      <c r="X142">
        <v>1</v>
      </c>
      <c r="Y142">
        <v>1</v>
      </c>
      <c r="Z142" s="15">
        <v>0.2427554957265704</v>
      </c>
      <c r="AA142" t="str">
        <f t="shared" si="6"/>
        <v>1-CT</v>
      </c>
      <c r="AB142" s="9">
        <f t="shared" si="7"/>
        <v>56420</v>
      </c>
      <c r="AC142" s="9">
        <f t="shared" si="8"/>
        <v>150508.40735047366</v>
      </c>
    </row>
    <row r="143" spans="1:29" x14ac:dyDescent="0.25">
      <c r="A143" t="s">
        <v>29</v>
      </c>
      <c r="B143">
        <v>30012</v>
      </c>
      <c r="C143" s="8">
        <v>45618</v>
      </c>
      <c r="D143" s="9">
        <v>321620</v>
      </c>
      <c r="E143" s="10">
        <v>2</v>
      </c>
      <c r="F143" t="s">
        <v>136</v>
      </c>
      <c r="G143" s="11">
        <v>6</v>
      </c>
      <c r="H143" t="s">
        <v>31</v>
      </c>
      <c r="J143" s="12">
        <v>0</v>
      </c>
      <c r="L143" t="s">
        <v>40</v>
      </c>
      <c r="M143" s="13">
        <v>1000000</v>
      </c>
      <c r="N143" s="14">
        <v>12</v>
      </c>
      <c r="P143" s="14">
        <v>1</v>
      </c>
      <c r="Q143" s="15">
        <v>0.105</v>
      </c>
      <c r="R143" s="12">
        <v>40000</v>
      </c>
      <c r="S143" s="12">
        <v>1</v>
      </c>
      <c r="T143" s="12">
        <v>0</v>
      </c>
      <c r="U143" s="12">
        <v>28900</v>
      </c>
      <c r="V143" s="12">
        <v>1</v>
      </c>
      <c r="W143" s="12">
        <v>88148.602894245996</v>
      </c>
      <c r="X143">
        <v>1</v>
      </c>
      <c r="Y143">
        <v>1</v>
      </c>
      <c r="Z143" s="15">
        <v>0.2423109164598711</v>
      </c>
      <c r="AA143" t="str">
        <f t="shared" si="6"/>
        <v>1-CT</v>
      </c>
      <c r="AB143" s="9">
        <f t="shared" si="7"/>
        <v>105000</v>
      </c>
      <c r="AC143" s="9">
        <f t="shared" si="8"/>
        <v>242310.91645987111</v>
      </c>
    </row>
    <row r="144" spans="1:29" x14ac:dyDescent="0.25">
      <c r="A144" t="s">
        <v>29</v>
      </c>
      <c r="B144">
        <v>30012</v>
      </c>
      <c r="C144" s="8">
        <v>45644</v>
      </c>
      <c r="D144" s="9">
        <v>321620</v>
      </c>
      <c r="E144" s="10">
        <v>2</v>
      </c>
      <c r="F144" t="s">
        <v>137</v>
      </c>
      <c r="G144" s="11">
        <v>6</v>
      </c>
      <c r="H144" t="s">
        <v>31</v>
      </c>
      <c r="J144" s="12">
        <v>0</v>
      </c>
      <c r="L144" t="s">
        <v>32</v>
      </c>
      <c r="M144" s="13">
        <v>710000</v>
      </c>
      <c r="N144" s="14">
        <v>12</v>
      </c>
      <c r="P144" s="14">
        <v>1</v>
      </c>
      <c r="Q144" s="15">
        <v>0.105</v>
      </c>
      <c r="R144" s="12">
        <v>25000</v>
      </c>
      <c r="S144" s="12">
        <v>1</v>
      </c>
      <c r="T144" s="12">
        <v>0</v>
      </c>
      <c r="U144" s="12">
        <v>23796</v>
      </c>
      <c r="V144" s="12">
        <v>1</v>
      </c>
      <c r="W144" s="12">
        <v>62585.508054914659</v>
      </c>
      <c r="X144">
        <v>1</v>
      </c>
      <c r="Y144">
        <v>1</v>
      </c>
      <c r="Z144" s="15">
        <v>0.24194721774281008</v>
      </c>
      <c r="AA144" t="str">
        <f t="shared" si="6"/>
        <v>1-CT</v>
      </c>
      <c r="AB144" s="9">
        <f t="shared" si="7"/>
        <v>74550</v>
      </c>
      <c r="AC144" s="9">
        <f t="shared" si="8"/>
        <v>171782.52459739515</v>
      </c>
    </row>
    <row r="145" spans="1:29" x14ac:dyDescent="0.25">
      <c r="A145" t="s">
        <v>29</v>
      </c>
      <c r="B145">
        <v>30012</v>
      </c>
      <c r="C145" s="8">
        <v>45567</v>
      </c>
      <c r="D145" s="9">
        <v>321600</v>
      </c>
      <c r="E145" s="10">
        <v>9</v>
      </c>
      <c r="F145" t="s">
        <v>138</v>
      </c>
      <c r="G145" s="11">
        <v>6</v>
      </c>
      <c r="H145" t="s">
        <v>31</v>
      </c>
      <c r="J145" s="12">
        <v>0</v>
      </c>
      <c r="L145" t="s">
        <v>38</v>
      </c>
      <c r="M145" s="13">
        <v>1650000</v>
      </c>
      <c r="N145" s="14">
        <v>11</v>
      </c>
      <c r="P145" s="14">
        <v>1</v>
      </c>
      <c r="Q145" s="15">
        <v>0.11</v>
      </c>
      <c r="R145" s="12">
        <v>60000</v>
      </c>
      <c r="S145" s="12">
        <v>1</v>
      </c>
      <c r="T145" s="12">
        <v>0</v>
      </c>
      <c r="U145" s="12">
        <v>40340</v>
      </c>
      <c r="V145" s="12">
        <v>1</v>
      </c>
      <c r="W145" s="12">
        <v>158375.4462449635</v>
      </c>
      <c r="X145">
        <v>1</v>
      </c>
      <c r="Y145">
        <v>1</v>
      </c>
      <c r="Z145" s="15">
        <v>0.24045795478318807</v>
      </c>
      <c r="AA145" t="str">
        <f t="shared" si="6"/>
        <v>1-CT</v>
      </c>
      <c r="AB145" s="9">
        <f t="shared" si="7"/>
        <v>181500</v>
      </c>
      <c r="AC145" s="9">
        <f t="shared" si="8"/>
        <v>396755.62539226032</v>
      </c>
    </row>
    <row r="146" spans="1:29" x14ac:dyDescent="0.25">
      <c r="A146" t="s">
        <v>29</v>
      </c>
      <c r="B146">
        <v>30012</v>
      </c>
      <c r="C146" s="8">
        <v>45642</v>
      </c>
      <c r="D146" s="9">
        <v>321620</v>
      </c>
      <c r="E146" s="10">
        <v>2</v>
      </c>
      <c r="F146" t="s">
        <v>139</v>
      </c>
      <c r="G146" s="11">
        <v>6</v>
      </c>
      <c r="H146" t="s">
        <v>31</v>
      </c>
      <c r="J146" s="12">
        <v>0</v>
      </c>
      <c r="L146" t="s">
        <v>38</v>
      </c>
      <c r="M146" s="13">
        <v>720000</v>
      </c>
      <c r="N146" s="14">
        <v>12</v>
      </c>
      <c r="P146" s="14">
        <v>1</v>
      </c>
      <c r="Q146" s="15">
        <v>0.105</v>
      </c>
      <c r="R146" s="12">
        <v>25000</v>
      </c>
      <c r="S146" s="12">
        <v>1</v>
      </c>
      <c r="T146" s="12">
        <v>0</v>
      </c>
      <c r="U146" s="12">
        <v>23972</v>
      </c>
      <c r="V146" s="12">
        <v>1</v>
      </c>
      <c r="W146" s="12">
        <v>63466.994083857113</v>
      </c>
      <c r="X146">
        <v>1</v>
      </c>
      <c r="Y146">
        <v>1</v>
      </c>
      <c r="Z146" s="15">
        <v>0.24045748072796486</v>
      </c>
      <c r="AA146" t="str">
        <f t="shared" si="6"/>
        <v>1-CT</v>
      </c>
      <c r="AB146" s="9">
        <f t="shared" si="7"/>
        <v>75600</v>
      </c>
      <c r="AC146" s="9">
        <f t="shared" si="8"/>
        <v>173129.3861241347</v>
      </c>
    </row>
    <row r="147" spans="1:29" x14ac:dyDescent="0.25">
      <c r="A147" t="s">
        <v>29</v>
      </c>
      <c r="B147">
        <v>30012</v>
      </c>
      <c r="C147" s="8">
        <v>45574</v>
      </c>
      <c r="D147" s="9">
        <v>321600</v>
      </c>
      <c r="E147" s="10">
        <v>9</v>
      </c>
      <c r="F147" t="s">
        <v>140</v>
      </c>
      <c r="G147" s="11">
        <v>6</v>
      </c>
      <c r="H147" t="s">
        <v>31</v>
      </c>
      <c r="J147" s="12">
        <v>0</v>
      </c>
      <c r="L147" t="s">
        <v>32</v>
      </c>
      <c r="M147" s="13">
        <v>1654000</v>
      </c>
      <c r="N147" s="14">
        <v>11</v>
      </c>
      <c r="P147" s="14">
        <v>1</v>
      </c>
      <c r="Q147" s="15">
        <v>0.11</v>
      </c>
      <c r="R147" s="12">
        <v>60000</v>
      </c>
      <c r="S147" s="12">
        <v>1</v>
      </c>
      <c r="T147" s="12">
        <v>0</v>
      </c>
      <c r="U147" s="12">
        <v>40410.400000000001</v>
      </c>
      <c r="V147" s="12">
        <v>1</v>
      </c>
      <c r="W147" s="12">
        <v>158759.38672070889</v>
      </c>
      <c r="X147">
        <v>1</v>
      </c>
      <c r="Y147">
        <v>1</v>
      </c>
      <c r="Z147" s="15">
        <v>0.2402232185404336</v>
      </c>
      <c r="AA147" t="str">
        <f t="shared" si="6"/>
        <v>1-CT</v>
      </c>
      <c r="AB147" s="9">
        <f t="shared" si="7"/>
        <v>181940</v>
      </c>
      <c r="AC147" s="9">
        <f t="shared" si="8"/>
        <v>397329.20346587716</v>
      </c>
    </row>
    <row r="148" spans="1:29" x14ac:dyDescent="0.25">
      <c r="A148" t="s">
        <v>29</v>
      </c>
      <c r="B148">
        <v>30012</v>
      </c>
      <c r="C148" s="8">
        <v>45575</v>
      </c>
      <c r="D148" s="9">
        <v>321600</v>
      </c>
      <c r="E148" s="10">
        <v>9</v>
      </c>
      <c r="F148" t="s">
        <v>132</v>
      </c>
      <c r="G148" s="11">
        <v>6</v>
      </c>
      <c r="H148" t="s">
        <v>31</v>
      </c>
      <c r="J148" s="12">
        <v>0</v>
      </c>
      <c r="L148" t="s">
        <v>38</v>
      </c>
      <c r="M148" s="13">
        <v>1670000</v>
      </c>
      <c r="N148" s="14">
        <v>11</v>
      </c>
      <c r="P148" s="14">
        <v>1</v>
      </c>
      <c r="Q148" s="15">
        <v>0.11</v>
      </c>
      <c r="R148" s="12">
        <v>60000</v>
      </c>
      <c r="S148" s="12">
        <v>1</v>
      </c>
      <c r="T148" s="12">
        <v>0</v>
      </c>
      <c r="U148" s="12">
        <v>40692</v>
      </c>
      <c r="V148" s="12">
        <v>1</v>
      </c>
      <c r="W148" s="12">
        <v>160295.14862369036</v>
      </c>
      <c r="X148">
        <v>1</v>
      </c>
      <c r="Y148">
        <v>1</v>
      </c>
      <c r="Z148" s="15">
        <v>0.23929589362774406</v>
      </c>
      <c r="AA148" t="str">
        <f t="shared" si="6"/>
        <v>1-CT</v>
      </c>
      <c r="AB148" s="9">
        <f t="shared" si="7"/>
        <v>183700</v>
      </c>
      <c r="AC148" s="9">
        <f t="shared" si="8"/>
        <v>399624.14235833258</v>
      </c>
    </row>
    <row r="149" spans="1:29" x14ac:dyDescent="0.25">
      <c r="A149" t="s">
        <v>29</v>
      </c>
      <c r="B149">
        <v>30012</v>
      </c>
      <c r="C149" s="8">
        <v>45587</v>
      </c>
      <c r="D149" s="9">
        <v>321600</v>
      </c>
      <c r="E149" s="10">
        <v>9</v>
      </c>
      <c r="F149" t="s">
        <v>141</v>
      </c>
      <c r="G149" s="11">
        <v>6</v>
      </c>
      <c r="H149" t="s">
        <v>31</v>
      </c>
      <c r="J149" s="12">
        <v>0</v>
      </c>
      <c r="L149" t="s">
        <v>40</v>
      </c>
      <c r="M149" s="13">
        <v>1700000</v>
      </c>
      <c r="N149" s="14">
        <v>11</v>
      </c>
      <c r="P149" s="14">
        <v>1</v>
      </c>
      <c r="Q149" s="15">
        <v>0.11</v>
      </c>
      <c r="R149" s="12">
        <v>60000</v>
      </c>
      <c r="S149" s="12">
        <v>1</v>
      </c>
      <c r="T149" s="12">
        <v>0</v>
      </c>
      <c r="U149" s="12">
        <v>41220</v>
      </c>
      <c r="V149" s="12">
        <v>1</v>
      </c>
      <c r="W149" s="12">
        <v>163174.70219178061</v>
      </c>
      <c r="X149">
        <v>1</v>
      </c>
      <c r="Y149">
        <v>1</v>
      </c>
      <c r="Z149" s="15">
        <v>0.23760574848169908</v>
      </c>
      <c r="AA149" t="str">
        <f t="shared" si="6"/>
        <v>1-CT</v>
      </c>
      <c r="AB149" s="9">
        <f t="shared" si="7"/>
        <v>187000</v>
      </c>
      <c r="AC149" s="9">
        <f t="shared" si="8"/>
        <v>403929.7724188884</v>
      </c>
    </row>
    <row r="150" spans="1:29" x14ac:dyDescent="0.25">
      <c r="A150" t="s">
        <v>29</v>
      </c>
      <c r="B150">
        <v>30012</v>
      </c>
      <c r="C150" s="8">
        <v>45637</v>
      </c>
      <c r="D150" s="9">
        <v>321620</v>
      </c>
      <c r="E150" s="10">
        <v>2</v>
      </c>
      <c r="F150" t="s">
        <v>47</v>
      </c>
      <c r="G150" s="11">
        <v>6</v>
      </c>
      <c r="H150" t="s">
        <v>31</v>
      </c>
      <c r="J150" s="12">
        <v>0</v>
      </c>
      <c r="L150" t="s">
        <v>32</v>
      </c>
      <c r="M150" s="13">
        <v>750000</v>
      </c>
      <c r="N150" s="14">
        <v>12</v>
      </c>
      <c r="P150" s="14">
        <v>1</v>
      </c>
      <c r="Q150" s="15">
        <v>0.105</v>
      </c>
      <c r="R150" s="12">
        <v>25000</v>
      </c>
      <c r="S150" s="12">
        <v>1</v>
      </c>
      <c r="T150" s="12">
        <v>0</v>
      </c>
      <c r="U150" s="12">
        <v>24500</v>
      </c>
      <c r="V150" s="12">
        <v>1</v>
      </c>
      <c r="W150" s="12">
        <v>66111.452170684497</v>
      </c>
      <c r="X150">
        <v>1</v>
      </c>
      <c r="Y150">
        <v>1</v>
      </c>
      <c r="Z150" s="15">
        <v>0.2362356633433384</v>
      </c>
      <c r="AA150" t="str">
        <f t="shared" si="6"/>
        <v>1-CT</v>
      </c>
      <c r="AB150" s="9">
        <f t="shared" si="7"/>
        <v>78750</v>
      </c>
      <c r="AC150" s="9">
        <f t="shared" si="8"/>
        <v>177176.74750750381</v>
      </c>
    </row>
    <row r="151" spans="1:29" x14ac:dyDescent="0.25">
      <c r="A151" t="s">
        <v>29</v>
      </c>
      <c r="B151">
        <v>30012</v>
      </c>
      <c r="C151" s="8">
        <v>45643</v>
      </c>
      <c r="D151" s="9">
        <v>321620</v>
      </c>
      <c r="E151" s="10">
        <v>2</v>
      </c>
      <c r="F151" t="s">
        <v>142</v>
      </c>
      <c r="G151" s="11">
        <v>6</v>
      </c>
      <c r="H151" t="s">
        <v>31</v>
      </c>
      <c r="J151" s="12">
        <v>0</v>
      </c>
      <c r="L151" t="s">
        <v>32</v>
      </c>
      <c r="M151" s="13">
        <v>759000</v>
      </c>
      <c r="N151" s="14">
        <v>12</v>
      </c>
      <c r="P151" s="14">
        <v>1</v>
      </c>
      <c r="Q151" s="15">
        <v>0.105</v>
      </c>
      <c r="R151" s="12">
        <v>25000</v>
      </c>
      <c r="S151" s="12">
        <v>1</v>
      </c>
      <c r="T151" s="12">
        <v>0</v>
      </c>
      <c r="U151" s="12">
        <v>24658.400000000001</v>
      </c>
      <c r="V151" s="12">
        <v>1</v>
      </c>
      <c r="W151" s="12">
        <v>66904.789596732706</v>
      </c>
      <c r="X151">
        <v>1</v>
      </c>
      <c r="Y151">
        <v>1</v>
      </c>
      <c r="Z151" s="15">
        <v>0.23503663302641176</v>
      </c>
      <c r="AA151" t="str">
        <f t="shared" si="6"/>
        <v>1-CT</v>
      </c>
      <c r="AB151" s="9">
        <f t="shared" si="7"/>
        <v>79695</v>
      </c>
      <c r="AC151" s="9">
        <f t="shared" si="8"/>
        <v>178392.80446704652</v>
      </c>
    </row>
    <row r="152" spans="1:29" x14ac:dyDescent="0.25">
      <c r="A152" t="s">
        <v>29</v>
      </c>
      <c r="B152">
        <v>30012</v>
      </c>
      <c r="C152" s="8">
        <v>45628</v>
      </c>
      <c r="D152" s="9">
        <v>321620</v>
      </c>
      <c r="E152" s="10">
        <v>2</v>
      </c>
      <c r="F152" t="s">
        <v>74</v>
      </c>
      <c r="G152" s="11">
        <v>6</v>
      </c>
      <c r="H152" t="s">
        <v>31</v>
      </c>
      <c r="J152" s="12">
        <v>0</v>
      </c>
      <c r="L152" t="s">
        <v>38</v>
      </c>
      <c r="M152" s="13">
        <v>1500000</v>
      </c>
      <c r="N152" s="14">
        <v>12</v>
      </c>
      <c r="P152" s="14">
        <v>1</v>
      </c>
      <c r="Q152" s="15">
        <v>0.105</v>
      </c>
      <c r="R152" s="12">
        <v>60000</v>
      </c>
      <c r="S152" s="12">
        <v>1</v>
      </c>
      <c r="T152" s="12">
        <v>0</v>
      </c>
      <c r="U152" s="12">
        <v>37700</v>
      </c>
      <c r="V152" s="12">
        <v>1</v>
      </c>
      <c r="W152" s="12">
        <v>132222.90434136899</v>
      </c>
      <c r="X152">
        <v>1</v>
      </c>
      <c r="Y152">
        <v>1</v>
      </c>
      <c r="Z152" s="15">
        <v>0.23442542095771257</v>
      </c>
      <c r="AA152" t="str">
        <f t="shared" si="6"/>
        <v>1-CT</v>
      </c>
      <c r="AB152" s="9">
        <f t="shared" si="7"/>
        <v>157500</v>
      </c>
      <c r="AC152" s="9">
        <f t="shared" si="8"/>
        <v>351638.13143656886</v>
      </c>
    </row>
    <row r="153" spans="1:29" x14ac:dyDescent="0.25">
      <c r="A153" t="s">
        <v>29</v>
      </c>
      <c r="B153">
        <v>30012</v>
      </c>
      <c r="C153" s="8">
        <v>45580</v>
      </c>
      <c r="D153" s="9">
        <v>321600</v>
      </c>
      <c r="E153" s="10">
        <v>9</v>
      </c>
      <c r="F153" t="s">
        <v>46</v>
      </c>
      <c r="G153" s="11">
        <v>6</v>
      </c>
      <c r="H153" t="s">
        <v>31</v>
      </c>
      <c r="J153" s="12">
        <v>0</v>
      </c>
      <c r="L153" t="s">
        <v>40</v>
      </c>
      <c r="M153" s="13">
        <v>1800000</v>
      </c>
      <c r="N153" s="14">
        <v>11</v>
      </c>
      <c r="P153" s="14">
        <v>1</v>
      </c>
      <c r="Q153" s="15">
        <v>0.11</v>
      </c>
      <c r="R153" s="12">
        <v>60000</v>
      </c>
      <c r="S153" s="12">
        <v>1</v>
      </c>
      <c r="T153" s="12">
        <v>0</v>
      </c>
      <c r="U153" s="12">
        <v>42980</v>
      </c>
      <c r="V153" s="12">
        <v>1</v>
      </c>
      <c r="W153" s="12">
        <v>172773.21408541477</v>
      </c>
      <c r="X153">
        <v>1</v>
      </c>
      <c r="Y153">
        <v>1</v>
      </c>
      <c r="Z153" s="15">
        <v>0.23239137523046158</v>
      </c>
      <c r="AA153" t="str">
        <f t="shared" si="6"/>
        <v>1-CT</v>
      </c>
      <c r="AB153" s="9">
        <f t="shared" si="7"/>
        <v>198000</v>
      </c>
      <c r="AC153" s="9">
        <f t="shared" si="8"/>
        <v>418304.47541483084</v>
      </c>
    </row>
    <row r="154" spans="1:29" x14ac:dyDescent="0.25">
      <c r="A154" t="s">
        <v>29</v>
      </c>
      <c r="B154">
        <v>30012</v>
      </c>
      <c r="C154" s="8">
        <v>45586</v>
      </c>
      <c r="D154" s="9">
        <v>321600</v>
      </c>
      <c r="E154" s="10">
        <v>9</v>
      </c>
      <c r="F154" t="s">
        <v>77</v>
      </c>
      <c r="G154" s="11">
        <v>6</v>
      </c>
      <c r="H154" t="s">
        <v>31</v>
      </c>
      <c r="J154" s="12">
        <v>0</v>
      </c>
      <c r="L154" t="s">
        <v>32</v>
      </c>
      <c r="M154" s="13">
        <v>1800000</v>
      </c>
      <c r="N154" s="14">
        <v>11</v>
      </c>
      <c r="P154" s="14">
        <v>1</v>
      </c>
      <c r="Q154" s="15">
        <v>0.11</v>
      </c>
      <c r="R154" s="12">
        <v>60000</v>
      </c>
      <c r="S154" s="12">
        <v>1</v>
      </c>
      <c r="T154" s="12">
        <v>0</v>
      </c>
      <c r="U154" s="12">
        <v>42980</v>
      </c>
      <c r="V154" s="12">
        <v>1</v>
      </c>
      <c r="W154" s="12">
        <v>172773.21408541477</v>
      </c>
      <c r="X154">
        <v>1</v>
      </c>
      <c r="Y154">
        <v>1</v>
      </c>
      <c r="Z154" s="15">
        <v>0.23239137523046158</v>
      </c>
      <c r="AA154" t="str">
        <f t="shared" si="6"/>
        <v>1-CT</v>
      </c>
      <c r="AB154" s="9">
        <f t="shared" si="7"/>
        <v>198000</v>
      </c>
      <c r="AC154" s="9">
        <f t="shared" si="8"/>
        <v>418304.47541483084</v>
      </c>
    </row>
    <row r="155" spans="1:29" x14ac:dyDescent="0.25">
      <c r="A155" t="s">
        <v>29</v>
      </c>
      <c r="B155">
        <v>30012</v>
      </c>
      <c r="C155" s="8">
        <v>45638</v>
      </c>
      <c r="D155" s="9">
        <v>321620</v>
      </c>
      <c r="E155" s="10">
        <v>2</v>
      </c>
      <c r="F155" t="s">
        <v>143</v>
      </c>
      <c r="G155" s="11">
        <v>6</v>
      </c>
      <c r="H155" t="s">
        <v>31</v>
      </c>
      <c r="J155" s="12">
        <v>0</v>
      </c>
      <c r="L155" t="s">
        <v>38</v>
      </c>
      <c r="M155" s="13">
        <v>560000</v>
      </c>
      <c r="N155" s="14">
        <v>12</v>
      </c>
      <c r="P155" s="14">
        <v>1</v>
      </c>
      <c r="Q155" s="15">
        <v>0.11</v>
      </c>
      <c r="R155" s="12">
        <v>27500</v>
      </c>
      <c r="S155" s="12">
        <v>1</v>
      </c>
      <c r="T155" s="12">
        <v>0</v>
      </c>
      <c r="U155" s="12">
        <v>6900</v>
      </c>
      <c r="V155" s="12">
        <v>1</v>
      </c>
      <c r="W155" s="12">
        <v>49493.728772098257</v>
      </c>
      <c r="X155">
        <v>1</v>
      </c>
      <c r="Y155">
        <v>1</v>
      </c>
      <c r="Z155" s="15">
        <v>0.23186084873454266</v>
      </c>
      <c r="AA155" t="str">
        <f t="shared" si="6"/>
        <v>1-CT</v>
      </c>
      <c r="AB155" s="9">
        <f t="shared" si="7"/>
        <v>61600</v>
      </c>
      <c r="AC155" s="9">
        <f t="shared" si="8"/>
        <v>129842.07529134389</v>
      </c>
    </row>
    <row r="156" spans="1:29" x14ac:dyDescent="0.25">
      <c r="A156" t="s">
        <v>29</v>
      </c>
      <c r="B156">
        <v>30012</v>
      </c>
      <c r="C156" s="8">
        <v>45644</v>
      </c>
      <c r="D156" s="9">
        <v>321620</v>
      </c>
      <c r="E156" s="10">
        <v>2</v>
      </c>
      <c r="F156" t="s">
        <v>106</v>
      </c>
      <c r="G156" s="11">
        <v>6</v>
      </c>
      <c r="H156" t="s">
        <v>31</v>
      </c>
      <c r="J156" s="12">
        <v>0</v>
      </c>
      <c r="L156" t="s">
        <v>32</v>
      </c>
      <c r="M156" s="13">
        <v>790000</v>
      </c>
      <c r="N156" s="14">
        <v>12</v>
      </c>
      <c r="P156" s="14">
        <v>1</v>
      </c>
      <c r="Q156" s="15">
        <v>0.105</v>
      </c>
      <c r="R156" s="12">
        <v>25000</v>
      </c>
      <c r="S156" s="12">
        <v>1</v>
      </c>
      <c r="T156" s="12">
        <v>0</v>
      </c>
      <c r="U156" s="12">
        <v>25204</v>
      </c>
      <c r="V156" s="12">
        <v>1</v>
      </c>
      <c r="W156" s="12">
        <v>69637.396286454343</v>
      </c>
      <c r="X156">
        <v>1</v>
      </c>
      <c r="Y156">
        <v>1</v>
      </c>
      <c r="Z156" s="15">
        <v>0.23112325596164363</v>
      </c>
      <c r="AA156" t="str">
        <f t="shared" si="6"/>
        <v>1-CT</v>
      </c>
      <c r="AB156" s="9">
        <f t="shared" si="7"/>
        <v>82950</v>
      </c>
      <c r="AC156" s="9">
        <f t="shared" si="8"/>
        <v>182587.37220969846</v>
      </c>
    </row>
    <row r="157" spans="1:29" x14ac:dyDescent="0.25">
      <c r="A157" t="s">
        <v>29</v>
      </c>
      <c r="B157">
        <v>30012</v>
      </c>
      <c r="C157" s="8">
        <v>45636</v>
      </c>
      <c r="D157" s="9">
        <v>321620</v>
      </c>
      <c r="E157" s="10">
        <v>2</v>
      </c>
      <c r="F157" t="s">
        <v>102</v>
      </c>
      <c r="G157" s="11">
        <v>6</v>
      </c>
      <c r="H157" t="s">
        <v>31</v>
      </c>
      <c r="J157" s="12">
        <v>0</v>
      </c>
      <c r="L157" t="s">
        <v>38</v>
      </c>
      <c r="M157" s="13">
        <v>896000</v>
      </c>
      <c r="N157" s="14">
        <v>12</v>
      </c>
      <c r="P157" s="14">
        <v>1</v>
      </c>
      <c r="Q157" s="15">
        <v>0.11</v>
      </c>
      <c r="R157" s="12">
        <v>27500</v>
      </c>
      <c r="S157" s="12">
        <v>1</v>
      </c>
      <c r="T157" s="12">
        <v>0</v>
      </c>
      <c r="U157" s="12">
        <v>27069.599999999999</v>
      </c>
      <c r="V157" s="12">
        <v>1</v>
      </c>
      <c r="W157" s="12">
        <v>79189.966035357211</v>
      </c>
      <c r="X157">
        <v>1</v>
      </c>
      <c r="Y157">
        <v>1</v>
      </c>
      <c r="Z157" s="15">
        <v>0.23077043629392194</v>
      </c>
      <c r="AA157" t="str">
        <f t="shared" si="6"/>
        <v>1-CT</v>
      </c>
      <c r="AB157" s="9">
        <f t="shared" si="7"/>
        <v>98560</v>
      </c>
      <c r="AC157" s="9">
        <f t="shared" si="8"/>
        <v>206770.31091935406</v>
      </c>
    </row>
    <row r="158" spans="1:29" x14ac:dyDescent="0.25">
      <c r="A158" t="s">
        <v>29</v>
      </c>
      <c r="B158">
        <v>30012</v>
      </c>
      <c r="C158" s="8">
        <v>45637</v>
      </c>
      <c r="D158" s="9">
        <v>321620</v>
      </c>
      <c r="E158" s="10">
        <v>2</v>
      </c>
      <c r="F158" t="s">
        <v>118</v>
      </c>
      <c r="G158" s="11">
        <v>6</v>
      </c>
      <c r="H158" t="s">
        <v>31</v>
      </c>
      <c r="J158" s="12">
        <v>0</v>
      </c>
      <c r="L158" t="s">
        <v>38</v>
      </c>
      <c r="M158" s="13">
        <v>800000</v>
      </c>
      <c r="N158" s="14">
        <v>12</v>
      </c>
      <c r="P158" s="14">
        <v>1</v>
      </c>
      <c r="Q158" s="15">
        <v>0.105</v>
      </c>
      <c r="R158" s="12">
        <v>25000</v>
      </c>
      <c r="S158" s="12">
        <v>1</v>
      </c>
      <c r="T158" s="12">
        <v>0</v>
      </c>
      <c r="U158" s="12">
        <v>25380</v>
      </c>
      <c r="V158" s="12">
        <v>1</v>
      </c>
      <c r="W158" s="12">
        <v>70518.882315396797</v>
      </c>
      <c r="X158">
        <v>1</v>
      </c>
      <c r="Y158">
        <v>1</v>
      </c>
      <c r="Z158" s="15">
        <v>0.22992786337363544</v>
      </c>
      <c r="AA158" t="str">
        <f t="shared" si="6"/>
        <v>1-CT</v>
      </c>
      <c r="AB158" s="9">
        <f t="shared" si="7"/>
        <v>84000</v>
      </c>
      <c r="AC158" s="9">
        <f t="shared" si="8"/>
        <v>183942.29069890836</v>
      </c>
    </row>
    <row r="159" spans="1:29" x14ac:dyDescent="0.25">
      <c r="A159" t="s">
        <v>29</v>
      </c>
      <c r="B159">
        <v>30012</v>
      </c>
      <c r="C159" s="8">
        <v>45652</v>
      </c>
      <c r="D159" s="9">
        <v>321620</v>
      </c>
      <c r="E159" s="10">
        <v>2</v>
      </c>
      <c r="F159" t="s">
        <v>144</v>
      </c>
      <c r="G159" s="11">
        <v>6</v>
      </c>
      <c r="H159" t="s">
        <v>31</v>
      </c>
      <c r="J159" s="12">
        <v>0</v>
      </c>
      <c r="L159" t="s">
        <v>108</v>
      </c>
      <c r="M159" s="13">
        <v>800000</v>
      </c>
      <c r="N159" s="14">
        <v>12</v>
      </c>
      <c r="P159" s="14">
        <v>1</v>
      </c>
      <c r="Q159" s="15">
        <v>0.105</v>
      </c>
      <c r="R159" s="12">
        <v>25000</v>
      </c>
      <c r="S159" s="12">
        <v>1</v>
      </c>
      <c r="T159" s="12">
        <v>0</v>
      </c>
      <c r="U159" s="12">
        <v>25380</v>
      </c>
      <c r="V159" s="12">
        <v>1</v>
      </c>
      <c r="W159" s="12">
        <v>70518.882315396797</v>
      </c>
      <c r="X159">
        <v>1</v>
      </c>
      <c r="Y159">
        <v>1</v>
      </c>
      <c r="Z159" s="15">
        <v>0.22992786337363544</v>
      </c>
      <c r="AA159" t="str">
        <f t="shared" si="6"/>
        <v>1-CT</v>
      </c>
      <c r="AB159" s="9">
        <f t="shared" si="7"/>
        <v>84000</v>
      </c>
      <c r="AC159" s="9">
        <f t="shared" si="8"/>
        <v>183942.29069890836</v>
      </c>
    </row>
    <row r="160" spans="1:29" x14ac:dyDescent="0.25">
      <c r="A160" t="s">
        <v>29</v>
      </c>
      <c r="B160">
        <v>30012</v>
      </c>
      <c r="C160" s="8">
        <v>45635</v>
      </c>
      <c r="D160" s="9">
        <v>321620</v>
      </c>
      <c r="E160" s="10">
        <v>2</v>
      </c>
      <c r="F160" t="s">
        <v>145</v>
      </c>
      <c r="G160" s="11">
        <v>6</v>
      </c>
      <c r="H160" t="s">
        <v>31</v>
      </c>
      <c r="J160" s="12">
        <v>0</v>
      </c>
      <c r="L160" t="s">
        <v>34</v>
      </c>
      <c r="M160" s="13">
        <v>500000</v>
      </c>
      <c r="N160" s="14">
        <v>12</v>
      </c>
      <c r="P160" s="14">
        <v>1</v>
      </c>
      <c r="Q160" s="15">
        <v>0.105</v>
      </c>
      <c r="R160" s="12">
        <v>25000</v>
      </c>
      <c r="S160" s="12">
        <v>1</v>
      </c>
      <c r="T160" s="12">
        <v>0</v>
      </c>
      <c r="U160" s="12">
        <v>6300</v>
      </c>
      <c r="V160" s="12">
        <v>1</v>
      </c>
      <c r="W160" s="12">
        <v>44074.301447122998</v>
      </c>
      <c r="X160">
        <v>1</v>
      </c>
      <c r="Y160">
        <v>1</v>
      </c>
      <c r="Z160" s="15">
        <v>0.2291479780618475</v>
      </c>
      <c r="AA160" t="str">
        <f t="shared" si="6"/>
        <v>1-CT</v>
      </c>
      <c r="AB160" s="9">
        <f t="shared" si="7"/>
        <v>52500</v>
      </c>
      <c r="AC160" s="9">
        <f t="shared" si="8"/>
        <v>114573.98903092375</v>
      </c>
    </row>
    <row r="161" spans="1:29" x14ac:dyDescent="0.25">
      <c r="A161" t="s">
        <v>29</v>
      </c>
      <c r="B161">
        <v>30012</v>
      </c>
      <c r="C161" s="8">
        <v>45638</v>
      </c>
      <c r="D161" s="9">
        <v>321620</v>
      </c>
      <c r="E161" s="10">
        <v>2</v>
      </c>
      <c r="F161" t="s">
        <v>85</v>
      </c>
      <c r="G161" s="11">
        <v>6</v>
      </c>
      <c r="H161" t="s">
        <v>31</v>
      </c>
      <c r="J161" s="12">
        <v>0</v>
      </c>
      <c r="L161" t="s">
        <v>38</v>
      </c>
      <c r="M161" s="13">
        <v>580000</v>
      </c>
      <c r="N161" s="14">
        <v>12</v>
      </c>
      <c r="P161" s="14">
        <v>1</v>
      </c>
      <c r="Q161" s="15">
        <v>0.11</v>
      </c>
      <c r="R161" s="12">
        <v>27500</v>
      </c>
      <c r="S161" s="12">
        <v>1</v>
      </c>
      <c r="T161" s="12">
        <v>0</v>
      </c>
      <c r="U161" s="12">
        <v>7100</v>
      </c>
      <c r="V161" s="12">
        <v>1</v>
      </c>
      <c r="W161" s="12">
        <v>51261.36194253034</v>
      </c>
      <c r="X161">
        <v>1</v>
      </c>
      <c r="Y161">
        <v>1</v>
      </c>
      <c r="Z161" s="15">
        <v>0.22818111545128072</v>
      </c>
      <c r="AA161" t="str">
        <f t="shared" si="6"/>
        <v>1-CT</v>
      </c>
      <c r="AB161" s="9">
        <f t="shared" si="7"/>
        <v>63800</v>
      </c>
      <c r="AC161" s="9">
        <f t="shared" si="8"/>
        <v>132345.04696174283</v>
      </c>
    </row>
    <row r="162" spans="1:29" x14ac:dyDescent="0.25">
      <c r="A162" t="s">
        <v>29</v>
      </c>
      <c r="B162">
        <v>30012</v>
      </c>
      <c r="C162" s="8">
        <v>45579</v>
      </c>
      <c r="D162" s="9">
        <v>321600</v>
      </c>
      <c r="E162" s="10">
        <v>9</v>
      </c>
      <c r="F162" t="s">
        <v>146</v>
      </c>
      <c r="G162" s="11">
        <v>6</v>
      </c>
      <c r="H162" t="s">
        <v>31</v>
      </c>
      <c r="J162" s="12">
        <v>0</v>
      </c>
      <c r="L162" t="s">
        <v>32</v>
      </c>
      <c r="M162" s="13">
        <v>1900000</v>
      </c>
      <c r="N162" s="14">
        <v>11</v>
      </c>
      <c r="P162" s="14">
        <v>1</v>
      </c>
      <c r="Q162" s="15">
        <v>0.11</v>
      </c>
      <c r="R162" s="12">
        <v>60000</v>
      </c>
      <c r="S162" s="12">
        <v>1</v>
      </c>
      <c r="T162" s="12">
        <v>0</v>
      </c>
      <c r="U162" s="12">
        <v>44740</v>
      </c>
      <c r="V162" s="12">
        <v>1</v>
      </c>
      <c r="W162" s="12">
        <v>182371.7259790489</v>
      </c>
      <c r="X162">
        <v>1</v>
      </c>
      <c r="Y162">
        <v>1</v>
      </c>
      <c r="Z162" s="15">
        <v>0.22774189304764897</v>
      </c>
      <c r="AA162" t="str">
        <f t="shared" si="6"/>
        <v>1-CT</v>
      </c>
      <c r="AB162" s="9">
        <f t="shared" si="7"/>
        <v>209000</v>
      </c>
      <c r="AC162" s="9">
        <f t="shared" si="8"/>
        <v>432709.59679053305</v>
      </c>
    </row>
    <row r="163" spans="1:29" x14ac:dyDescent="0.25">
      <c r="A163" t="s">
        <v>29</v>
      </c>
      <c r="B163">
        <v>30012</v>
      </c>
      <c r="C163" s="8">
        <v>45590</v>
      </c>
      <c r="D163" s="9">
        <v>321600</v>
      </c>
      <c r="E163" s="10">
        <v>9</v>
      </c>
      <c r="F163" t="s">
        <v>115</v>
      </c>
      <c r="G163" s="11">
        <v>6</v>
      </c>
      <c r="H163" t="s">
        <v>31</v>
      </c>
      <c r="J163" s="12">
        <v>0</v>
      </c>
      <c r="L163" t="s">
        <v>40</v>
      </c>
      <c r="M163" s="13">
        <v>1030000</v>
      </c>
      <c r="N163" s="14">
        <v>4</v>
      </c>
      <c r="P163" s="14">
        <v>2</v>
      </c>
      <c r="Q163" s="15">
        <v>0.11</v>
      </c>
      <c r="R163" s="12">
        <v>60000</v>
      </c>
      <c r="S163" s="12">
        <v>1</v>
      </c>
      <c r="T163" s="12">
        <v>0</v>
      </c>
      <c r="U163" s="12">
        <v>29428</v>
      </c>
      <c r="V163" s="12">
        <v>1</v>
      </c>
      <c r="W163" s="12">
        <v>269409.27932690072</v>
      </c>
      <c r="X163">
        <v>1</v>
      </c>
      <c r="Y163">
        <v>1</v>
      </c>
      <c r="Z163" s="15">
        <v>0.22690596789347639</v>
      </c>
      <c r="AA163" t="str">
        <f t="shared" si="6"/>
        <v>1-CT</v>
      </c>
      <c r="AB163" s="9">
        <f t="shared" si="7"/>
        <v>113300</v>
      </c>
      <c r="AC163" s="9">
        <f t="shared" si="8"/>
        <v>233713.14693028069</v>
      </c>
    </row>
    <row r="164" spans="1:29" x14ac:dyDescent="0.25">
      <c r="A164" t="s">
        <v>29</v>
      </c>
      <c r="B164">
        <v>30012</v>
      </c>
      <c r="C164" s="8">
        <v>45575</v>
      </c>
      <c r="D164" s="9">
        <v>321600</v>
      </c>
      <c r="E164" s="10">
        <v>9</v>
      </c>
      <c r="F164" t="s">
        <v>86</v>
      </c>
      <c r="G164" s="11">
        <v>6</v>
      </c>
      <c r="H164" t="s">
        <v>31</v>
      </c>
      <c r="J164" s="12">
        <v>0</v>
      </c>
      <c r="L164" t="s">
        <v>38</v>
      </c>
      <c r="M164" s="13">
        <v>1950000</v>
      </c>
      <c r="N164" s="14">
        <v>11</v>
      </c>
      <c r="P164" s="14">
        <v>1</v>
      </c>
      <c r="Q164" s="15">
        <v>0.11</v>
      </c>
      <c r="R164" s="12">
        <v>60000</v>
      </c>
      <c r="S164" s="12">
        <v>1</v>
      </c>
      <c r="T164" s="12">
        <v>0</v>
      </c>
      <c r="U164" s="12">
        <v>45620</v>
      </c>
      <c r="V164" s="12">
        <v>1</v>
      </c>
      <c r="W164" s="12">
        <v>187170.98192586598</v>
      </c>
      <c r="X164">
        <v>1</v>
      </c>
      <c r="Y164">
        <v>1</v>
      </c>
      <c r="Z164" s="15">
        <v>0.22560105265783087</v>
      </c>
      <c r="AA164" t="str">
        <f t="shared" si="6"/>
        <v>1-CT</v>
      </c>
      <c r="AB164" s="9">
        <f t="shared" si="7"/>
        <v>214500</v>
      </c>
      <c r="AC164" s="9">
        <f t="shared" si="8"/>
        <v>439922.05268277018</v>
      </c>
    </row>
    <row r="165" spans="1:29" x14ac:dyDescent="0.25">
      <c r="A165" t="s">
        <v>29</v>
      </c>
      <c r="B165">
        <v>30012</v>
      </c>
      <c r="C165" s="8">
        <v>45644</v>
      </c>
      <c r="D165" s="9">
        <v>321620</v>
      </c>
      <c r="E165" s="10">
        <v>2</v>
      </c>
      <c r="F165" t="s">
        <v>57</v>
      </c>
      <c r="G165" s="11">
        <v>6</v>
      </c>
      <c r="H165" t="s">
        <v>31</v>
      </c>
      <c r="J165" s="12">
        <v>0</v>
      </c>
      <c r="L165" t="s">
        <v>32</v>
      </c>
      <c r="M165" s="13">
        <v>850000</v>
      </c>
      <c r="N165" s="14">
        <v>12</v>
      </c>
      <c r="P165" s="14">
        <v>1</v>
      </c>
      <c r="Q165" s="15">
        <v>0.105</v>
      </c>
      <c r="R165" s="12">
        <v>25000</v>
      </c>
      <c r="S165" s="12">
        <v>1</v>
      </c>
      <c r="T165" s="12">
        <v>0</v>
      </c>
      <c r="U165" s="12">
        <v>26260</v>
      </c>
      <c r="V165" s="12">
        <v>1</v>
      </c>
      <c r="W165" s="12">
        <v>74926.312460109097</v>
      </c>
      <c r="X165">
        <v>1</v>
      </c>
      <c r="Y165">
        <v>1</v>
      </c>
      <c r="Z165" s="15">
        <v>0.22438681992061246</v>
      </c>
      <c r="AA165" t="str">
        <f t="shared" si="6"/>
        <v>1-CT</v>
      </c>
      <c r="AB165" s="9">
        <f t="shared" si="7"/>
        <v>89250</v>
      </c>
      <c r="AC165" s="9">
        <f t="shared" si="8"/>
        <v>190728.79693252061</v>
      </c>
    </row>
    <row r="166" spans="1:29" x14ac:dyDescent="0.25">
      <c r="A166" t="s">
        <v>29</v>
      </c>
      <c r="B166">
        <v>30012</v>
      </c>
      <c r="C166" s="8">
        <v>45617</v>
      </c>
      <c r="D166" s="9">
        <v>321620</v>
      </c>
      <c r="E166" s="10">
        <v>2</v>
      </c>
      <c r="F166" t="s">
        <v>147</v>
      </c>
      <c r="G166" s="11">
        <v>6</v>
      </c>
      <c r="H166" t="s">
        <v>31</v>
      </c>
      <c r="J166" s="12">
        <v>0</v>
      </c>
      <c r="L166" t="s">
        <v>32</v>
      </c>
      <c r="M166" s="13">
        <v>500000</v>
      </c>
      <c r="N166" s="14">
        <v>12</v>
      </c>
      <c r="P166" s="14">
        <v>1</v>
      </c>
      <c r="Q166" s="15">
        <v>0.105</v>
      </c>
      <c r="R166" s="12">
        <v>10000</v>
      </c>
      <c r="S166" s="12">
        <v>1</v>
      </c>
      <c r="T166" s="12">
        <v>0</v>
      </c>
      <c r="U166" s="12">
        <v>20100</v>
      </c>
      <c r="V166" s="12">
        <v>1</v>
      </c>
      <c r="W166" s="12">
        <v>44074.301447122998</v>
      </c>
      <c r="X166">
        <v>1</v>
      </c>
      <c r="Y166">
        <v>1</v>
      </c>
      <c r="Z166" s="15">
        <v>0.22416748416253102</v>
      </c>
      <c r="AA166" t="str">
        <f t="shared" si="6"/>
        <v>1-CT</v>
      </c>
      <c r="AB166" s="9">
        <f t="shared" si="7"/>
        <v>52500</v>
      </c>
      <c r="AC166" s="9">
        <f t="shared" si="8"/>
        <v>112083.7420812655</v>
      </c>
    </row>
    <row r="167" spans="1:29" x14ac:dyDescent="0.25">
      <c r="A167" t="s">
        <v>29</v>
      </c>
      <c r="B167">
        <v>30012</v>
      </c>
      <c r="C167" s="8">
        <v>45631</v>
      </c>
      <c r="D167" s="9">
        <v>321620</v>
      </c>
      <c r="E167" s="10">
        <v>2</v>
      </c>
      <c r="F167" t="s">
        <v>30</v>
      </c>
      <c r="G167" s="11">
        <v>6</v>
      </c>
      <c r="H167" t="s">
        <v>31</v>
      </c>
      <c r="J167" s="12">
        <v>0</v>
      </c>
      <c r="L167" t="s">
        <v>34</v>
      </c>
      <c r="M167" s="13">
        <v>854000</v>
      </c>
      <c r="N167" s="14">
        <v>12</v>
      </c>
      <c r="P167" s="14">
        <v>1</v>
      </c>
      <c r="Q167" s="15">
        <v>0.105</v>
      </c>
      <c r="R167" s="12">
        <v>25000</v>
      </c>
      <c r="S167" s="12">
        <v>1</v>
      </c>
      <c r="T167" s="12">
        <v>0</v>
      </c>
      <c r="U167" s="12">
        <v>26330.400000000001</v>
      </c>
      <c r="V167" s="12">
        <v>1</v>
      </c>
      <c r="W167" s="12">
        <v>75278.906871686078</v>
      </c>
      <c r="X167">
        <v>1</v>
      </c>
      <c r="Y167">
        <v>1</v>
      </c>
      <c r="Z167" s="15">
        <v>0.22397249228360785</v>
      </c>
      <c r="AA167" t="str">
        <f t="shared" si="6"/>
        <v>1-CT</v>
      </c>
      <c r="AB167" s="9">
        <f t="shared" si="7"/>
        <v>89670</v>
      </c>
      <c r="AC167" s="9">
        <f t="shared" si="8"/>
        <v>191272.50841020112</v>
      </c>
    </row>
    <row r="168" spans="1:29" x14ac:dyDescent="0.25">
      <c r="A168" t="s">
        <v>29</v>
      </c>
      <c r="B168">
        <v>30012</v>
      </c>
      <c r="C168" s="8">
        <v>45637</v>
      </c>
      <c r="D168" s="9">
        <v>321620</v>
      </c>
      <c r="E168" s="10">
        <v>2</v>
      </c>
      <c r="F168" t="s">
        <v>148</v>
      </c>
      <c r="G168" s="11">
        <v>6</v>
      </c>
      <c r="H168" t="s">
        <v>31</v>
      </c>
      <c r="J168" s="12">
        <v>0</v>
      </c>
      <c r="L168" t="s">
        <v>32</v>
      </c>
      <c r="M168" s="13">
        <v>525000</v>
      </c>
      <c r="N168" s="14">
        <v>12</v>
      </c>
      <c r="P168" s="14">
        <v>1</v>
      </c>
      <c r="Q168" s="15">
        <v>0.105</v>
      </c>
      <c r="R168" s="12">
        <v>25000</v>
      </c>
      <c r="S168" s="12">
        <v>1</v>
      </c>
      <c r="T168" s="12">
        <v>0</v>
      </c>
      <c r="U168" s="12">
        <v>6550</v>
      </c>
      <c r="V168" s="12">
        <v>1</v>
      </c>
      <c r="W168" s="12">
        <v>46278.016519479148</v>
      </c>
      <c r="X168">
        <v>1</v>
      </c>
      <c r="Y168">
        <v>1</v>
      </c>
      <c r="Z168" s="15">
        <v>0.22395050493969343</v>
      </c>
      <c r="AA168" t="str">
        <f t="shared" si="6"/>
        <v>1-CT</v>
      </c>
      <c r="AB168" s="9">
        <f t="shared" si="7"/>
        <v>55125</v>
      </c>
      <c r="AC168" s="9">
        <f t="shared" si="8"/>
        <v>117574.01509333905</v>
      </c>
    </row>
    <row r="169" spans="1:29" x14ac:dyDescent="0.25">
      <c r="A169" t="s">
        <v>29</v>
      </c>
      <c r="B169">
        <v>30012</v>
      </c>
      <c r="C169" s="8">
        <v>45568</v>
      </c>
      <c r="D169" s="9">
        <v>321600</v>
      </c>
      <c r="E169" s="10">
        <v>9</v>
      </c>
      <c r="F169" t="s">
        <v>149</v>
      </c>
      <c r="G169" s="11">
        <v>6</v>
      </c>
      <c r="H169" t="s">
        <v>31</v>
      </c>
      <c r="J169" s="12">
        <v>0</v>
      </c>
      <c r="L169" t="s">
        <v>40</v>
      </c>
      <c r="M169" s="13">
        <v>2000000</v>
      </c>
      <c r="N169" s="14">
        <v>11</v>
      </c>
      <c r="P169" s="14">
        <v>1</v>
      </c>
      <c r="Q169" s="15">
        <v>0.11</v>
      </c>
      <c r="R169" s="12">
        <v>60000</v>
      </c>
      <c r="S169" s="12">
        <v>1</v>
      </c>
      <c r="T169" s="12">
        <v>0</v>
      </c>
      <c r="U169" s="12">
        <v>45200</v>
      </c>
      <c r="V169" s="12">
        <v>1</v>
      </c>
      <c r="W169" s="12">
        <v>191970.23787268306</v>
      </c>
      <c r="X169">
        <v>1</v>
      </c>
      <c r="Y169">
        <v>1</v>
      </c>
      <c r="Z169" s="15">
        <v>0.22212787114094701</v>
      </c>
      <c r="AA169" t="str">
        <f t="shared" si="6"/>
        <v>1-CT</v>
      </c>
      <c r="AB169" s="9">
        <f t="shared" si="7"/>
        <v>220000</v>
      </c>
      <c r="AC169" s="9">
        <f t="shared" si="8"/>
        <v>444255.74228189402</v>
      </c>
    </row>
    <row r="170" spans="1:29" x14ac:dyDescent="0.25">
      <c r="A170" t="s">
        <v>29</v>
      </c>
      <c r="B170">
        <v>30012</v>
      </c>
      <c r="C170" s="8">
        <v>45649</v>
      </c>
      <c r="D170" s="9">
        <v>321620</v>
      </c>
      <c r="E170" s="10">
        <v>2</v>
      </c>
      <c r="F170" t="s">
        <v>59</v>
      </c>
      <c r="G170" s="11">
        <v>6</v>
      </c>
      <c r="H170" t="s">
        <v>31</v>
      </c>
      <c r="J170" s="12">
        <v>0</v>
      </c>
      <c r="L170" t="s">
        <v>38</v>
      </c>
      <c r="M170" s="13">
        <v>995000</v>
      </c>
      <c r="N170" s="14">
        <v>12</v>
      </c>
      <c r="P170" s="14">
        <v>1</v>
      </c>
      <c r="Q170" s="15">
        <v>0.11</v>
      </c>
      <c r="R170" s="12">
        <v>27500</v>
      </c>
      <c r="S170" s="12">
        <v>1</v>
      </c>
      <c r="T170" s="12">
        <v>0</v>
      </c>
      <c r="U170" s="12">
        <v>28812</v>
      </c>
      <c r="V170" s="12">
        <v>1</v>
      </c>
      <c r="W170" s="12">
        <v>87939.750228996025</v>
      </c>
      <c r="X170">
        <v>1</v>
      </c>
      <c r="Y170">
        <v>1</v>
      </c>
      <c r="Z170" s="15">
        <v>0.22185511009269346</v>
      </c>
      <c r="AA170" t="str">
        <f t="shared" si="6"/>
        <v>1-CT</v>
      </c>
      <c r="AB170" s="9">
        <f t="shared" si="7"/>
        <v>109450</v>
      </c>
      <c r="AC170" s="9">
        <f t="shared" si="8"/>
        <v>220745.83454223</v>
      </c>
    </row>
    <row r="171" spans="1:29" x14ac:dyDescent="0.25">
      <c r="A171" t="s">
        <v>29</v>
      </c>
      <c r="B171">
        <v>30012</v>
      </c>
      <c r="C171" s="8">
        <v>45638</v>
      </c>
      <c r="D171" s="9">
        <v>321620</v>
      </c>
      <c r="E171" s="10">
        <v>2</v>
      </c>
      <c r="F171" t="s">
        <v>150</v>
      </c>
      <c r="G171" s="11">
        <v>6</v>
      </c>
      <c r="H171" t="s">
        <v>31</v>
      </c>
      <c r="J171" s="12">
        <v>0</v>
      </c>
      <c r="L171" t="s">
        <v>32</v>
      </c>
      <c r="M171" s="13">
        <v>900000</v>
      </c>
      <c r="N171" s="14">
        <v>12</v>
      </c>
      <c r="P171" s="14">
        <v>1</v>
      </c>
      <c r="Q171" s="15">
        <v>0.105</v>
      </c>
      <c r="R171" s="12">
        <v>25000</v>
      </c>
      <c r="S171" s="12">
        <v>1</v>
      </c>
      <c r="T171" s="12">
        <v>0</v>
      </c>
      <c r="U171" s="12">
        <v>27140</v>
      </c>
      <c r="V171" s="12">
        <v>1</v>
      </c>
      <c r="W171" s="12">
        <v>79333.742604821397</v>
      </c>
      <c r="X171">
        <v>1</v>
      </c>
      <c r="Y171">
        <v>1</v>
      </c>
      <c r="Z171" s="15">
        <v>0.21948071353069742</v>
      </c>
      <c r="AA171" t="str">
        <f t="shared" si="6"/>
        <v>1-CT</v>
      </c>
      <c r="AB171" s="9">
        <f t="shared" si="7"/>
        <v>94500</v>
      </c>
      <c r="AC171" s="9">
        <f t="shared" si="8"/>
        <v>197532.64217762768</v>
      </c>
    </row>
    <row r="172" spans="1:29" x14ac:dyDescent="0.25">
      <c r="A172" t="s">
        <v>29</v>
      </c>
      <c r="B172">
        <v>30012</v>
      </c>
      <c r="C172" s="8">
        <v>45638</v>
      </c>
      <c r="D172" s="9">
        <v>321620</v>
      </c>
      <c r="E172" s="10">
        <v>2</v>
      </c>
      <c r="F172" t="s">
        <v>151</v>
      </c>
      <c r="G172" s="11">
        <v>6</v>
      </c>
      <c r="H172" t="s">
        <v>31</v>
      </c>
      <c r="J172" s="12">
        <v>0</v>
      </c>
      <c r="L172" t="s">
        <v>32</v>
      </c>
      <c r="M172" s="13">
        <v>925000</v>
      </c>
      <c r="N172" s="14">
        <v>12</v>
      </c>
      <c r="P172" s="14">
        <v>1</v>
      </c>
      <c r="Q172" s="15">
        <v>0.105</v>
      </c>
      <c r="R172" s="12">
        <v>25000</v>
      </c>
      <c r="S172" s="12">
        <v>1</v>
      </c>
      <c r="T172" s="12">
        <v>0</v>
      </c>
      <c r="U172" s="12">
        <v>27580</v>
      </c>
      <c r="V172" s="12">
        <v>1</v>
      </c>
      <c r="W172" s="12">
        <v>81537.457677177546</v>
      </c>
      <c r="X172">
        <v>1</v>
      </c>
      <c r="Y172">
        <v>1</v>
      </c>
      <c r="Z172" s="15">
        <v>0.21723260157526414</v>
      </c>
      <c r="AA172" t="str">
        <f t="shared" si="6"/>
        <v>1-CT</v>
      </c>
      <c r="AB172" s="9">
        <f t="shared" si="7"/>
        <v>97125</v>
      </c>
      <c r="AC172" s="9">
        <f t="shared" si="8"/>
        <v>200940.15645711933</v>
      </c>
    </row>
    <row r="173" spans="1:29" x14ac:dyDescent="0.25">
      <c r="A173" t="s">
        <v>29</v>
      </c>
      <c r="B173">
        <v>30012</v>
      </c>
      <c r="C173" s="8">
        <v>45587</v>
      </c>
      <c r="D173" s="9">
        <v>321600</v>
      </c>
      <c r="E173" s="10">
        <v>9</v>
      </c>
      <c r="F173" t="s">
        <v>152</v>
      </c>
      <c r="G173" s="11">
        <v>6</v>
      </c>
      <c r="H173" t="s">
        <v>31</v>
      </c>
      <c r="J173" s="12">
        <v>0</v>
      </c>
      <c r="L173" t="s">
        <v>32</v>
      </c>
      <c r="M173" s="13">
        <v>2200000</v>
      </c>
      <c r="N173" s="14">
        <v>11</v>
      </c>
      <c r="P173" s="14">
        <v>1</v>
      </c>
      <c r="Q173" s="15">
        <v>0.11</v>
      </c>
      <c r="R173" s="12">
        <v>60000</v>
      </c>
      <c r="S173" s="12">
        <v>1</v>
      </c>
      <c r="T173" s="12">
        <v>0</v>
      </c>
      <c r="U173" s="12">
        <v>50020</v>
      </c>
      <c r="V173" s="12">
        <v>1</v>
      </c>
      <c r="W173" s="12">
        <v>211167.26165995139</v>
      </c>
      <c r="X173">
        <v>1</v>
      </c>
      <c r="Y173">
        <v>1</v>
      </c>
      <c r="Z173" s="15">
        <v>0.21639307184309775</v>
      </c>
      <c r="AA173" t="str">
        <f t="shared" si="6"/>
        <v>1-CT</v>
      </c>
      <c r="AB173" s="9">
        <f t="shared" si="7"/>
        <v>242000</v>
      </c>
      <c r="AC173" s="9">
        <f t="shared" si="8"/>
        <v>476064.75805481506</v>
      </c>
    </row>
    <row r="174" spans="1:29" x14ac:dyDescent="0.25">
      <c r="A174" t="s">
        <v>29</v>
      </c>
      <c r="B174">
        <v>30012</v>
      </c>
      <c r="C174" s="8">
        <v>45650</v>
      </c>
      <c r="D174" s="9">
        <v>321620</v>
      </c>
      <c r="E174" s="10">
        <v>2</v>
      </c>
      <c r="F174" t="s">
        <v>139</v>
      </c>
      <c r="G174" s="11">
        <v>6</v>
      </c>
      <c r="H174" t="s">
        <v>31</v>
      </c>
      <c r="J174" s="12">
        <v>0</v>
      </c>
      <c r="L174" t="s">
        <v>32</v>
      </c>
      <c r="M174" s="13">
        <v>935000</v>
      </c>
      <c r="N174" s="14">
        <v>12</v>
      </c>
      <c r="P174" s="14">
        <v>1</v>
      </c>
      <c r="Q174" s="15">
        <v>0.105</v>
      </c>
      <c r="R174" s="12">
        <v>25000</v>
      </c>
      <c r="S174" s="12">
        <v>1</v>
      </c>
      <c r="T174" s="12">
        <v>0</v>
      </c>
      <c r="U174" s="12">
        <v>27756</v>
      </c>
      <c r="V174" s="12">
        <v>1</v>
      </c>
      <c r="W174" s="12">
        <v>82418.943706120015</v>
      </c>
      <c r="X174">
        <v>1</v>
      </c>
      <c r="Y174">
        <v>1</v>
      </c>
      <c r="Z174" s="15">
        <v>0.21636802958370677</v>
      </c>
      <c r="AA174" t="str">
        <f t="shared" si="6"/>
        <v>1-CT</v>
      </c>
      <c r="AB174" s="9">
        <f t="shared" si="7"/>
        <v>98175</v>
      </c>
      <c r="AC174" s="9">
        <f t="shared" si="8"/>
        <v>202304.10766076582</v>
      </c>
    </row>
    <row r="175" spans="1:29" x14ac:dyDescent="0.25">
      <c r="A175" t="s">
        <v>29</v>
      </c>
      <c r="B175">
        <v>30012</v>
      </c>
      <c r="C175" s="8">
        <v>45579</v>
      </c>
      <c r="D175" s="9">
        <v>321600</v>
      </c>
      <c r="E175" s="10">
        <v>9</v>
      </c>
      <c r="F175" t="s">
        <v>153</v>
      </c>
      <c r="G175" s="11">
        <v>6</v>
      </c>
      <c r="H175" t="s">
        <v>31</v>
      </c>
      <c r="J175" s="12">
        <v>0</v>
      </c>
      <c r="L175" t="s">
        <v>40</v>
      </c>
      <c r="M175" s="13">
        <v>1120000</v>
      </c>
      <c r="N175" s="14">
        <v>4</v>
      </c>
      <c r="P175" s="14">
        <v>2</v>
      </c>
      <c r="Q175" s="15">
        <v>0.11</v>
      </c>
      <c r="R175" s="12">
        <v>60000</v>
      </c>
      <c r="S175" s="12">
        <v>1</v>
      </c>
      <c r="T175" s="12">
        <v>0</v>
      </c>
      <c r="U175" s="12">
        <v>31012</v>
      </c>
      <c r="V175" s="12">
        <v>1</v>
      </c>
      <c r="W175" s="12">
        <v>292949.89596711536</v>
      </c>
      <c r="X175">
        <v>1</v>
      </c>
      <c r="Y175">
        <v>1</v>
      </c>
      <c r="Z175" s="15">
        <v>0.21636684973111431</v>
      </c>
      <c r="AA175" t="str">
        <f t="shared" si="6"/>
        <v>1-CT</v>
      </c>
      <c r="AB175" s="9">
        <f t="shared" si="7"/>
        <v>123200</v>
      </c>
      <c r="AC175" s="9">
        <f t="shared" si="8"/>
        <v>242330.87169884803</v>
      </c>
    </row>
    <row r="176" spans="1:29" x14ac:dyDescent="0.25">
      <c r="A176" t="s">
        <v>29</v>
      </c>
      <c r="B176">
        <v>30012</v>
      </c>
      <c r="C176" s="8">
        <v>45576</v>
      </c>
      <c r="D176" s="9">
        <v>321600</v>
      </c>
      <c r="E176" s="10">
        <v>9</v>
      </c>
      <c r="F176" t="s">
        <v>154</v>
      </c>
      <c r="G176" s="11">
        <v>6</v>
      </c>
      <c r="H176" t="s">
        <v>31</v>
      </c>
      <c r="J176" s="12">
        <v>0</v>
      </c>
      <c r="L176" t="s">
        <v>38</v>
      </c>
      <c r="M176" s="13">
        <v>3450000</v>
      </c>
      <c r="N176" s="14">
        <v>11</v>
      </c>
      <c r="P176" s="14">
        <v>1</v>
      </c>
      <c r="Q176" s="15">
        <v>0.11</v>
      </c>
      <c r="R176" s="12">
        <v>100000</v>
      </c>
      <c r="S176" s="12">
        <v>1</v>
      </c>
      <c r="T176" s="12">
        <v>0</v>
      </c>
      <c r="U176" s="12">
        <v>72020</v>
      </c>
      <c r="V176" s="12">
        <v>1</v>
      </c>
      <c r="W176" s="12">
        <v>331148.66033037833</v>
      </c>
      <c r="X176">
        <v>1</v>
      </c>
      <c r="Y176">
        <v>1</v>
      </c>
      <c r="Z176" s="15">
        <v>0.216065687767653</v>
      </c>
      <c r="AA176" t="str">
        <f t="shared" si="6"/>
        <v>1-CT</v>
      </c>
      <c r="AB176" s="9">
        <f t="shared" si="7"/>
        <v>379500</v>
      </c>
      <c r="AC176" s="9">
        <f t="shared" si="8"/>
        <v>745426.62279840291</v>
      </c>
    </row>
    <row r="177" spans="1:29" x14ac:dyDescent="0.25">
      <c r="A177" t="s">
        <v>29</v>
      </c>
      <c r="B177">
        <v>30012</v>
      </c>
      <c r="C177" s="8">
        <v>45652</v>
      </c>
      <c r="D177" s="9">
        <v>321620</v>
      </c>
      <c r="E177" s="10">
        <v>2</v>
      </c>
      <c r="F177" t="s">
        <v>155</v>
      </c>
      <c r="G177" s="11">
        <v>6</v>
      </c>
      <c r="H177" t="s">
        <v>31</v>
      </c>
      <c r="J177" s="12">
        <v>0</v>
      </c>
      <c r="L177" t="s">
        <v>156</v>
      </c>
      <c r="M177" s="13">
        <v>940000</v>
      </c>
      <c r="N177" s="14">
        <v>12</v>
      </c>
      <c r="P177" s="14">
        <v>1</v>
      </c>
      <c r="Q177" s="15">
        <v>0.105</v>
      </c>
      <c r="R177" s="12">
        <v>25000</v>
      </c>
      <c r="S177" s="12">
        <v>1</v>
      </c>
      <c r="T177" s="12">
        <v>0</v>
      </c>
      <c r="U177" s="12">
        <v>27844</v>
      </c>
      <c r="V177" s="12">
        <v>1</v>
      </c>
      <c r="W177" s="12">
        <v>82859.686720591228</v>
      </c>
      <c r="X177">
        <v>1</v>
      </c>
      <c r="Y177">
        <v>1</v>
      </c>
      <c r="Z177" s="15">
        <v>0.21594284780828782</v>
      </c>
      <c r="AA177" t="str">
        <f t="shared" si="6"/>
        <v>1-CT</v>
      </c>
      <c r="AB177" s="9">
        <f t="shared" si="7"/>
        <v>98700</v>
      </c>
      <c r="AC177" s="9">
        <f t="shared" si="8"/>
        <v>202986.27693979055</v>
      </c>
    </row>
    <row r="178" spans="1:29" x14ac:dyDescent="0.25">
      <c r="A178" t="s">
        <v>29</v>
      </c>
      <c r="B178">
        <v>30012</v>
      </c>
      <c r="C178" s="8">
        <v>45650</v>
      </c>
      <c r="D178" s="9">
        <v>321620</v>
      </c>
      <c r="E178" s="10">
        <v>2</v>
      </c>
      <c r="F178" t="s">
        <v>72</v>
      </c>
      <c r="G178" s="11">
        <v>6</v>
      </c>
      <c r="H178" t="s">
        <v>31</v>
      </c>
      <c r="J178" s="12">
        <v>0</v>
      </c>
      <c r="L178" t="s">
        <v>38</v>
      </c>
      <c r="M178" s="13">
        <v>942000</v>
      </c>
      <c r="N178" s="14">
        <v>12</v>
      </c>
      <c r="P178" s="14">
        <v>1</v>
      </c>
      <c r="Q178" s="15">
        <v>0.105</v>
      </c>
      <c r="R178" s="12">
        <v>25000</v>
      </c>
      <c r="S178" s="12">
        <v>1</v>
      </c>
      <c r="T178" s="12">
        <v>0</v>
      </c>
      <c r="U178" s="12">
        <v>27879.200000000001</v>
      </c>
      <c r="V178" s="12">
        <v>1</v>
      </c>
      <c r="W178" s="12">
        <v>83035.983926379718</v>
      </c>
      <c r="X178">
        <v>1</v>
      </c>
      <c r="Y178">
        <v>1</v>
      </c>
      <c r="Z178" s="15">
        <v>0.21577407656990841</v>
      </c>
      <c r="AA178" t="str">
        <f t="shared" si="6"/>
        <v>1-CT</v>
      </c>
      <c r="AB178" s="9">
        <f t="shared" si="7"/>
        <v>98910</v>
      </c>
      <c r="AC178" s="9">
        <f t="shared" si="8"/>
        <v>203259.18012885371</v>
      </c>
    </row>
    <row r="179" spans="1:29" x14ac:dyDescent="0.25">
      <c r="A179" t="s">
        <v>29</v>
      </c>
      <c r="B179">
        <v>30012</v>
      </c>
      <c r="C179" s="8">
        <v>45646</v>
      </c>
      <c r="D179" s="9">
        <v>321620</v>
      </c>
      <c r="E179" s="10">
        <v>2</v>
      </c>
      <c r="F179" t="s">
        <v>157</v>
      </c>
      <c r="G179" s="11">
        <v>6</v>
      </c>
      <c r="H179" t="s">
        <v>31</v>
      </c>
      <c r="J179" s="12">
        <v>0</v>
      </c>
      <c r="L179" t="s">
        <v>156</v>
      </c>
      <c r="M179" s="13">
        <v>950000</v>
      </c>
      <c r="N179" s="14">
        <v>12</v>
      </c>
      <c r="P179" s="14">
        <v>1</v>
      </c>
      <c r="Q179" s="15">
        <v>0.105</v>
      </c>
      <c r="R179" s="12">
        <v>25000</v>
      </c>
      <c r="S179" s="12">
        <v>1</v>
      </c>
      <c r="T179" s="12">
        <v>0</v>
      </c>
      <c r="U179" s="12">
        <v>28020</v>
      </c>
      <c r="V179" s="12">
        <v>1</v>
      </c>
      <c r="W179" s="12">
        <v>83741.172749533711</v>
      </c>
      <c r="X179">
        <v>1</v>
      </c>
      <c r="Y179">
        <v>1</v>
      </c>
      <c r="Z179" s="15">
        <v>0.21510630768417202</v>
      </c>
      <c r="AA179" t="str">
        <f t="shared" si="6"/>
        <v>1-CT</v>
      </c>
      <c r="AB179" s="9">
        <f t="shared" si="7"/>
        <v>99750</v>
      </c>
      <c r="AC179" s="9">
        <f t="shared" si="8"/>
        <v>204350.99229996343</v>
      </c>
    </row>
    <row r="180" spans="1:29" x14ac:dyDescent="0.25">
      <c r="A180" t="s">
        <v>29</v>
      </c>
      <c r="B180">
        <v>30012</v>
      </c>
      <c r="C180" s="8">
        <v>45656</v>
      </c>
      <c r="D180" s="9">
        <v>321620</v>
      </c>
      <c r="E180" s="10">
        <v>2</v>
      </c>
      <c r="F180" t="s">
        <v>87</v>
      </c>
      <c r="G180" s="11">
        <v>6</v>
      </c>
      <c r="H180" t="s">
        <v>31</v>
      </c>
      <c r="J180" s="12">
        <v>0</v>
      </c>
      <c r="L180" t="s">
        <v>32</v>
      </c>
      <c r="M180" s="13">
        <v>950000</v>
      </c>
      <c r="N180" s="14">
        <v>12</v>
      </c>
      <c r="P180" s="14">
        <v>1</v>
      </c>
      <c r="Q180" s="15">
        <v>0.105</v>
      </c>
      <c r="R180" s="12">
        <v>25000</v>
      </c>
      <c r="S180" s="12">
        <v>1</v>
      </c>
      <c r="T180" s="12">
        <v>0</v>
      </c>
      <c r="U180" s="12">
        <v>28020</v>
      </c>
      <c r="V180" s="12">
        <v>1</v>
      </c>
      <c r="W180" s="12">
        <v>83741.172749533711</v>
      </c>
      <c r="X180">
        <v>1</v>
      </c>
      <c r="Y180">
        <v>1</v>
      </c>
      <c r="Z180" s="15">
        <v>0.21510630768417202</v>
      </c>
      <c r="AA180" t="str">
        <f t="shared" si="6"/>
        <v>1-CT</v>
      </c>
      <c r="AB180" s="9">
        <f t="shared" si="7"/>
        <v>99750</v>
      </c>
      <c r="AC180" s="9">
        <f t="shared" si="8"/>
        <v>204350.99229996343</v>
      </c>
    </row>
    <row r="181" spans="1:29" x14ac:dyDescent="0.25">
      <c r="A181" t="s">
        <v>29</v>
      </c>
      <c r="B181">
        <v>30012</v>
      </c>
      <c r="C181" s="8">
        <v>45638</v>
      </c>
      <c r="D181" s="9">
        <v>321620</v>
      </c>
      <c r="E181" s="10">
        <v>2</v>
      </c>
      <c r="F181" t="s">
        <v>64</v>
      </c>
      <c r="G181" s="11">
        <v>6</v>
      </c>
      <c r="H181" t="s">
        <v>31</v>
      </c>
      <c r="J181" s="12">
        <v>0</v>
      </c>
      <c r="L181" t="s">
        <v>32</v>
      </c>
      <c r="M181" s="13">
        <v>584000</v>
      </c>
      <c r="N181" s="14">
        <v>12</v>
      </c>
      <c r="P181" s="14">
        <v>1</v>
      </c>
      <c r="Q181" s="15">
        <v>0.105</v>
      </c>
      <c r="R181" s="12">
        <v>25000</v>
      </c>
      <c r="S181" s="12">
        <v>1</v>
      </c>
      <c r="T181" s="12">
        <v>0</v>
      </c>
      <c r="U181" s="12">
        <v>7140</v>
      </c>
      <c r="V181" s="12">
        <v>1</v>
      </c>
      <c r="W181" s="12">
        <v>51478.784090239664</v>
      </c>
      <c r="X181">
        <v>1</v>
      </c>
      <c r="Y181">
        <v>1</v>
      </c>
      <c r="Z181" s="15">
        <v>0.21351023420491849</v>
      </c>
      <c r="AA181" t="str">
        <f t="shared" si="6"/>
        <v>1-CT</v>
      </c>
      <c r="AB181" s="9">
        <f t="shared" si="7"/>
        <v>61320</v>
      </c>
      <c r="AC181" s="9">
        <f t="shared" si="8"/>
        <v>124689.9767756724</v>
      </c>
    </row>
    <row r="182" spans="1:29" x14ac:dyDescent="0.25">
      <c r="A182" t="s">
        <v>29</v>
      </c>
      <c r="B182">
        <v>30012</v>
      </c>
      <c r="C182" s="8">
        <v>45567</v>
      </c>
      <c r="D182" s="9">
        <v>321600</v>
      </c>
      <c r="E182" s="10">
        <v>9</v>
      </c>
      <c r="F182" t="s">
        <v>70</v>
      </c>
      <c r="G182" s="11">
        <v>6</v>
      </c>
      <c r="H182" t="s">
        <v>31</v>
      </c>
      <c r="J182" s="12">
        <v>0</v>
      </c>
      <c r="L182" t="s">
        <v>32</v>
      </c>
      <c r="M182" s="13">
        <v>2310000</v>
      </c>
      <c r="N182" s="14">
        <v>11</v>
      </c>
      <c r="P182" s="14">
        <v>1</v>
      </c>
      <c r="Q182" s="15">
        <v>0.11</v>
      </c>
      <c r="R182" s="12">
        <v>60000</v>
      </c>
      <c r="S182" s="12">
        <v>1</v>
      </c>
      <c r="T182" s="12">
        <v>0</v>
      </c>
      <c r="U182" s="12">
        <v>51956</v>
      </c>
      <c r="V182" s="12">
        <v>1</v>
      </c>
      <c r="W182" s="12">
        <v>221725.62474294894</v>
      </c>
      <c r="X182">
        <v>1</v>
      </c>
      <c r="Y182">
        <v>1</v>
      </c>
      <c r="Z182" s="15">
        <v>0.21298799275497854</v>
      </c>
      <c r="AA182" t="str">
        <f t="shared" si="6"/>
        <v>1-CT</v>
      </c>
      <c r="AB182" s="9">
        <f t="shared" si="7"/>
        <v>254100</v>
      </c>
      <c r="AC182" s="9">
        <f t="shared" si="8"/>
        <v>492002.26326400042</v>
      </c>
    </row>
    <row r="183" spans="1:29" x14ac:dyDescent="0.25">
      <c r="A183" t="s">
        <v>29</v>
      </c>
      <c r="B183">
        <v>30012</v>
      </c>
      <c r="C183" s="8">
        <v>45616</v>
      </c>
      <c r="D183" s="9">
        <v>321620</v>
      </c>
      <c r="E183" s="10">
        <v>2</v>
      </c>
      <c r="F183" t="s">
        <v>141</v>
      </c>
      <c r="G183" s="11">
        <v>6</v>
      </c>
      <c r="H183" t="s">
        <v>31</v>
      </c>
      <c r="J183" s="12">
        <v>0</v>
      </c>
      <c r="L183" t="s">
        <v>32</v>
      </c>
      <c r="M183" s="13">
        <v>670000</v>
      </c>
      <c r="N183" s="14">
        <v>12</v>
      </c>
      <c r="P183" s="14">
        <v>1</v>
      </c>
      <c r="Q183" s="15">
        <v>0.105</v>
      </c>
      <c r="R183" s="12">
        <v>13400</v>
      </c>
      <c r="S183" s="12">
        <v>1</v>
      </c>
      <c r="T183" s="12">
        <v>0</v>
      </c>
      <c r="U183" s="12">
        <v>23092</v>
      </c>
      <c r="V183" s="12">
        <v>1</v>
      </c>
      <c r="W183" s="12">
        <v>59059.56393914482</v>
      </c>
      <c r="X183">
        <v>1</v>
      </c>
      <c r="Y183">
        <v>1</v>
      </c>
      <c r="Z183" s="15">
        <v>0.21234242674689369</v>
      </c>
      <c r="AA183" t="str">
        <f t="shared" si="6"/>
        <v>1-CT</v>
      </c>
      <c r="AB183" s="9">
        <f t="shared" si="7"/>
        <v>70350</v>
      </c>
      <c r="AC183" s="9">
        <f t="shared" si="8"/>
        <v>142269.42592041878</v>
      </c>
    </row>
    <row r="184" spans="1:29" x14ac:dyDescent="0.25">
      <c r="A184" t="s">
        <v>29</v>
      </c>
      <c r="B184">
        <v>30012</v>
      </c>
      <c r="C184" s="8">
        <v>45581</v>
      </c>
      <c r="D184" s="9">
        <v>321600</v>
      </c>
      <c r="E184" s="10">
        <v>9</v>
      </c>
      <c r="F184" t="s">
        <v>68</v>
      </c>
      <c r="G184" s="11">
        <v>6</v>
      </c>
      <c r="H184" t="s">
        <v>31</v>
      </c>
      <c r="J184" s="12">
        <v>0</v>
      </c>
      <c r="L184" t="s">
        <v>71</v>
      </c>
      <c r="M184" s="13">
        <v>2350000</v>
      </c>
      <c r="N184" s="14">
        <v>11</v>
      </c>
      <c r="P184" s="14">
        <v>1</v>
      </c>
      <c r="Q184" s="15">
        <v>0.11</v>
      </c>
      <c r="R184" s="12">
        <v>60000</v>
      </c>
      <c r="S184" s="12">
        <v>1</v>
      </c>
      <c r="T184" s="12">
        <v>0</v>
      </c>
      <c r="U184" s="12">
        <v>52660</v>
      </c>
      <c r="V184" s="12">
        <v>1</v>
      </c>
      <c r="W184" s="12">
        <v>225565.0295004026</v>
      </c>
      <c r="X184">
        <v>1</v>
      </c>
      <c r="Y184">
        <v>1</v>
      </c>
      <c r="Z184" s="15">
        <v>0.21183066357201386</v>
      </c>
      <c r="AA184" t="str">
        <f t="shared" si="6"/>
        <v>1-CT</v>
      </c>
      <c r="AB184" s="9">
        <f t="shared" si="7"/>
        <v>258500</v>
      </c>
      <c r="AC184" s="9">
        <f t="shared" si="8"/>
        <v>497802.05939423258</v>
      </c>
    </row>
    <row r="185" spans="1:29" x14ac:dyDescent="0.25">
      <c r="A185" t="s">
        <v>29</v>
      </c>
      <c r="B185">
        <v>30012</v>
      </c>
      <c r="C185" s="8">
        <v>45579</v>
      </c>
      <c r="D185" s="9">
        <v>321600</v>
      </c>
      <c r="E185" s="10">
        <v>9</v>
      </c>
      <c r="F185" t="s">
        <v>158</v>
      </c>
      <c r="G185" s="11">
        <v>6</v>
      </c>
      <c r="H185" t="s">
        <v>31</v>
      </c>
      <c r="J185" s="12">
        <v>0</v>
      </c>
      <c r="L185" t="s">
        <v>38</v>
      </c>
      <c r="M185" s="13">
        <v>375000</v>
      </c>
      <c r="N185" s="14">
        <v>11</v>
      </c>
      <c r="P185" s="14">
        <v>1</v>
      </c>
      <c r="Q185" s="15">
        <v>0.11</v>
      </c>
      <c r="R185" s="12">
        <v>0</v>
      </c>
      <c r="S185" s="12">
        <v>1</v>
      </c>
      <c r="T185" s="12">
        <v>0</v>
      </c>
      <c r="U185" s="12">
        <v>17900</v>
      </c>
      <c r="V185" s="12">
        <v>1</v>
      </c>
      <c r="W185" s="12">
        <v>35994.419601128073</v>
      </c>
      <c r="X185">
        <v>1</v>
      </c>
      <c r="Y185">
        <v>1</v>
      </c>
      <c r="Z185" s="15">
        <v>0.21137472531133783</v>
      </c>
      <c r="AA185" t="str">
        <f t="shared" si="6"/>
        <v>1-CT</v>
      </c>
      <c r="AB185" s="9">
        <f t="shared" si="7"/>
        <v>41250</v>
      </c>
      <c r="AC185" s="9">
        <f t="shared" si="8"/>
        <v>79265.521991751681</v>
      </c>
    </row>
    <row r="186" spans="1:29" x14ac:dyDescent="0.25">
      <c r="A186" t="s">
        <v>29</v>
      </c>
      <c r="B186">
        <v>30012</v>
      </c>
      <c r="C186" s="8">
        <v>45656</v>
      </c>
      <c r="D186" s="9">
        <v>321620</v>
      </c>
      <c r="E186" s="10">
        <v>2</v>
      </c>
      <c r="F186" t="s">
        <v>159</v>
      </c>
      <c r="G186" s="11">
        <v>6</v>
      </c>
      <c r="H186" t="s">
        <v>31</v>
      </c>
      <c r="J186" s="12">
        <v>0</v>
      </c>
      <c r="L186" t="s">
        <v>38</v>
      </c>
      <c r="M186" s="13">
        <v>1000000</v>
      </c>
      <c r="N186" s="14">
        <v>12</v>
      </c>
      <c r="P186" s="14">
        <v>1</v>
      </c>
      <c r="Q186" s="15">
        <v>0.105</v>
      </c>
      <c r="R186" s="12">
        <v>25000</v>
      </c>
      <c r="S186" s="12">
        <v>1</v>
      </c>
      <c r="T186" s="12">
        <v>0</v>
      </c>
      <c r="U186" s="12">
        <v>28900</v>
      </c>
      <c r="V186" s="12">
        <v>1</v>
      </c>
      <c r="W186" s="12">
        <v>88148.602894245996</v>
      </c>
      <c r="X186">
        <v>1</v>
      </c>
      <c r="Y186">
        <v>1</v>
      </c>
      <c r="Z186" s="15">
        <v>0.21118159896027316</v>
      </c>
      <c r="AA186" t="str">
        <f t="shared" si="6"/>
        <v>1-CT</v>
      </c>
      <c r="AB186" s="9">
        <f t="shared" si="7"/>
        <v>105000</v>
      </c>
      <c r="AC186" s="9">
        <f t="shared" si="8"/>
        <v>211181.59896027317</v>
      </c>
    </row>
    <row r="187" spans="1:29" x14ac:dyDescent="0.25">
      <c r="A187" t="s">
        <v>29</v>
      </c>
      <c r="B187">
        <v>30012</v>
      </c>
      <c r="C187" s="8">
        <v>45645</v>
      </c>
      <c r="D187" s="9">
        <v>321620</v>
      </c>
      <c r="E187" s="10">
        <v>2</v>
      </c>
      <c r="F187" t="s">
        <v>86</v>
      </c>
      <c r="G187" s="11">
        <v>6</v>
      </c>
      <c r="H187" t="s">
        <v>31</v>
      </c>
      <c r="J187" s="12">
        <v>0</v>
      </c>
      <c r="L187" t="s">
        <v>38</v>
      </c>
      <c r="M187" s="13">
        <v>1000000</v>
      </c>
      <c r="N187" s="14">
        <v>12</v>
      </c>
      <c r="P187" s="14">
        <v>1</v>
      </c>
      <c r="Q187" s="15">
        <v>0.105</v>
      </c>
      <c r="R187" s="12">
        <v>25000</v>
      </c>
      <c r="S187" s="12">
        <v>1</v>
      </c>
      <c r="T187" s="12">
        <v>0</v>
      </c>
      <c r="U187" s="12">
        <v>28900</v>
      </c>
      <c r="V187" s="12">
        <v>1</v>
      </c>
      <c r="W187" s="12">
        <v>88148.602894245996</v>
      </c>
      <c r="X187">
        <v>1</v>
      </c>
      <c r="Y187">
        <v>1</v>
      </c>
      <c r="Z187" s="15">
        <v>0.21118159896027316</v>
      </c>
      <c r="AA187" t="str">
        <f t="shared" si="6"/>
        <v>1-CT</v>
      </c>
      <c r="AB187" s="9">
        <f t="shared" si="7"/>
        <v>105000</v>
      </c>
      <c r="AC187" s="9">
        <f t="shared" si="8"/>
        <v>211181.59896027317</v>
      </c>
    </row>
    <row r="188" spans="1:29" x14ac:dyDescent="0.25">
      <c r="A188" t="s">
        <v>29</v>
      </c>
      <c r="B188">
        <v>30012</v>
      </c>
      <c r="C188" s="8">
        <v>45632</v>
      </c>
      <c r="D188" s="9">
        <v>321620</v>
      </c>
      <c r="E188" s="10">
        <v>2</v>
      </c>
      <c r="F188" t="s">
        <v>120</v>
      </c>
      <c r="G188" s="11">
        <v>6</v>
      </c>
      <c r="H188" t="s">
        <v>31</v>
      </c>
      <c r="J188" s="12">
        <v>0</v>
      </c>
      <c r="L188" t="s">
        <v>34</v>
      </c>
      <c r="M188" s="13">
        <v>1000000</v>
      </c>
      <c r="N188" s="14">
        <v>12</v>
      </c>
      <c r="P188" s="14">
        <v>1</v>
      </c>
      <c r="Q188" s="15">
        <v>0.105</v>
      </c>
      <c r="R188" s="12">
        <v>25000</v>
      </c>
      <c r="S188" s="12">
        <v>1</v>
      </c>
      <c r="T188" s="12">
        <v>0</v>
      </c>
      <c r="U188" s="12">
        <v>28900</v>
      </c>
      <c r="V188" s="12">
        <v>1</v>
      </c>
      <c r="W188" s="12">
        <v>88148.602894245996</v>
      </c>
      <c r="X188">
        <v>1</v>
      </c>
      <c r="Y188">
        <v>1</v>
      </c>
      <c r="Z188" s="15">
        <v>0.21118159896027316</v>
      </c>
      <c r="AA188" t="str">
        <f t="shared" si="6"/>
        <v>1-CT</v>
      </c>
      <c r="AB188" s="9">
        <f t="shared" si="7"/>
        <v>105000</v>
      </c>
      <c r="AC188" s="9">
        <f t="shared" si="8"/>
        <v>211181.59896027317</v>
      </c>
    </row>
    <row r="189" spans="1:29" x14ac:dyDescent="0.25">
      <c r="A189" t="s">
        <v>29</v>
      </c>
      <c r="B189">
        <v>30012</v>
      </c>
      <c r="C189" s="8">
        <v>45635</v>
      </c>
      <c r="D189" s="9">
        <v>321620</v>
      </c>
      <c r="E189" s="10">
        <v>2</v>
      </c>
      <c r="F189" t="s">
        <v>160</v>
      </c>
      <c r="G189" s="11">
        <v>6</v>
      </c>
      <c r="H189" t="s">
        <v>31</v>
      </c>
      <c r="J189" s="12">
        <v>0</v>
      </c>
      <c r="L189" t="s">
        <v>156</v>
      </c>
      <c r="M189" s="13">
        <v>600000</v>
      </c>
      <c r="N189" s="14">
        <v>12</v>
      </c>
      <c r="P189" s="14">
        <v>1</v>
      </c>
      <c r="Q189" s="15">
        <v>0.105</v>
      </c>
      <c r="R189" s="12">
        <v>25000</v>
      </c>
      <c r="S189" s="12">
        <v>1</v>
      </c>
      <c r="T189" s="12">
        <v>0</v>
      </c>
      <c r="U189" s="12">
        <v>7300</v>
      </c>
      <c r="V189" s="12">
        <v>1</v>
      </c>
      <c r="W189" s="12">
        <v>52889.161736547605</v>
      </c>
      <c r="X189">
        <v>1</v>
      </c>
      <c r="Y189">
        <v>1</v>
      </c>
      <c r="Z189" s="15">
        <v>0.21104485747664414</v>
      </c>
      <c r="AA189" t="str">
        <f t="shared" si="6"/>
        <v>1-CT</v>
      </c>
      <c r="AB189" s="9">
        <f t="shared" si="7"/>
        <v>63000</v>
      </c>
      <c r="AC189" s="9">
        <f t="shared" si="8"/>
        <v>126626.91448598649</v>
      </c>
    </row>
    <row r="190" spans="1:29" x14ac:dyDescent="0.25">
      <c r="A190" t="s">
        <v>29</v>
      </c>
      <c r="B190">
        <v>30012</v>
      </c>
      <c r="C190" s="8">
        <v>45617</v>
      </c>
      <c r="D190" s="9">
        <v>321620</v>
      </c>
      <c r="E190" s="10">
        <v>2</v>
      </c>
      <c r="F190" t="s">
        <v>161</v>
      </c>
      <c r="G190" s="11">
        <v>6</v>
      </c>
      <c r="H190" t="s">
        <v>31</v>
      </c>
      <c r="J190" s="12">
        <v>0</v>
      </c>
      <c r="L190" t="s">
        <v>36</v>
      </c>
      <c r="M190" s="13">
        <v>707000</v>
      </c>
      <c r="N190" s="14">
        <v>12</v>
      </c>
      <c r="P190" s="14">
        <v>1</v>
      </c>
      <c r="Q190" s="15">
        <v>0.105</v>
      </c>
      <c r="R190" s="12">
        <v>14140</v>
      </c>
      <c r="S190" s="12">
        <v>1</v>
      </c>
      <c r="T190" s="12">
        <v>0</v>
      </c>
      <c r="U190" s="12">
        <v>23743.200000000001</v>
      </c>
      <c r="V190" s="12">
        <v>1</v>
      </c>
      <c r="W190" s="12">
        <v>62321.062246231915</v>
      </c>
      <c r="X190">
        <v>1</v>
      </c>
      <c r="Y190">
        <v>1</v>
      </c>
      <c r="Z190" s="15">
        <v>0.21053157379092097</v>
      </c>
      <c r="AA190" t="str">
        <f t="shared" si="6"/>
        <v>1-CT</v>
      </c>
      <c r="AB190" s="9">
        <f t="shared" si="7"/>
        <v>74235</v>
      </c>
      <c r="AC190" s="9">
        <f t="shared" si="8"/>
        <v>148845.82267018114</v>
      </c>
    </row>
    <row r="191" spans="1:29" x14ac:dyDescent="0.25">
      <c r="A191" t="s">
        <v>29</v>
      </c>
      <c r="B191">
        <v>30012</v>
      </c>
      <c r="C191" s="8">
        <v>45623</v>
      </c>
      <c r="D191" s="9">
        <v>321620</v>
      </c>
      <c r="E191" s="10">
        <v>2</v>
      </c>
      <c r="F191" t="s">
        <v>85</v>
      </c>
      <c r="G191" s="11">
        <v>6</v>
      </c>
      <c r="H191" t="s">
        <v>31</v>
      </c>
      <c r="J191" s="12">
        <v>0</v>
      </c>
      <c r="L191" t="s">
        <v>40</v>
      </c>
      <c r="M191" s="13">
        <v>2000000</v>
      </c>
      <c r="N191" s="14">
        <v>12</v>
      </c>
      <c r="P191" s="14">
        <v>1</v>
      </c>
      <c r="Q191" s="15">
        <v>0.105</v>
      </c>
      <c r="R191" s="12">
        <v>60000</v>
      </c>
      <c r="S191" s="12">
        <v>1</v>
      </c>
      <c r="T191" s="12">
        <v>0</v>
      </c>
      <c r="U191" s="12">
        <v>46500</v>
      </c>
      <c r="V191" s="12">
        <v>1</v>
      </c>
      <c r="W191" s="12">
        <v>176297.20578849199</v>
      </c>
      <c r="X191">
        <v>1</v>
      </c>
      <c r="Y191">
        <v>1</v>
      </c>
      <c r="Z191" s="15">
        <v>0.20984896889842569</v>
      </c>
      <c r="AA191" t="str">
        <f t="shared" si="6"/>
        <v>1-CT</v>
      </c>
      <c r="AB191" s="9">
        <f t="shared" si="7"/>
        <v>210000</v>
      </c>
      <c r="AC191" s="9">
        <f t="shared" si="8"/>
        <v>419697.93779685139</v>
      </c>
    </row>
    <row r="192" spans="1:29" x14ac:dyDescent="0.25">
      <c r="A192" t="s">
        <v>29</v>
      </c>
      <c r="B192">
        <v>30012</v>
      </c>
      <c r="C192" s="8">
        <v>45638</v>
      </c>
      <c r="D192" s="9">
        <v>321620</v>
      </c>
      <c r="E192" s="10">
        <v>2</v>
      </c>
      <c r="F192" t="s">
        <v>162</v>
      </c>
      <c r="G192" s="11">
        <v>6</v>
      </c>
      <c r="H192" t="s">
        <v>31</v>
      </c>
      <c r="J192" s="12">
        <v>0</v>
      </c>
      <c r="L192" t="s">
        <v>34</v>
      </c>
      <c r="M192" s="13">
        <v>1375000</v>
      </c>
      <c r="N192" s="14">
        <v>12</v>
      </c>
      <c r="P192" s="14">
        <v>1</v>
      </c>
      <c r="Q192" s="15">
        <v>0.105</v>
      </c>
      <c r="R192" s="12">
        <v>37375</v>
      </c>
      <c r="S192" s="12">
        <v>1</v>
      </c>
      <c r="T192" s="12">
        <v>0</v>
      </c>
      <c r="U192" s="12">
        <v>35500</v>
      </c>
      <c r="V192" s="12">
        <v>1</v>
      </c>
      <c r="W192" s="12">
        <v>121204.32897958826</v>
      </c>
      <c r="X192">
        <v>1</v>
      </c>
      <c r="Y192">
        <v>1</v>
      </c>
      <c r="Z192" s="15">
        <v>0.20933677429265707</v>
      </c>
      <c r="AA192" t="str">
        <f t="shared" si="6"/>
        <v>1-CT</v>
      </c>
      <c r="AB192" s="9">
        <f t="shared" si="7"/>
        <v>144375</v>
      </c>
      <c r="AC192" s="9">
        <f t="shared" si="8"/>
        <v>287838.06465240347</v>
      </c>
    </row>
    <row r="193" spans="1:29" x14ac:dyDescent="0.25">
      <c r="A193" t="s">
        <v>29</v>
      </c>
      <c r="B193">
        <v>30012</v>
      </c>
      <c r="C193" s="8">
        <v>45639</v>
      </c>
      <c r="D193" s="9">
        <v>321620</v>
      </c>
      <c r="E193" s="10">
        <v>2</v>
      </c>
      <c r="F193" t="s">
        <v>117</v>
      </c>
      <c r="G193" s="11">
        <v>6</v>
      </c>
      <c r="H193" t="s">
        <v>31</v>
      </c>
      <c r="J193" s="12">
        <v>0</v>
      </c>
      <c r="L193" t="s">
        <v>32</v>
      </c>
      <c r="M193" s="13">
        <v>1030000</v>
      </c>
      <c r="N193" s="14">
        <v>12</v>
      </c>
      <c r="P193" s="14">
        <v>1</v>
      </c>
      <c r="Q193" s="15">
        <v>0.105</v>
      </c>
      <c r="R193" s="12">
        <v>25000</v>
      </c>
      <c r="S193" s="12">
        <v>1</v>
      </c>
      <c r="T193" s="12">
        <v>0</v>
      </c>
      <c r="U193" s="12">
        <v>29428</v>
      </c>
      <c r="V193" s="12">
        <v>1</v>
      </c>
      <c r="W193" s="12">
        <v>90793.060981073388</v>
      </c>
      <c r="X193">
        <v>1</v>
      </c>
      <c r="Y193">
        <v>1</v>
      </c>
      <c r="Z193" s="15">
        <v>0.20901464032963224</v>
      </c>
      <c r="AA193" t="str">
        <f t="shared" si="6"/>
        <v>1-CT</v>
      </c>
      <c r="AB193" s="9">
        <f t="shared" si="7"/>
        <v>108150</v>
      </c>
      <c r="AC193" s="9">
        <f t="shared" si="8"/>
        <v>215285.07953952122</v>
      </c>
    </row>
    <row r="194" spans="1:29" x14ac:dyDescent="0.25">
      <c r="A194" t="s">
        <v>29</v>
      </c>
      <c r="B194">
        <v>30012</v>
      </c>
      <c r="C194" s="8">
        <v>45632</v>
      </c>
      <c r="D194" s="9">
        <v>321620</v>
      </c>
      <c r="E194" s="10">
        <v>2</v>
      </c>
      <c r="F194" t="s">
        <v>163</v>
      </c>
      <c r="G194" s="11">
        <v>6</v>
      </c>
      <c r="H194" t="s">
        <v>31</v>
      </c>
      <c r="J194" s="12">
        <v>0</v>
      </c>
      <c r="L194" t="s">
        <v>32</v>
      </c>
      <c r="M194" s="13">
        <v>1040000</v>
      </c>
      <c r="N194" s="14">
        <v>12</v>
      </c>
      <c r="P194" s="14">
        <v>1</v>
      </c>
      <c r="Q194" s="15">
        <v>0.105</v>
      </c>
      <c r="R194" s="12">
        <v>25000</v>
      </c>
      <c r="S194" s="12">
        <v>1</v>
      </c>
      <c r="T194" s="12">
        <v>0</v>
      </c>
      <c r="U194" s="12">
        <v>29604</v>
      </c>
      <c r="V194" s="12">
        <v>1</v>
      </c>
      <c r="W194" s="12">
        <v>91674.547010015842</v>
      </c>
      <c r="X194">
        <v>1</v>
      </c>
      <c r="Y194">
        <v>1</v>
      </c>
      <c r="Z194" s="15">
        <v>0.20832084904153314</v>
      </c>
      <c r="AA194" t="str">
        <f t="shared" si="6"/>
        <v>1-CT</v>
      </c>
      <c r="AB194" s="9">
        <f t="shared" si="7"/>
        <v>109200</v>
      </c>
      <c r="AC194" s="9">
        <f t="shared" si="8"/>
        <v>216653.68300319446</v>
      </c>
    </row>
    <row r="195" spans="1:29" x14ac:dyDescent="0.25">
      <c r="A195" t="s">
        <v>29</v>
      </c>
      <c r="B195">
        <v>30012</v>
      </c>
      <c r="C195" s="8">
        <v>45649</v>
      </c>
      <c r="D195" s="9">
        <v>321620</v>
      </c>
      <c r="E195" s="10">
        <v>2</v>
      </c>
      <c r="F195" t="s">
        <v>140</v>
      </c>
      <c r="G195" s="11">
        <v>6</v>
      </c>
      <c r="H195" t="s">
        <v>31</v>
      </c>
      <c r="J195" s="12">
        <v>0</v>
      </c>
      <c r="L195" t="s">
        <v>32</v>
      </c>
      <c r="M195" s="13">
        <v>1200000</v>
      </c>
      <c r="N195" s="14">
        <v>12</v>
      </c>
      <c r="P195" s="14">
        <v>1</v>
      </c>
      <c r="Q195" s="15">
        <v>0.11</v>
      </c>
      <c r="R195" s="12">
        <v>27500</v>
      </c>
      <c r="S195" s="12">
        <v>1</v>
      </c>
      <c r="T195" s="12">
        <v>0</v>
      </c>
      <c r="U195" s="12">
        <v>32420</v>
      </c>
      <c r="V195" s="12">
        <v>1</v>
      </c>
      <c r="W195" s="12">
        <v>106057.99022592485</v>
      </c>
      <c r="X195">
        <v>1</v>
      </c>
      <c r="Y195">
        <v>1</v>
      </c>
      <c r="Z195" s="15">
        <v>0.20818727996272773</v>
      </c>
      <c r="AA195" t="str">
        <f t="shared" ref="AA195:AA258" si="9">IF(N195&lt;=24,"1-CT",IF(N195&gt;60,"3-LT","2-MT"))</f>
        <v>1-CT</v>
      </c>
      <c r="AB195" s="9">
        <f t="shared" ref="AB195:AB258" si="10">Q195*M195</f>
        <v>132000</v>
      </c>
      <c r="AC195" s="9">
        <f t="shared" ref="AC195:AC258" si="11">Z195*M195</f>
        <v>249824.73595527327</v>
      </c>
    </row>
    <row r="196" spans="1:29" x14ac:dyDescent="0.25">
      <c r="A196" t="s">
        <v>29</v>
      </c>
      <c r="B196">
        <v>30012</v>
      </c>
      <c r="C196" s="8">
        <v>45628</v>
      </c>
      <c r="D196" s="9">
        <v>321620</v>
      </c>
      <c r="E196" s="10">
        <v>2</v>
      </c>
      <c r="F196" t="s">
        <v>164</v>
      </c>
      <c r="G196" s="11">
        <v>6</v>
      </c>
      <c r="H196" t="s">
        <v>31</v>
      </c>
      <c r="J196" s="12">
        <v>0</v>
      </c>
      <c r="L196" t="s">
        <v>165</v>
      </c>
      <c r="M196" s="13">
        <v>763000</v>
      </c>
      <c r="N196" s="14">
        <v>12</v>
      </c>
      <c r="P196" s="14">
        <v>1</v>
      </c>
      <c r="Q196" s="15">
        <v>0.105</v>
      </c>
      <c r="R196" s="12">
        <v>15260</v>
      </c>
      <c r="S196" s="12">
        <v>1</v>
      </c>
      <c r="T196" s="12">
        <v>0</v>
      </c>
      <c r="U196" s="12">
        <v>24728.799999999999</v>
      </c>
      <c r="V196" s="12">
        <v>1</v>
      </c>
      <c r="W196" s="12">
        <v>67257.384008309702</v>
      </c>
      <c r="X196">
        <v>1</v>
      </c>
      <c r="Y196">
        <v>1</v>
      </c>
      <c r="Z196" s="15">
        <v>0.20812869635439973</v>
      </c>
      <c r="AA196" t="str">
        <f t="shared" si="9"/>
        <v>1-CT</v>
      </c>
      <c r="AB196" s="9">
        <f t="shared" si="10"/>
        <v>80115</v>
      </c>
      <c r="AC196" s="9">
        <f t="shared" si="11"/>
        <v>158802.195318407</v>
      </c>
    </row>
    <row r="197" spans="1:29" x14ac:dyDescent="0.25">
      <c r="A197" t="s">
        <v>29</v>
      </c>
      <c r="B197">
        <v>30012</v>
      </c>
      <c r="C197" s="8">
        <v>45569</v>
      </c>
      <c r="D197" s="9">
        <v>321600</v>
      </c>
      <c r="E197" s="10">
        <v>9</v>
      </c>
      <c r="F197" t="s">
        <v>115</v>
      </c>
      <c r="G197" s="11">
        <v>6</v>
      </c>
      <c r="H197" t="s">
        <v>31</v>
      </c>
      <c r="J197" s="12">
        <v>0</v>
      </c>
      <c r="L197" t="s">
        <v>38</v>
      </c>
      <c r="M197" s="13">
        <v>3900000</v>
      </c>
      <c r="N197" s="14">
        <v>11</v>
      </c>
      <c r="P197" s="14">
        <v>1</v>
      </c>
      <c r="Q197" s="15">
        <v>0.11</v>
      </c>
      <c r="R197" s="12">
        <v>100000</v>
      </c>
      <c r="S197" s="12">
        <v>1</v>
      </c>
      <c r="T197" s="12">
        <v>0</v>
      </c>
      <c r="U197" s="12">
        <v>79940</v>
      </c>
      <c r="V197" s="12">
        <v>1</v>
      </c>
      <c r="W197" s="12">
        <v>374341.96385173197</v>
      </c>
      <c r="X197">
        <v>1</v>
      </c>
      <c r="Y197">
        <v>1</v>
      </c>
      <c r="Z197" s="15">
        <v>0.2078682868468642</v>
      </c>
      <c r="AA197" t="str">
        <f t="shared" si="9"/>
        <v>1-CT</v>
      </c>
      <c r="AB197" s="9">
        <f t="shared" si="10"/>
        <v>429000</v>
      </c>
      <c r="AC197" s="9">
        <f t="shared" si="11"/>
        <v>810686.3187027704</v>
      </c>
    </row>
    <row r="198" spans="1:29" x14ac:dyDescent="0.25">
      <c r="A198" t="s">
        <v>29</v>
      </c>
      <c r="B198">
        <v>30012</v>
      </c>
      <c r="C198" s="8">
        <v>45566</v>
      </c>
      <c r="D198" s="9">
        <v>321600</v>
      </c>
      <c r="E198" s="10">
        <v>9</v>
      </c>
      <c r="F198" t="s">
        <v>111</v>
      </c>
      <c r="G198" s="11">
        <v>6</v>
      </c>
      <c r="H198" t="s">
        <v>31</v>
      </c>
      <c r="J198" s="12">
        <v>0</v>
      </c>
      <c r="L198" t="s">
        <v>32</v>
      </c>
      <c r="M198" s="13">
        <v>2500000</v>
      </c>
      <c r="N198" s="14">
        <v>11</v>
      </c>
      <c r="P198" s="14">
        <v>1</v>
      </c>
      <c r="Q198" s="15">
        <v>0.11</v>
      </c>
      <c r="R198" s="12">
        <v>60000</v>
      </c>
      <c r="S198" s="12">
        <v>1</v>
      </c>
      <c r="T198" s="12">
        <v>0</v>
      </c>
      <c r="U198" s="12">
        <v>55300</v>
      </c>
      <c r="V198" s="12">
        <v>1</v>
      </c>
      <c r="W198" s="12">
        <v>239962.79734085384</v>
      </c>
      <c r="X198">
        <v>1</v>
      </c>
      <c r="Y198">
        <v>1</v>
      </c>
      <c r="Z198" s="15">
        <v>0.20782774816076632</v>
      </c>
      <c r="AA198" t="str">
        <f t="shared" si="9"/>
        <v>1-CT</v>
      </c>
      <c r="AB198" s="9">
        <f t="shared" si="10"/>
        <v>275000</v>
      </c>
      <c r="AC198" s="9">
        <f t="shared" si="11"/>
        <v>519569.3704019158</v>
      </c>
    </row>
    <row r="199" spans="1:29" x14ac:dyDescent="0.25">
      <c r="A199" t="s">
        <v>29</v>
      </c>
      <c r="B199">
        <v>30012</v>
      </c>
      <c r="C199" s="8">
        <v>45581</v>
      </c>
      <c r="D199" s="9">
        <v>321600</v>
      </c>
      <c r="E199" s="10">
        <v>9</v>
      </c>
      <c r="F199" t="s">
        <v>166</v>
      </c>
      <c r="G199" s="11">
        <v>6</v>
      </c>
      <c r="H199" t="s">
        <v>31</v>
      </c>
      <c r="J199" s="12">
        <v>0</v>
      </c>
      <c r="L199" t="s">
        <v>40</v>
      </c>
      <c r="M199" s="13">
        <v>2540000</v>
      </c>
      <c r="N199" s="14">
        <v>11</v>
      </c>
      <c r="P199" s="14">
        <v>1</v>
      </c>
      <c r="Q199" s="15">
        <v>0.11</v>
      </c>
      <c r="R199" s="12">
        <v>60000</v>
      </c>
      <c r="S199" s="12">
        <v>1</v>
      </c>
      <c r="T199" s="12">
        <v>0</v>
      </c>
      <c r="U199" s="12">
        <v>56004</v>
      </c>
      <c r="V199" s="12">
        <v>1</v>
      </c>
      <c r="W199" s="12">
        <v>243802.20209830749</v>
      </c>
      <c r="X199">
        <v>1</v>
      </c>
      <c r="Y199">
        <v>1</v>
      </c>
      <c r="Z199" s="15">
        <v>0.20684187368703899</v>
      </c>
      <c r="AA199" t="str">
        <f t="shared" si="9"/>
        <v>1-CT</v>
      </c>
      <c r="AB199" s="9">
        <f t="shared" si="10"/>
        <v>279400</v>
      </c>
      <c r="AC199" s="9">
        <f t="shared" si="11"/>
        <v>525378.35916507908</v>
      </c>
    </row>
    <row r="200" spans="1:29" x14ac:dyDescent="0.25">
      <c r="A200" t="s">
        <v>29</v>
      </c>
      <c r="B200">
        <v>30012</v>
      </c>
      <c r="C200" s="8">
        <v>45652</v>
      </c>
      <c r="D200" s="9">
        <v>321620</v>
      </c>
      <c r="E200" s="10">
        <v>2</v>
      </c>
      <c r="F200" t="s">
        <v>167</v>
      </c>
      <c r="G200" s="11">
        <v>6</v>
      </c>
      <c r="H200" t="s">
        <v>31</v>
      </c>
      <c r="J200" s="12">
        <v>0</v>
      </c>
      <c r="L200" t="s">
        <v>40</v>
      </c>
      <c r="M200" s="13">
        <v>1080000</v>
      </c>
      <c r="N200" s="14">
        <v>12</v>
      </c>
      <c r="P200" s="14">
        <v>1</v>
      </c>
      <c r="Q200" s="15">
        <v>0.105</v>
      </c>
      <c r="R200" s="12">
        <v>25000</v>
      </c>
      <c r="S200" s="12">
        <v>1</v>
      </c>
      <c r="T200" s="12">
        <v>0</v>
      </c>
      <c r="U200" s="12">
        <v>30308</v>
      </c>
      <c r="V200" s="12">
        <v>1</v>
      </c>
      <c r="W200" s="12">
        <v>95200.491125785673</v>
      </c>
      <c r="X200">
        <v>1</v>
      </c>
      <c r="Y200">
        <v>1</v>
      </c>
      <c r="Z200" s="15">
        <v>0.20567748462069058</v>
      </c>
      <c r="AA200" t="str">
        <f t="shared" si="9"/>
        <v>1-CT</v>
      </c>
      <c r="AB200" s="9">
        <f t="shared" si="10"/>
        <v>113400</v>
      </c>
      <c r="AC200" s="9">
        <f t="shared" si="11"/>
        <v>222131.68339034583</v>
      </c>
    </row>
    <row r="201" spans="1:29" x14ac:dyDescent="0.25">
      <c r="A201" t="s">
        <v>29</v>
      </c>
      <c r="B201">
        <v>30012</v>
      </c>
      <c r="C201" s="8">
        <v>45656</v>
      </c>
      <c r="D201" s="9">
        <v>321620</v>
      </c>
      <c r="E201" s="10">
        <v>2</v>
      </c>
      <c r="F201" t="s">
        <v>57</v>
      </c>
      <c r="G201" s="11">
        <v>6</v>
      </c>
      <c r="H201" t="s">
        <v>31</v>
      </c>
      <c r="J201" s="12">
        <v>0</v>
      </c>
      <c r="L201" t="s">
        <v>36</v>
      </c>
      <c r="M201" s="13">
        <v>1100000</v>
      </c>
      <c r="N201" s="14">
        <v>12</v>
      </c>
      <c r="P201" s="14">
        <v>1</v>
      </c>
      <c r="Q201" s="15">
        <v>0.105</v>
      </c>
      <c r="R201" s="12">
        <v>25000</v>
      </c>
      <c r="S201" s="12">
        <v>1</v>
      </c>
      <c r="T201" s="12">
        <v>0</v>
      </c>
      <c r="U201" s="12">
        <v>30660</v>
      </c>
      <c r="V201" s="12">
        <v>1</v>
      </c>
      <c r="W201" s="12">
        <v>96963.463183670596</v>
      </c>
      <c r="X201">
        <v>1</v>
      </c>
      <c r="Y201">
        <v>1</v>
      </c>
      <c r="Z201" s="15">
        <v>0.20442972220597072</v>
      </c>
      <c r="AA201" t="str">
        <f t="shared" si="9"/>
        <v>1-CT</v>
      </c>
      <c r="AB201" s="9">
        <f t="shared" si="10"/>
        <v>115500</v>
      </c>
      <c r="AC201" s="9">
        <f t="shared" si="11"/>
        <v>224872.69442656779</v>
      </c>
    </row>
    <row r="202" spans="1:29" x14ac:dyDescent="0.25">
      <c r="A202" t="s">
        <v>29</v>
      </c>
      <c r="B202">
        <v>30012</v>
      </c>
      <c r="C202" s="8">
        <v>45573</v>
      </c>
      <c r="D202" s="9">
        <v>321600</v>
      </c>
      <c r="E202" s="10">
        <v>9</v>
      </c>
      <c r="F202" t="s">
        <v>144</v>
      </c>
      <c r="G202" s="11">
        <v>6</v>
      </c>
      <c r="H202" t="s">
        <v>31</v>
      </c>
      <c r="J202" s="12">
        <v>0</v>
      </c>
      <c r="L202" t="s">
        <v>32</v>
      </c>
      <c r="M202" s="13">
        <v>5300000</v>
      </c>
      <c r="N202" s="14">
        <v>11</v>
      </c>
      <c r="P202" s="14">
        <v>1</v>
      </c>
      <c r="Q202" s="15">
        <v>0.11</v>
      </c>
      <c r="R202" s="12">
        <v>130000</v>
      </c>
      <c r="S202" s="12">
        <v>1</v>
      </c>
      <c r="T202" s="12">
        <v>0</v>
      </c>
      <c r="U202" s="12">
        <v>104580</v>
      </c>
      <c r="V202" s="12">
        <v>1</v>
      </c>
      <c r="W202" s="12">
        <v>508721.1303626101</v>
      </c>
      <c r="X202">
        <v>1</v>
      </c>
      <c r="Y202">
        <v>1</v>
      </c>
      <c r="Z202" s="15">
        <v>0.20375018507805176</v>
      </c>
      <c r="AA202" t="str">
        <f t="shared" si="9"/>
        <v>1-CT</v>
      </c>
      <c r="AB202" s="9">
        <f t="shared" si="10"/>
        <v>583000</v>
      </c>
      <c r="AC202" s="9">
        <f t="shared" si="11"/>
        <v>1079875.9809136742</v>
      </c>
    </row>
    <row r="203" spans="1:29" x14ac:dyDescent="0.25">
      <c r="A203" t="s">
        <v>29</v>
      </c>
      <c r="B203">
        <v>30012</v>
      </c>
      <c r="C203" s="8">
        <v>45653</v>
      </c>
      <c r="D203" s="9">
        <v>321620</v>
      </c>
      <c r="E203" s="10">
        <v>2</v>
      </c>
      <c r="F203" t="s">
        <v>146</v>
      </c>
      <c r="G203" s="11">
        <v>6</v>
      </c>
      <c r="H203" t="s">
        <v>31</v>
      </c>
      <c r="J203" s="12">
        <v>0</v>
      </c>
      <c r="L203" t="s">
        <v>40</v>
      </c>
      <c r="M203" s="13">
        <v>1115000</v>
      </c>
      <c r="N203" s="14">
        <v>12</v>
      </c>
      <c r="P203" s="14">
        <v>1</v>
      </c>
      <c r="Q203" s="15">
        <v>0.105</v>
      </c>
      <c r="R203" s="12">
        <v>25000</v>
      </c>
      <c r="S203" s="12">
        <v>1</v>
      </c>
      <c r="T203" s="12">
        <v>0</v>
      </c>
      <c r="U203" s="12">
        <v>30924</v>
      </c>
      <c r="V203" s="12">
        <v>1</v>
      </c>
      <c r="W203" s="12">
        <v>98285.692227084292</v>
      </c>
      <c r="X203">
        <v>1</v>
      </c>
      <c r="Y203">
        <v>1</v>
      </c>
      <c r="Z203" s="15">
        <v>0.20352401032228404</v>
      </c>
      <c r="AA203" t="str">
        <f t="shared" si="9"/>
        <v>1-CT</v>
      </c>
      <c r="AB203" s="9">
        <f t="shared" si="10"/>
        <v>117075</v>
      </c>
      <c r="AC203" s="9">
        <f t="shared" si="11"/>
        <v>226929.2715093467</v>
      </c>
    </row>
    <row r="204" spans="1:29" x14ac:dyDescent="0.25">
      <c r="A204" t="s">
        <v>29</v>
      </c>
      <c r="B204">
        <v>30012</v>
      </c>
      <c r="C204" s="8">
        <v>45635</v>
      </c>
      <c r="D204" s="9">
        <v>321620</v>
      </c>
      <c r="E204" s="10">
        <v>2</v>
      </c>
      <c r="F204" t="s">
        <v>52</v>
      </c>
      <c r="G204" s="11">
        <v>6</v>
      </c>
      <c r="H204" t="s">
        <v>31</v>
      </c>
      <c r="J204" s="12">
        <v>0</v>
      </c>
      <c r="L204" t="s">
        <v>32</v>
      </c>
      <c r="M204" s="13">
        <v>670000</v>
      </c>
      <c r="N204" s="14">
        <v>12</v>
      </c>
      <c r="P204" s="14">
        <v>1</v>
      </c>
      <c r="Q204" s="15">
        <v>0.105</v>
      </c>
      <c r="R204" s="12">
        <v>25000</v>
      </c>
      <c r="S204" s="12">
        <v>1</v>
      </c>
      <c r="T204" s="12">
        <v>0</v>
      </c>
      <c r="U204" s="12">
        <v>8000</v>
      </c>
      <c r="V204" s="12">
        <v>1</v>
      </c>
      <c r="W204" s="12">
        <v>59059.56393914482</v>
      </c>
      <c r="X204">
        <v>1</v>
      </c>
      <c r="Y204">
        <v>1</v>
      </c>
      <c r="Z204" s="15">
        <v>0.20168504830987571</v>
      </c>
      <c r="AA204" t="str">
        <f t="shared" si="9"/>
        <v>1-CT</v>
      </c>
      <c r="AB204" s="9">
        <f t="shared" si="10"/>
        <v>70350</v>
      </c>
      <c r="AC204" s="9">
        <f t="shared" si="11"/>
        <v>135128.98236761673</v>
      </c>
    </row>
    <row r="205" spans="1:29" x14ac:dyDescent="0.25">
      <c r="A205" t="s">
        <v>29</v>
      </c>
      <c r="B205">
        <v>30012</v>
      </c>
      <c r="C205" s="8">
        <v>45604</v>
      </c>
      <c r="D205" s="9">
        <v>321600</v>
      </c>
      <c r="E205" s="10">
        <v>9</v>
      </c>
      <c r="F205" t="s">
        <v>168</v>
      </c>
      <c r="G205" s="11">
        <v>6</v>
      </c>
      <c r="H205" t="s">
        <v>31</v>
      </c>
      <c r="J205" s="12">
        <v>0</v>
      </c>
      <c r="L205" t="s">
        <v>169</v>
      </c>
      <c r="M205" s="13">
        <v>5500000</v>
      </c>
      <c r="N205" s="14">
        <v>11</v>
      </c>
      <c r="P205" s="14">
        <v>1</v>
      </c>
      <c r="Q205" s="15">
        <v>0.11</v>
      </c>
      <c r="R205" s="12">
        <v>130000</v>
      </c>
      <c r="S205" s="12">
        <v>1</v>
      </c>
      <c r="T205" s="12">
        <v>0</v>
      </c>
      <c r="U205" s="12">
        <v>108100</v>
      </c>
      <c r="V205" s="12">
        <v>1</v>
      </c>
      <c r="W205" s="12">
        <v>527918.15414987842</v>
      </c>
      <c r="X205">
        <v>1</v>
      </c>
      <c r="Y205">
        <v>1</v>
      </c>
      <c r="Z205" s="15">
        <v>0.20162905479968254</v>
      </c>
      <c r="AA205" t="str">
        <f t="shared" si="9"/>
        <v>1-CT</v>
      </c>
      <c r="AB205" s="9">
        <f t="shared" si="10"/>
        <v>605000</v>
      </c>
      <c r="AC205" s="9">
        <f t="shared" si="11"/>
        <v>1108959.801398254</v>
      </c>
    </row>
    <row r="206" spans="1:29" x14ac:dyDescent="0.25">
      <c r="A206" t="s">
        <v>29</v>
      </c>
      <c r="B206">
        <v>30012</v>
      </c>
      <c r="C206" s="8">
        <v>45646</v>
      </c>
      <c r="D206" s="9">
        <v>321620</v>
      </c>
      <c r="E206" s="10">
        <v>2</v>
      </c>
      <c r="F206" t="s">
        <v>170</v>
      </c>
      <c r="G206" s="11">
        <v>6</v>
      </c>
      <c r="H206" t="s">
        <v>31</v>
      </c>
      <c r="J206" s="12">
        <v>0</v>
      </c>
      <c r="L206" t="s">
        <v>38</v>
      </c>
      <c r="M206" s="13">
        <v>1150000</v>
      </c>
      <c r="N206" s="14">
        <v>12</v>
      </c>
      <c r="P206" s="14">
        <v>1</v>
      </c>
      <c r="Q206" s="15">
        <v>0.105</v>
      </c>
      <c r="R206" s="12">
        <v>25000</v>
      </c>
      <c r="S206" s="12">
        <v>1</v>
      </c>
      <c r="T206" s="12">
        <v>0</v>
      </c>
      <c r="U206" s="12">
        <v>31540</v>
      </c>
      <c r="V206" s="12">
        <v>1</v>
      </c>
      <c r="W206" s="12">
        <v>101370.8933283829</v>
      </c>
      <c r="X206">
        <v>1</v>
      </c>
      <c r="Y206">
        <v>1</v>
      </c>
      <c r="Z206" s="15">
        <v>0.20150479112586644</v>
      </c>
      <c r="AA206" t="str">
        <f t="shared" si="9"/>
        <v>1-CT</v>
      </c>
      <c r="AB206" s="9">
        <f t="shared" si="10"/>
        <v>120750</v>
      </c>
      <c r="AC206" s="9">
        <f t="shared" si="11"/>
        <v>231730.50979474641</v>
      </c>
    </row>
    <row r="207" spans="1:29" x14ac:dyDescent="0.25">
      <c r="A207" t="s">
        <v>29</v>
      </c>
      <c r="B207">
        <v>30012</v>
      </c>
      <c r="C207" s="8">
        <v>45610</v>
      </c>
      <c r="D207" s="9">
        <v>321600</v>
      </c>
      <c r="E207" s="10">
        <v>9</v>
      </c>
      <c r="F207" t="s">
        <v>91</v>
      </c>
      <c r="G207" s="11">
        <v>6</v>
      </c>
      <c r="H207" t="s">
        <v>31</v>
      </c>
      <c r="J207" s="12">
        <v>0</v>
      </c>
      <c r="L207" t="s">
        <v>171</v>
      </c>
      <c r="M207" s="13">
        <v>2800000</v>
      </c>
      <c r="N207" s="14">
        <v>11</v>
      </c>
      <c r="P207" s="14">
        <v>1</v>
      </c>
      <c r="Q207" s="15">
        <v>0.11</v>
      </c>
      <c r="R207" s="12">
        <v>60000</v>
      </c>
      <c r="S207" s="12">
        <v>1</v>
      </c>
      <c r="T207" s="12">
        <v>0</v>
      </c>
      <c r="U207" s="12">
        <v>60580</v>
      </c>
      <c r="V207" s="12">
        <v>1</v>
      </c>
      <c r="W207" s="12">
        <v>268758.33302175632</v>
      </c>
      <c r="X207">
        <v>1</v>
      </c>
      <c r="Y207">
        <v>1</v>
      </c>
      <c r="Z207" s="15">
        <v>0.20113367233125129</v>
      </c>
      <c r="AA207" t="str">
        <f t="shared" si="9"/>
        <v>1-CT</v>
      </c>
      <c r="AB207" s="9">
        <f t="shared" si="10"/>
        <v>308000</v>
      </c>
      <c r="AC207" s="9">
        <f t="shared" si="11"/>
        <v>563174.28252750356</v>
      </c>
    </row>
    <row r="208" spans="1:29" x14ac:dyDescent="0.25">
      <c r="A208" t="s">
        <v>29</v>
      </c>
      <c r="B208">
        <v>30012</v>
      </c>
      <c r="C208" s="8">
        <v>45646</v>
      </c>
      <c r="D208" s="9">
        <v>321620</v>
      </c>
      <c r="E208" s="10">
        <v>2</v>
      </c>
      <c r="F208" t="s">
        <v>172</v>
      </c>
      <c r="G208" s="11">
        <v>6</v>
      </c>
      <c r="H208" t="s">
        <v>31</v>
      </c>
      <c r="J208" s="12">
        <v>0</v>
      </c>
      <c r="L208" t="s">
        <v>38</v>
      </c>
      <c r="M208" s="13">
        <v>1330000</v>
      </c>
      <c r="N208" s="14">
        <v>12</v>
      </c>
      <c r="P208" s="14">
        <v>1</v>
      </c>
      <c r="Q208" s="15">
        <v>0.11</v>
      </c>
      <c r="R208" s="12">
        <v>26600</v>
      </c>
      <c r="S208" s="12">
        <v>1</v>
      </c>
      <c r="T208" s="12">
        <v>0</v>
      </c>
      <c r="U208" s="12">
        <v>34708</v>
      </c>
      <c r="V208" s="12">
        <v>1</v>
      </c>
      <c r="W208" s="12">
        <v>117547.60583373337</v>
      </c>
      <c r="X208">
        <v>1</v>
      </c>
      <c r="Y208">
        <v>1</v>
      </c>
      <c r="Z208" s="15">
        <v>0.20037793651223684</v>
      </c>
      <c r="AA208" t="str">
        <f t="shared" si="9"/>
        <v>1-CT</v>
      </c>
      <c r="AB208" s="9">
        <f t="shared" si="10"/>
        <v>146300</v>
      </c>
      <c r="AC208" s="9">
        <f t="shared" si="11"/>
        <v>266502.65556127502</v>
      </c>
    </row>
    <row r="209" spans="1:29" x14ac:dyDescent="0.25">
      <c r="A209" t="s">
        <v>29</v>
      </c>
      <c r="B209">
        <v>30012</v>
      </c>
      <c r="C209" s="8">
        <v>45645</v>
      </c>
      <c r="D209" s="9">
        <v>321620</v>
      </c>
      <c r="E209" s="10">
        <v>2</v>
      </c>
      <c r="F209" t="s">
        <v>95</v>
      </c>
      <c r="G209" s="11">
        <v>6</v>
      </c>
      <c r="H209" t="s">
        <v>31</v>
      </c>
      <c r="J209" s="12">
        <v>0</v>
      </c>
      <c r="L209" t="s">
        <v>38</v>
      </c>
      <c r="M209" s="13">
        <v>1200000</v>
      </c>
      <c r="N209" s="14">
        <v>12</v>
      </c>
      <c r="P209" s="14">
        <v>1</v>
      </c>
      <c r="Q209" s="15">
        <v>0.105</v>
      </c>
      <c r="R209" s="12">
        <v>25000</v>
      </c>
      <c r="S209" s="12">
        <v>1</v>
      </c>
      <c r="T209" s="12">
        <v>0</v>
      </c>
      <c r="U209" s="12">
        <v>32420</v>
      </c>
      <c r="V209" s="12">
        <v>1</v>
      </c>
      <c r="W209" s="12">
        <v>105778.32347309521</v>
      </c>
      <c r="X209">
        <v>1</v>
      </c>
      <c r="Y209">
        <v>1</v>
      </c>
      <c r="Z209" s="15">
        <v>0.19882925240089327</v>
      </c>
      <c r="AA209" t="str">
        <f t="shared" si="9"/>
        <v>1-CT</v>
      </c>
      <c r="AB209" s="9">
        <f t="shared" si="10"/>
        <v>126000</v>
      </c>
      <c r="AC209" s="9">
        <f t="shared" si="11"/>
        <v>238595.10288107194</v>
      </c>
    </row>
    <row r="210" spans="1:29" x14ac:dyDescent="0.25">
      <c r="A210" t="s">
        <v>29</v>
      </c>
      <c r="B210">
        <v>30012</v>
      </c>
      <c r="C210" s="8">
        <v>45595</v>
      </c>
      <c r="D210" s="9">
        <v>321600</v>
      </c>
      <c r="E210" s="10">
        <v>9</v>
      </c>
      <c r="F210" t="s">
        <v>173</v>
      </c>
      <c r="G210" s="11">
        <v>6</v>
      </c>
      <c r="H210" t="s">
        <v>31</v>
      </c>
      <c r="J210" s="12">
        <v>0</v>
      </c>
      <c r="L210" t="s">
        <v>40</v>
      </c>
      <c r="M210" s="13">
        <v>950000</v>
      </c>
      <c r="N210" s="14">
        <v>4</v>
      </c>
      <c r="P210" s="14">
        <v>2</v>
      </c>
      <c r="Q210" s="15">
        <v>0.11</v>
      </c>
      <c r="R210" s="12">
        <v>40000</v>
      </c>
      <c r="S210" s="12">
        <v>1</v>
      </c>
      <c r="T210" s="12">
        <v>0</v>
      </c>
      <c r="U210" s="12">
        <v>28020</v>
      </c>
      <c r="V210" s="12">
        <v>1</v>
      </c>
      <c r="W210" s="12">
        <v>248484.28675782104</v>
      </c>
      <c r="X210">
        <v>1</v>
      </c>
      <c r="Y210">
        <v>1</v>
      </c>
      <c r="Z210" s="15">
        <v>0.19830691551348104</v>
      </c>
      <c r="AA210" t="str">
        <f t="shared" si="9"/>
        <v>1-CT</v>
      </c>
      <c r="AB210" s="9">
        <f t="shared" si="10"/>
        <v>104500</v>
      </c>
      <c r="AC210" s="9">
        <f t="shared" si="11"/>
        <v>188391.56973780697</v>
      </c>
    </row>
    <row r="211" spans="1:29" x14ac:dyDescent="0.25">
      <c r="A211" t="s">
        <v>29</v>
      </c>
      <c r="B211">
        <v>30012</v>
      </c>
      <c r="C211" s="8">
        <v>45638</v>
      </c>
      <c r="D211" s="9">
        <v>321620</v>
      </c>
      <c r="E211" s="10">
        <v>2</v>
      </c>
      <c r="F211" t="s">
        <v>79</v>
      </c>
      <c r="G211" s="11">
        <v>6</v>
      </c>
      <c r="H211" t="s">
        <v>31</v>
      </c>
      <c r="J211" s="12">
        <v>0</v>
      </c>
      <c r="L211" t="s">
        <v>32</v>
      </c>
      <c r="M211" s="13">
        <v>700000</v>
      </c>
      <c r="N211" s="14">
        <v>12</v>
      </c>
      <c r="P211" s="14">
        <v>1</v>
      </c>
      <c r="Q211" s="15">
        <v>0.105</v>
      </c>
      <c r="R211" s="12">
        <v>25000</v>
      </c>
      <c r="S211" s="12">
        <v>1</v>
      </c>
      <c r="T211" s="12">
        <v>0</v>
      </c>
      <c r="U211" s="12">
        <v>8300</v>
      </c>
      <c r="V211" s="12">
        <v>1</v>
      </c>
      <c r="W211" s="12">
        <v>61704.022025972197</v>
      </c>
      <c r="X211">
        <v>1</v>
      </c>
      <c r="Y211">
        <v>1</v>
      </c>
      <c r="Z211" s="15">
        <v>0.19826324765487949</v>
      </c>
      <c r="AA211" t="str">
        <f t="shared" si="9"/>
        <v>1-CT</v>
      </c>
      <c r="AB211" s="9">
        <f t="shared" si="10"/>
        <v>73500</v>
      </c>
      <c r="AC211" s="9">
        <f t="shared" si="11"/>
        <v>138784.27335841564</v>
      </c>
    </row>
    <row r="212" spans="1:29" x14ac:dyDescent="0.25">
      <c r="A212" t="s">
        <v>29</v>
      </c>
      <c r="B212">
        <v>30012</v>
      </c>
      <c r="C212" s="8">
        <v>45630</v>
      </c>
      <c r="D212" s="9">
        <v>321620</v>
      </c>
      <c r="E212" s="10">
        <v>2</v>
      </c>
      <c r="F212" t="s">
        <v>174</v>
      </c>
      <c r="G212" s="11">
        <v>6</v>
      </c>
      <c r="H212" t="s">
        <v>31</v>
      </c>
      <c r="J212" s="12">
        <v>0</v>
      </c>
      <c r="L212" t="s">
        <v>38</v>
      </c>
      <c r="M212" s="13">
        <v>1150000</v>
      </c>
      <c r="N212" s="14">
        <v>12</v>
      </c>
      <c r="P212" s="14">
        <v>1</v>
      </c>
      <c r="Q212" s="15">
        <v>0.105</v>
      </c>
      <c r="R212" s="12">
        <v>23000</v>
      </c>
      <c r="S212" s="12">
        <v>1</v>
      </c>
      <c r="T212" s="12">
        <v>0</v>
      </c>
      <c r="U212" s="12">
        <v>31540</v>
      </c>
      <c r="V212" s="12">
        <v>1</v>
      </c>
      <c r="W212" s="12">
        <v>101370.8933283829</v>
      </c>
      <c r="X212">
        <v>1</v>
      </c>
      <c r="Y212">
        <v>1</v>
      </c>
      <c r="Z212" s="15">
        <v>0.19796803662705587</v>
      </c>
      <c r="AA212" t="str">
        <f t="shared" si="9"/>
        <v>1-CT</v>
      </c>
      <c r="AB212" s="9">
        <f t="shared" si="10"/>
        <v>120750</v>
      </c>
      <c r="AC212" s="9">
        <f t="shared" si="11"/>
        <v>227663.24212111425</v>
      </c>
    </row>
    <row r="213" spans="1:29" x14ac:dyDescent="0.25">
      <c r="A213" t="s">
        <v>29</v>
      </c>
      <c r="B213">
        <v>30012</v>
      </c>
      <c r="C213" s="8">
        <v>45611</v>
      </c>
      <c r="D213" s="9">
        <v>321600</v>
      </c>
      <c r="E213" s="10">
        <v>9</v>
      </c>
      <c r="F213" t="s">
        <v>175</v>
      </c>
      <c r="G213" s="11">
        <v>6</v>
      </c>
      <c r="H213" t="s">
        <v>31</v>
      </c>
      <c r="J213" s="12">
        <v>0</v>
      </c>
      <c r="L213" t="s">
        <v>38</v>
      </c>
      <c r="M213" s="13">
        <v>3000000</v>
      </c>
      <c r="N213" s="14">
        <v>11</v>
      </c>
      <c r="P213" s="14">
        <v>1</v>
      </c>
      <c r="Q213" s="15">
        <v>0.11</v>
      </c>
      <c r="R213" s="12">
        <v>60000</v>
      </c>
      <c r="S213" s="12">
        <v>1</v>
      </c>
      <c r="T213" s="12">
        <v>0</v>
      </c>
      <c r="U213" s="12">
        <v>64100</v>
      </c>
      <c r="V213" s="12">
        <v>1</v>
      </c>
      <c r="W213" s="12">
        <v>287955.35680902458</v>
      </c>
      <c r="X213">
        <v>1</v>
      </c>
      <c r="Y213">
        <v>1</v>
      </c>
      <c r="Z213" s="15">
        <v>0.19742825537569966</v>
      </c>
      <c r="AA213" t="str">
        <f t="shared" si="9"/>
        <v>1-CT</v>
      </c>
      <c r="AB213" s="9">
        <f t="shared" si="10"/>
        <v>330000</v>
      </c>
      <c r="AC213" s="9">
        <f t="shared" si="11"/>
        <v>592284.76612709893</v>
      </c>
    </row>
    <row r="214" spans="1:29" x14ac:dyDescent="0.25">
      <c r="A214" t="s">
        <v>29</v>
      </c>
      <c r="B214">
        <v>30012</v>
      </c>
      <c r="C214" s="8">
        <v>45566</v>
      </c>
      <c r="D214" s="9">
        <v>321600</v>
      </c>
      <c r="E214" s="10">
        <v>9</v>
      </c>
      <c r="F214" t="s">
        <v>131</v>
      </c>
      <c r="G214" s="11">
        <v>6</v>
      </c>
      <c r="H214" t="s">
        <v>31</v>
      </c>
      <c r="J214" s="12">
        <v>0</v>
      </c>
      <c r="L214" t="s">
        <v>176</v>
      </c>
      <c r="M214" s="13">
        <v>3000000</v>
      </c>
      <c r="N214" s="14">
        <v>11</v>
      </c>
      <c r="P214" s="14">
        <v>1</v>
      </c>
      <c r="Q214" s="15">
        <v>0.11</v>
      </c>
      <c r="R214" s="12">
        <v>60000</v>
      </c>
      <c r="S214" s="12">
        <v>1</v>
      </c>
      <c r="T214" s="12">
        <v>0</v>
      </c>
      <c r="U214" s="12">
        <v>64100</v>
      </c>
      <c r="V214" s="12">
        <v>1</v>
      </c>
      <c r="W214" s="12">
        <v>287955.35680902458</v>
      </c>
      <c r="X214">
        <v>1</v>
      </c>
      <c r="Y214">
        <v>1</v>
      </c>
      <c r="Z214" s="15">
        <v>0.19742825537569966</v>
      </c>
      <c r="AA214" t="str">
        <f t="shared" si="9"/>
        <v>1-CT</v>
      </c>
      <c r="AB214" s="9">
        <f t="shared" si="10"/>
        <v>330000</v>
      </c>
      <c r="AC214" s="9">
        <f t="shared" si="11"/>
        <v>592284.76612709893</v>
      </c>
    </row>
    <row r="215" spans="1:29" x14ac:dyDescent="0.25">
      <c r="A215" t="s">
        <v>29</v>
      </c>
      <c r="B215">
        <v>30012</v>
      </c>
      <c r="C215" s="8">
        <v>45576</v>
      </c>
      <c r="D215" s="9">
        <v>321600</v>
      </c>
      <c r="E215" s="10">
        <v>9</v>
      </c>
      <c r="F215" t="s">
        <v>137</v>
      </c>
      <c r="G215" s="11">
        <v>6</v>
      </c>
      <c r="H215" t="s">
        <v>31</v>
      </c>
      <c r="J215" s="12">
        <v>0</v>
      </c>
      <c r="L215" t="s">
        <v>38</v>
      </c>
      <c r="M215" s="13">
        <v>3000000</v>
      </c>
      <c r="N215" s="14">
        <v>11</v>
      </c>
      <c r="P215" s="14">
        <v>1</v>
      </c>
      <c r="Q215" s="15">
        <v>0.11</v>
      </c>
      <c r="R215" s="12">
        <v>60000</v>
      </c>
      <c r="S215" s="12">
        <v>1</v>
      </c>
      <c r="T215" s="12">
        <v>0</v>
      </c>
      <c r="U215" s="12">
        <v>64100</v>
      </c>
      <c r="V215" s="12">
        <v>1</v>
      </c>
      <c r="W215" s="12">
        <v>287955.35680902458</v>
      </c>
      <c r="X215">
        <v>1</v>
      </c>
      <c r="Y215">
        <v>1</v>
      </c>
      <c r="Z215" s="15">
        <v>0.19742825537569966</v>
      </c>
      <c r="AA215" t="str">
        <f t="shared" si="9"/>
        <v>1-CT</v>
      </c>
      <c r="AB215" s="9">
        <f t="shared" si="10"/>
        <v>330000</v>
      </c>
      <c r="AC215" s="9">
        <f t="shared" si="11"/>
        <v>592284.76612709893</v>
      </c>
    </row>
    <row r="216" spans="1:29" x14ac:dyDescent="0.25">
      <c r="A216" t="s">
        <v>29</v>
      </c>
      <c r="B216">
        <v>30012</v>
      </c>
      <c r="C216" s="8">
        <v>45575</v>
      </c>
      <c r="D216" s="9">
        <v>321600</v>
      </c>
      <c r="E216" s="10">
        <v>9</v>
      </c>
      <c r="F216" t="s">
        <v>59</v>
      </c>
      <c r="G216" s="11">
        <v>6</v>
      </c>
      <c r="H216" t="s">
        <v>31</v>
      </c>
      <c r="J216" s="12">
        <v>0</v>
      </c>
      <c r="L216" t="s">
        <v>38</v>
      </c>
      <c r="M216" s="13">
        <v>3000000</v>
      </c>
      <c r="N216" s="14">
        <v>11</v>
      </c>
      <c r="P216" s="14">
        <v>1</v>
      </c>
      <c r="Q216" s="15">
        <v>0.11</v>
      </c>
      <c r="R216" s="12">
        <v>60000</v>
      </c>
      <c r="S216" s="12">
        <v>1</v>
      </c>
      <c r="T216" s="12">
        <v>0</v>
      </c>
      <c r="U216" s="12">
        <v>64100</v>
      </c>
      <c r="V216" s="12">
        <v>1</v>
      </c>
      <c r="W216" s="12">
        <v>287955.35680902458</v>
      </c>
      <c r="X216">
        <v>1</v>
      </c>
      <c r="Y216">
        <v>1</v>
      </c>
      <c r="Z216" s="15">
        <v>0.19742825537569966</v>
      </c>
      <c r="AA216" t="str">
        <f t="shared" si="9"/>
        <v>1-CT</v>
      </c>
      <c r="AB216" s="9">
        <f t="shared" si="10"/>
        <v>330000</v>
      </c>
      <c r="AC216" s="9">
        <f t="shared" si="11"/>
        <v>592284.76612709893</v>
      </c>
    </row>
    <row r="217" spans="1:29" x14ac:dyDescent="0.25">
      <c r="A217" t="s">
        <v>29</v>
      </c>
      <c r="B217">
        <v>30012</v>
      </c>
      <c r="C217" s="8">
        <v>45653</v>
      </c>
      <c r="D217" s="9">
        <v>321620</v>
      </c>
      <c r="E217" s="10">
        <v>2</v>
      </c>
      <c r="F217" t="s">
        <v>125</v>
      </c>
      <c r="G217" s="11">
        <v>6</v>
      </c>
      <c r="H217" t="s">
        <v>31</v>
      </c>
      <c r="J217" s="12">
        <v>0</v>
      </c>
      <c r="L217" t="s">
        <v>40</v>
      </c>
      <c r="M217" s="13">
        <v>1250000</v>
      </c>
      <c r="N217" s="14">
        <v>12</v>
      </c>
      <c r="P217" s="14">
        <v>1</v>
      </c>
      <c r="Q217" s="15">
        <v>0.105</v>
      </c>
      <c r="R217" s="12">
        <v>25000</v>
      </c>
      <c r="S217" s="12">
        <v>1</v>
      </c>
      <c r="T217" s="12">
        <v>0</v>
      </c>
      <c r="U217" s="12">
        <v>33300</v>
      </c>
      <c r="V217" s="12">
        <v>1</v>
      </c>
      <c r="W217" s="12">
        <v>110185.75361780751</v>
      </c>
      <c r="X217">
        <v>1</v>
      </c>
      <c r="Y217">
        <v>1</v>
      </c>
      <c r="Z217" s="15">
        <v>0.19637251106800713</v>
      </c>
      <c r="AA217" t="str">
        <f t="shared" si="9"/>
        <v>1-CT</v>
      </c>
      <c r="AB217" s="9">
        <f t="shared" si="10"/>
        <v>131250</v>
      </c>
      <c r="AC217" s="9">
        <f t="shared" si="11"/>
        <v>245465.6388350089</v>
      </c>
    </row>
    <row r="218" spans="1:29" x14ac:dyDescent="0.25">
      <c r="A218" t="s">
        <v>29</v>
      </c>
      <c r="B218">
        <v>30012</v>
      </c>
      <c r="C218" s="8">
        <v>45645</v>
      </c>
      <c r="D218" s="9">
        <v>321620</v>
      </c>
      <c r="E218" s="10">
        <v>2</v>
      </c>
      <c r="F218" t="s">
        <v>86</v>
      </c>
      <c r="G218" s="11">
        <v>6</v>
      </c>
      <c r="H218" t="s">
        <v>31</v>
      </c>
      <c r="J218" s="12">
        <v>0</v>
      </c>
      <c r="L218" t="s">
        <v>38</v>
      </c>
      <c r="M218" s="13">
        <v>1750000</v>
      </c>
      <c r="N218" s="14">
        <v>12</v>
      </c>
      <c r="P218" s="14">
        <v>1</v>
      </c>
      <c r="Q218" s="15">
        <v>0.11</v>
      </c>
      <c r="R218" s="12">
        <v>35000</v>
      </c>
      <c r="S218" s="12">
        <v>1</v>
      </c>
      <c r="T218" s="12">
        <v>0</v>
      </c>
      <c r="U218" s="12">
        <v>42100</v>
      </c>
      <c r="V218" s="12">
        <v>1</v>
      </c>
      <c r="W218" s="12">
        <v>154667.90241280707</v>
      </c>
      <c r="X218">
        <v>1</v>
      </c>
      <c r="Y218">
        <v>1</v>
      </c>
      <c r="Z218" s="15">
        <v>0.19624652888949601</v>
      </c>
      <c r="AA218" t="str">
        <f t="shared" si="9"/>
        <v>1-CT</v>
      </c>
      <c r="AB218" s="9">
        <f t="shared" si="10"/>
        <v>192500</v>
      </c>
      <c r="AC218" s="9">
        <f t="shared" si="11"/>
        <v>343431.42555661802</v>
      </c>
    </row>
    <row r="219" spans="1:29" x14ac:dyDescent="0.25">
      <c r="A219" t="s">
        <v>29</v>
      </c>
      <c r="B219">
        <v>30012</v>
      </c>
      <c r="C219" s="8">
        <v>45656</v>
      </c>
      <c r="D219" s="9">
        <v>321620</v>
      </c>
      <c r="E219" s="10">
        <v>2</v>
      </c>
      <c r="F219" t="s">
        <v>86</v>
      </c>
      <c r="G219" s="11">
        <v>6</v>
      </c>
      <c r="H219" t="s">
        <v>31</v>
      </c>
      <c r="J219" s="12">
        <v>0</v>
      </c>
      <c r="L219" t="s">
        <v>32</v>
      </c>
      <c r="M219" s="13">
        <v>1313000</v>
      </c>
      <c r="N219" s="14">
        <v>12</v>
      </c>
      <c r="P219" s="14">
        <v>1</v>
      </c>
      <c r="Q219" s="15">
        <v>0.105</v>
      </c>
      <c r="R219" s="12">
        <v>26260</v>
      </c>
      <c r="S219" s="12">
        <v>1</v>
      </c>
      <c r="T219" s="12">
        <v>0</v>
      </c>
      <c r="U219" s="12">
        <v>34408.800000000003</v>
      </c>
      <c r="V219" s="12">
        <v>1</v>
      </c>
      <c r="W219" s="12">
        <v>115739.11560014499</v>
      </c>
      <c r="X219">
        <v>1</v>
      </c>
      <c r="Y219">
        <v>1</v>
      </c>
      <c r="Z219" s="15">
        <v>0.1954929370959661</v>
      </c>
      <c r="AA219" t="str">
        <f t="shared" si="9"/>
        <v>1-CT</v>
      </c>
      <c r="AB219" s="9">
        <f t="shared" si="10"/>
        <v>137865</v>
      </c>
      <c r="AC219" s="9">
        <f t="shared" si="11"/>
        <v>256682.2264070035</v>
      </c>
    </row>
    <row r="220" spans="1:29" x14ac:dyDescent="0.25">
      <c r="A220" t="s">
        <v>29</v>
      </c>
      <c r="B220">
        <v>30012</v>
      </c>
      <c r="C220" s="8">
        <v>45645</v>
      </c>
      <c r="D220" s="9">
        <v>321620</v>
      </c>
      <c r="E220" s="10">
        <v>2</v>
      </c>
      <c r="F220" t="s">
        <v>177</v>
      </c>
      <c r="G220" s="11">
        <v>6</v>
      </c>
      <c r="H220" t="s">
        <v>31</v>
      </c>
      <c r="J220" s="12">
        <v>0</v>
      </c>
      <c r="L220" t="s">
        <v>32</v>
      </c>
      <c r="M220" s="13">
        <v>1335000</v>
      </c>
      <c r="N220" s="14">
        <v>12</v>
      </c>
      <c r="P220" s="14">
        <v>1</v>
      </c>
      <c r="Q220" s="15">
        <v>0.105</v>
      </c>
      <c r="R220" s="12">
        <v>26700</v>
      </c>
      <c r="S220" s="12">
        <v>1</v>
      </c>
      <c r="T220" s="12">
        <v>0</v>
      </c>
      <c r="U220" s="12">
        <v>34796</v>
      </c>
      <c r="V220" s="12">
        <v>1</v>
      </c>
      <c r="W220" s="12">
        <v>117678.3848638184</v>
      </c>
      <c r="X220">
        <v>1</v>
      </c>
      <c r="Y220">
        <v>1</v>
      </c>
      <c r="Z220" s="15">
        <v>0.19520546729581034</v>
      </c>
      <c r="AA220" t="str">
        <f t="shared" si="9"/>
        <v>1-CT</v>
      </c>
      <c r="AB220" s="9">
        <f t="shared" si="10"/>
        <v>140175</v>
      </c>
      <c r="AC220" s="9">
        <f t="shared" si="11"/>
        <v>260599.29883990681</v>
      </c>
    </row>
    <row r="221" spans="1:29" x14ac:dyDescent="0.25">
      <c r="A221" t="s">
        <v>29</v>
      </c>
      <c r="B221">
        <v>30012</v>
      </c>
      <c r="C221" s="8">
        <v>45649</v>
      </c>
      <c r="D221" s="9">
        <v>321620</v>
      </c>
      <c r="E221" s="10">
        <v>2</v>
      </c>
      <c r="F221" t="s">
        <v>161</v>
      </c>
      <c r="G221" s="11">
        <v>6</v>
      </c>
      <c r="H221" t="s">
        <v>31</v>
      </c>
      <c r="J221" s="12">
        <v>0</v>
      </c>
      <c r="L221" t="s">
        <v>123</v>
      </c>
      <c r="M221" s="13">
        <v>1340000</v>
      </c>
      <c r="N221" s="14">
        <v>12</v>
      </c>
      <c r="P221" s="14">
        <v>1</v>
      </c>
      <c r="Q221" s="15">
        <v>0.105</v>
      </c>
      <c r="R221" s="12">
        <v>26800</v>
      </c>
      <c r="S221" s="12">
        <v>1</v>
      </c>
      <c r="T221" s="12">
        <v>0</v>
      </c>
      <c r="U221" s="12">
        <v>34884</v>
      </c>
      <c r="V221" s="12">
        <v>1</v>
      </c>
      <c r="W221" s="12">
        <v>118119.12787828964</v>
      </c>
      <c r="X221">
        <v>1</v>
      </c>
      <c r="Y221">
        <v>1</v>
      </c>
      <c r="Z221" s="15">
        <v>0.19514145816304262</v>
      </c>
      <c r="AA221" t="str">
        <f t="shared" si="9"/>
        <v>1-CT</v>
      </c>
      <c r="AB221" s="9">
        <f t="shared" si="10"/>
        <v>140700</v>
      </c>
      <c r="AC221" s="9">
        <f t="shared" si="11"/>
        <v>261489.55393847713</v>
      </c>
    </row>
    <row r="222" spans="1:29" x14ac:dyDescent="0.25">
      <c r="A222" t="s">
        <v>29</v>
      </c>
      <c r="B222">
        <v>30012</v>
      </c>
      <c r="C222" s="8">
        <v>45652</v>
      </c>
      <c r="D222" s="9">
        <v>321620</v>
      </c>
      <c r="E222" s="10">
        <v>2</v>
      </c>
      <c r="F222" t="s">
        <v>162</v>
      </c>
      <c r="G222" s="11">
        <v>6</v>
      </c>
      <c r="H222" t="s">
        <v>31</v>
      </c>
      <c r="J222" s="12">
        <v>0</v>
      </c>
      <c r="L222" t="s">
        <v>40</v>
      </c>
      <c r="M222" s="13">
        <v>1350000</v>
      </c>
      <c r="N222" s="14">
        <v>12</v>
      </c>
      <c r="P222" s="14">
        <v>1</v>
      </c>
      <c r="Q222" s="15">
        <v>0.105</v>
      </c>
      <c r="R222" s="12">
        <v>27000</v>
      </c>
      <c r="S222" s="12">
        <v>1</v>
      </c>
      <c r="T222" s="12">
        <v>0</v>
      </c>
      <c r="U222" s="12">
        <v>35060</v>
      </c>
      <c r="V222" s="12">
        <v>1</v>
      </c>
      <c r="W222" s="12">
        <v>119000.61390723209</v>
      </c>
      <c r="X222">
        <v>1</v>
      </c>
      <c r="Y222">
        <v>1</v>
      </c>
      <c r="Z222" s="15">
        <v>0.19501487141725041</v>
      </c>
      <c r="AA222" t="str">
        <f t="shared" si="9"/>
        <v>1-CT</v>
      </c>
      <c r="AB222" s="9">
        <f t="shared" si="10"/>
        <v>141750</v>
      </c>
      <c r="AC222" s="9">
        <f t="shared" si="11"/>
        <v>263270.07641328807</v>
      </c>
    </row>
    <row r="223" spans="1:29" x14ac:dyDescent="0.25">
      <c r="A223" t="s">
        <v>29</v>
      </c>
      <c r="B223">
        <v>30012</v>
      </c>
      <c r="C223" s="8">
        <v>45595</v>
      </c>
      <c r="D223" s="9">
        <v>321600</v>
      </c>
      <c r="E223" s="10">
        <v>9</v>
      </c>
      <c r="F223" t="s">
        <v>178</v>
      </c>
      <c r="G223" s="11">
        <v>6</v>
      </c>
      <c r="H223" t="s">
        <v>31</v>
      </c>
      <c r="J223" s="12">
        <v>0</v>
      </c>
      <c r="L223" t="s">
        <v>171</v>
      </c>
      <c r="M223" s="13">
        <v>500000</v>
      </c>
      <c r="N223" s="14">
        <v>11</v>
      </c>
      <c r="P223" s="14">
        <v>1</v>
      </c>
      <c r="Q223" s="15">
        <v>0.11</v>
      </c>
      <c r="R223" s="12">
        <v>0</v>
      </c>
      <c r="S223" s="12">
        <v>1</v>
      </c>
      <c r="T223" s="12">
        <v>0</v>
      </c>
      <c r="U223" s="12">
        <v>20100</v>
      </c>
      <c r="V223" s="12">
        <v>1</v>
      </c>
      <c r="W223" s="12">
        <v>47992.559468170766</v>
      </c>
      <c r="X223">
        <v>1</v>
      </c>
      <c r="Y223">
        <v>1</v>
      </c>
      <c r="Z223" s="15">
        <v>0.19488732203199519</v>
      </c>
      <c r="AA223" t="str">
        <f t="shared" si="9"/>
        <v>1-CT</v>
      </c>
      <c r="AB223" s="9">
        <f t="shared" si="10"/>
        <v>55000</v>
      </c>
      <c r="AC223" s="9">
        <f t="shared" si="11"/>
        <v>97443.661015997597</v>
      </c>
    </row>
    <row r="224" spans="1:29" x14ac:dyDescent="0.25">
      <c r="A224" t="s">
        <v>29</v>
      </c>
      <c r="B224">
        <v>30012</v>
      </c>
      <c r="C224" s="8">
        <v>45637</v>
      </c>
      <c r="D224" s="9">
        <v>321620</v>
      </c>
      <c r="E224" s="10">
        <v>2</v>
      </c>
      <c r="F224" t="s">
        <v>136</v>
      </c>
      <c r="G224" s="11">
        <v>6</v>
      </c>
      <c r="H224" t="s">
        <v>31</v>
      </c>
      <c r="J224" s="12">
        <v>0</v>
      </c>
      <c r="L224" t="s">
        <v>38</v>
      </c>
      <c r="M224" s="13">
        <v>2000000</v>
      </c>
      <c r="N224" s="14">
        <v>12</v>
      </c>
      <c r="P224" s="14">
        <v>1</v>
      </c>
      <c r="Q224" s="15">
        <v>0.11</v>
      </c>
      <c r="R224" s="12">
        <v>40000</v>
      </c>
      <c r="S224" s="12">
        <v>1</v>
      </c>
      <c r="T224" s="12">
        <v>0</v>
      </c>
      <c r="U224" s="12">
        <v>46500</v>
      </c>
      <c r="V224" s="12">
        <v>1</v>
      </c>
      <c r="W224" s="12">
        <v>176763.31704320805</v>
      </c>
      <c r="X224">
        <v>1</v>
      </c>
      <c r="Y224">
        <v>1</v>
      </c>
      <c r="Z224" s="15">
        <v>0.19461472706554778</v>
      </c>
      <c r="AA224" t="str">
        <f t="shared" si="9"/>
        <v>1-CT</v>
      </c>
      <c r="AB224" s="9">
        <f t="shared" si="10"/>
        <v>220000</v>
      </c>
      <c r="AC224" s="9">
        <f t="shared" si="11"/>
        <v>389229.45413109555</v>
      </c>
    </row>
    <row r="225" spans="1:29" x14ac:dyDescent="0.25">
      <c r="A225" t="s">
        <v>29</v>
      </c>
      <c r="B225">
        <v>30012</v>
      </c>
      <c r="C225" s="8">
        <v>45573</v>
      </c>
      <c r="D225" s="9">
        <v>321600</v>
      </c>
      <c r="E225" s="10">
        <v>9</v>
      </c>
      <c r="F225" t="s">
        <v>179</v>
      </c>
      <c r="G225" s="11">
        <v>6</v>
      </c>
      <c r="H225" t="s">
        <v>31</v>
      </c>
      <c r="J225" s="12">
        <v>0</v>
      </c>
      <c r="L225" t="s">
        <v>38</v>
      </c>
      <c r="M225" s="13">
        <v>5000000</v>
      </c>
      <c r="N225" s="14">
        <v>11</v>
      </c>
      <c r="P225" s="14">
        <v>1</v>
      </c>
      <c r="Q225" s="15">
        <v>0.11</v>
      </c>
      <c r="R225" s="12">
        <v>100000</v>
      </c>
      <c r="S225" s="12">
        <v>1</v>
      </c>
      <c r="T225" s="12">
        <v>0</v>
      </c>
      <c r="U225" s="12">
        <v>99300</v>
      </c>
      <c r="V225" s="12">
        <v>1</v>
      </c>
      <c r="W225" s="12">
        <v>479925.59468170768</v>
      </c>
      <c r="X225">
        <v>1</v>
      </c>
      <c r="Y225">
        <v>1</v>
      </c>
      <c r="Z225" s="15">
        <v>0.19414767228916147</v>
      </c>
      <c r="AA225" t="str">
        <f t="shared" si="9"/>
        <v>1-CT</v>
      </c>
      <c r="AB225" s="9">
        <f t="shared" si="10"/>
        <v>550000</v>
      </c>
      <c r="AC225" s="9">
        <f t="shared" si="11"/>
        <v>970738.36144580739</v>
      </c>
    </row>
    <row r="226" spans="1:29" x14ac:dyDescent="0.25">
      <c r="A226" t="s">
        <v>29</v>
      </c>
      <c r="B226">
        <v>30012</v>
      </c>
      <c r="C226" s="8">
        <v>45636</v>
      </c>
      <c r="D226" s="9">
        <v>321620</v>
      </c>
      <c r="E226" s="10">
        <v>2</v>
      </c>
      <c r="F226" t="s">
        <v>44</v>
      </c>
      <c r="G226" s="11">
        <v>6</v>
      </c>
      <c r="H226" t="s">
        <v>31</v>
      </c>
      <c r="J226" s="12">
        <v>0</v>
      </c>
      <c r="L226" t="s">
        <v>32</v>
      </c>
      <c r="M226" s="13">
        <v>1500000</v>
      </c>
      <c r="N226" s="14">
        <v>12</v>
      </c>
      <c r="P226" s="14">
        <v>1</v>
      </c>
      <c r="Q226" s="15">
        <v>0.105</v>
      </c>
      <c r="R226" s="12">
        <v>30000</v>
      </c>
      <c r="S226" s="12">
        <v>1</v>
      </c>
      <c r="T226" s="12">
        <v>0</v>
      </c>
      <c r="U226" s="12">
        <v>37700</v>
      </c>
      <c r="V226" s="12">
        <v>1</v>
      </c>
      <c r="W226" s="12">
        <v>132222.90434136899</v>
      </c>
      <c r="X226">
        <v>1</v>
      </c>
      <c r="Y226">
        <v>1</v>
      </c>
      <c r="Z226" s="15">
        <v>0.19331977360355412</v>
      </c>
      <c r="AA226" t="str">
        <f t="shared" si="9"/>
        <v>1-CT</v>
      </c>
      <c r="AB226" s="9">
        <f t="shared" si="10"/>
        <v>157500</v>
      </c>
      <c r="AC226" s="9">
        <f t="shared" si="11"/>
        <v>289979.66040533117</v>
      </c>
    </row>
    <row r="227" spans="1:29" x14ac:dyDescent="0.25">
      <c r="A227" t="s">
        <v>29</v>
      </c>
      <c r="B227">
        <v>30012</v>
      </c>
      <c r="C227" s="8">
        <v>45649</v>
      </c>
      <c r="D227" s="9">
        <v>321620</v>
      </c>
      <c r="E227" s="10">
        <v>2</v>
      </c>
      <c r="F227" t="s">
        <v>63</v>
      </c>
      <c r="G227" s="11">
        <v>6</v>
      </c>
      <c r="H227" t="s">
        <v>31</v>
      </c>
      <c r="J227" s="12">
        <v>0</v>
      </c>
      <c r="L227" t="s">
        <v>40</v>
      </c>
      <c r="M227" s="13">
        <v>1500000</v>
      </c>
      <c r="N227" s="14">
        <v>12</v>
      </c>
      <c r="P227" s="14">
        <v>1</v>
      </c>
      <c r="Q227" s="15">
        <v>0.105</v>
      </c>
      <c r="R227" s="12">
        <v>30000</v>
      </c>
      <c r="S227" s="12">
        <v>1</v>
      </c>
      <c r="T227" s="12">
        <v>0</v>
      </c>
      <c r="U227" s="12">
        <v>37700</v>
      </c>
      <c r="V227" s="12">
        <v>1</v>
      </c>
      <c r="W227" s="12">
        <v>132222.90434136899</v>
      </c>
      <c r="X227">
        <v>1</v>
      </c>
      <c r="Y227">
        <v>1</v>
      </c>
      <c r="Z227" s="15">
        <v>0.19331977360355412</v>
      </c>
      <c r="AA227" t="str">
        <f t="shared" si="9"/>
        <v>1-CT</v>
      </c>
      <c r="AB227" s="9">
        <f t="shared" si="10"/>
        <v>157500</v>
      </c>
      <c r="AC227" s="9">
        <f t="shared" si="11"/>
        <v>289979.66040533117</v>
      </c>
    </row>
    <row r="228" spans="1:29" x14ac:dyDescent="0.25">
      <c r="A228" t="s">
        <v>29</v>
      </c>
      <c r="B228">
        <v>30012</v>
      </c>
      <c r="C228" s="8">
        <v>45636</v>
      </c>
      <c r="D228" s="9">
        <v>321620</v>
      </c>
      <c r="E228" s="10">
        <v>2</v>
      </c>
      <c r="F228" t="s">
        <v>86</v>
      </c>
      <c r="G228" s="11">
        <v>6</v>
      </c>
      <c r="H228" t="s">
        <v>31</v>
      </c>
      <c r="J228" s="12">
        <v>0</v>
      </c>
      <c r="L228" t="s">
        <v>32</v>
      </c>
      <c r="M228" s="13">
        <v>1545000</v>
      </c>
      <c r="N228" s="14">
        <v>12</v>
      </c>
      <c r="P228" s="14">
        <v>1</v>
      </c>
      <c r="Q228" s="15">
        <v>0.105</v>
      </c>
      <c r="R228" s="12">
        <v>30900</v>
      </c>
      <c r="S228" s="12">
        <v>1</v>
      </c>
      <c r="T228" s="12">
        <v>0</v>
      </c>
      <c r="U228" s="12">
        <v>38492</v>
      </c>
      <c r="V228" s="12">
        <v>1</v>
      </c>
      <c r="W228" s="12">
        <v>136189.59147161007</v>
      </c>
      <c r="X228">
        <v>1</v>
      </c>
      <c r="Y228">
        <v>1</v>
      </c>
      <c r="Z228" s="15">
        <v>0.19287578575539199</v>
      </c>
      <c r="AA228" t="str">
        <f t="shared" si="9"/>
        <v>1-CT</v>
      </c>
      <c r="AB228" s="9">
        <f t="shared" si="10"/>
        <v>162225</v>
      </c>
      <c r="AC228" s="9">
        <f t="shared" si="11"/>
        <v>297993.08899208065</v>
      </c>
    </row>
    <row r="229" spans="1:29" x14ac:dyDescent="0.25">
      <c r="A229" t="s">
        <v>29</v>
      </c>
      <c r="B229">
        <v>30012</v>
      </c>
      <c r="C229" s="8">
        <v>45650</v>
      </c>
      <c r="D229" s="9">
        <v>321620</v>
      </c>
      <c r="E229" s="10">
        <v>2</v>
      </c>
      <c r="F229" t="s">
        <v>128</v>
      </c>
      <c r="G229" s="11">
        <v>6</v>
      </c>
      <c r="H229" t="s">
        <v>31</v>
      </c>
      <c r="J229" s="12">
        <v>0</v>
      </c>
      <c r="L229" t="s">
        <v>32</v>
      </c>
      <c r="M229" s="13">
        <v>1600000</v>
      </c>
      <c r="N229" s="14">
        <v>12</v>
      </c>
      <c r="P229" s="14">
        <v>1</v>
      </c>
      <c r="Q229" s="15">
        <v>0.105</v>
      </c>
      <c r="R229" s="12">
        <v>32000</v>
      </c>
      <c r="S229" s="12">
        <v>1</v>
      </c>
      <c r="T229" s="12">
        <v>0</v>
      </c>
      <c r="U229" s="12">
        <v>39460</v>
      </c>
      <c r="V229" s="12">
        <v>1</v>
      </c>
      <c r="W229" s="12">
        <v>141037.76463079359</v>
      </c>
      <c r="X229">
        <v>1</v>
      </c>
      <c r="Y229">
        <v>1</v>
      </c>
      <c r="Z229" s="15">
        <v>0.19236723237304856</v>
      </c>
      <c r="AA229" t="str">
        <f t="shared" si="9"/>
        <v>1-CT</v>
      </c>
      <c r="AB229" s="9">
        <f t="shared" si="10"/>
        <v>168000</v>
      </c>
      <c r="AC229" s="9">
        <f t="shared" si="11"/>
        <v>307787.57179687772</v>
      </c>
    </row>
    <row r="230" spans="1:29" x14ac:dyDescent="0.25">
      <c r="A230" t="s">
        <v>29</v>
      </c>
      <c r="B230">
        <v>30012</v>
      </c>
      <c r="C230" s="8">
        <v>45653</v>
      </c>
      <c r="D230" s="9">
        <v>321620</v>
      </c>
      <c r="E230" s="10">
        <v>2</v>
      </c>
      <c r="F230" t="s">
        <v>65</v>
      </c>
      <c r="G230" s="11">
        <v>6</v>
      </c>
      <c r="H230" t="s">
        <v>31</v>
      </c>
      <c r="J230" s="12">
        <v>0</v>
      </c>
      <c r="L230" t="s">
        <v>38</v>
      </c>
      <c r="M230" s="13">
        <v>1685000</v>
      </c>
      <c r="N230" s="14">
        <v>12</v>
      </c>
      <c r="P230" s="14">
        <v>1</v>
      </c>
      <c r="Q230" s="15">
        <v>0.105</v>
      </c>
      <c r="R230" s="12">
        <v>33700</v>
      </c>
      <c r="S230" s="12">
        <v>1</v>
      </c>
      <c r="T230" s="12">
        <v>0</v>
      </c>
      <c r="U230" s="12">
        <v>40956</v>
      </c>
      <c r="V230" s="12">
        <v>1</v>
      </c>
      <c r="W230" s="12">
        <v>148530.39587680451</v>
      </c>
      <c r="X230">
        <v>1</v>
      </c>
      <c r="Y230">
        <v>1</v>
      </c>
      <c r="Z230" s="15">
        <v>0.19164692128112543</v>
      </c>
      <c r="AA230" t="str">
        <f t="shared" si="9"/>
        <v>1-CT</v>
      </c>
      <c r="AB230" s="9">
        <f t="shared" si="10"/>
        <v>176925</v>
      </c>
      <c r="AC230" s="9">
        <f t="shared" si="11"/>
        <v>322925.06235869636</v>
      </c>
    </row>
    <row r="231" spans="1:29" x14ac:dyDescent="0.25">
      <c r="A231" t="s">
        <v>29</v>
      </c>
      <c r="B231">
        <v>30012</v>
      </c>
      <c r="C231" s="8">
        <v>45639</v>
      </c>
      <c r="D231" s="9">
        <v>321620</v>
      </c>
      <c r="E231" s="10">
        <v>2</v>
      </c>
      <c r="F231" t="s">
        <v>30</v>
      </c>
      <c r="G231" s="11">
        <v>6</v>
      </c>
      <c r="H231" t="s">
        <v>31</v>
      </c>
      <c r="J231" s="12">
        <v>0</v>
      </c>
      <c r="L231" t="s">
        <v>40</v>
      </c>
      <c r="M231" s="13">
        <v>1700000</v>
      </c>
      <c r="N231" s="14">
        <v>12</v>
      </c>
      <c r="P231" s="14">
        <v>1</v>
      </c>
      <c r="Q231" s="15">
        <v>0.105</v>
      </c>
      <c r="R231" s="12">
        <v>34000</v>
      </c>
      <c r="S231" s="12">
        <v>1</v>
      </c>
      <c r="T231" s="12">
        <v>0</v>
      </c>
      <c r="U231" s="12">
        <v>41220</v>
      </c>
      <c r="V231" s="12">
        <v>1</v>
      </c>
      <c r="W231" s="12">
        <v>149852.62492021819</v>
      </c>
      <c r="X231">
        <v>1</v>
      </c>
      <c r="Y231">
        <v>1</v>
      </c>
      <c r="Z231" s="15">
        <v>0.19152732272503331</v>
      </c>
      <c r="AA231" t="str">
        <f t="shared" si="9"/>
        <v>1-CT</v>
      </c>
      <c r="AB231" s="9">
        <f t="shared" si="10"/>
        <v>178500</v>
      </c>
      <c r="AC231" s="9">
        <f t="shared" si="11"/>
        <v>325596.44863255665</v>
      </c>
    </row>
    <row r="232" spans="1:29" x14ac:dyDescent="0.25">
      <c r="A232" t="s">
        <v>29</v>
      </c>
      <c r="B232">
        <v>30012</v>
      </c>
      <c r="C232" s="8">
        <v>45635</v>
      </c>
      <c r="D232" s="9">
        <v>321620</v>
      </c>
      <c r="E232" s="10">
        <v>2</v>
      </c>
      <c r="F232" t="s">
        <v>97</v>
      </c>
      <c r="G232" s="11">
        <v>6</v>
      </c>
      <c r="H232" t="s">
        <v>31</v>
      </c>
      <c r="J232" s="12">
        <v>0</v>
      </c>
      <c r="L232" t="s">
        <v>32</v>
      </c>
      <c r="M232" s="13">
        <v>1710000</v>
      </c>
      <c r="N232" s="14">
        <v>12</v>
      </c>
      <c r="P232" s="14">
        <v>1</v>
      </c>
      <c r="Q232" s="15">
        <v>0.105</v>
      </c>
      <c r="R232" s="12">
        <v>34200</v>
      </c>
      <c r="S232" s="12">
        <v>1</v>
      </c>
      <c r="T232" s="12">
        <v>0</v>
      </c>
      <c r="U232" s="12">
        <v>41396</v>
      </c>
      <c r="V232" s="12">
        <v>1</v>
      </c>
      <c r="W232" s="12">
        <v>150734.11094916068</v>
      </c>
      <c r="X232">
        <v>1</v>
      </c>
      <c r="Y232">
        <v>1</v>
      </c>
      <c r="Z232" s="15">
        <v>0.19144876190374721</v>
      </c>
      <c r="AA232" t="str">
        <f t="shared" si="9"/>
        <v>1-CT</v>
      </c>
      <c r="AB232" s="9">
        <f t="shared" si="10"/>
        <v>179550</v>
      </c>
      <c r="AC232" s="9">
        <f t="shared" si="11"/>
        <v>327377.38285540772</v>
      </c>
    </row>
    <row r="233" spans="1:29" x14ac:dyDescent="0.25">
      <c r="A233" t="s">
        <v>29</v>
      </c>
      <c r="B233">
        <v>30012</v>
      </c>
      <c r="C233" s="8">
        <v>45657</v>
      </c>
      <c r="D233" s="9">
        <v>321620</v>
      </c>
      <c r="E233" s="10">
        <v>2</v>
      </c>
      <c r="F233" t="s">
        <v>116</v>
      </c>
      <c r="G233" s="11">
        <v>6</v>
      </c>
      <c r="H233" t="s">
        <v>31</v>
      </c>
      <c r="J233" s="12">
        <v>0</v>
      </c>
      <c r="L233" t="s">
        <v>38</v>
      </c>
      <c r="M233" s="13">
        <v>1900000</v>
      </c>
      <c r="N233" s="14">
        <v>12</v>
      </c>
      <c r="P233" s="14">
        <v>1</v>
      </c>
      <c r="Q233" s="15">
        <v>0.105</v>
      </c>
      <c r="R233" s="12">
        <v>38000</v>
      </c>
      <c r="S233" s="12">
        <v>1</v>
      </c>
      <c r="T233" s="12">
        <v>0</v>
      </c>
      <c r="U233" s="12">
        <v>44740</v>
      </c>
      <c r="V233" s="12">
        <v>1</v>
      </c>
      <c r="W233" s="12">
        <v>167482.34549906742</v>
      </c>
      <c r="X233">
        <v>1</v>
      </c>
      <c r="Y233">
        <v>1</v>
      </c>
      <c r="Z233" s="15">
        <v>0.1901139397841578</v>
      </c>
      <c r="AA233" t="str">
        <f t="shared" si="9"/>
        <v>1-CT</v>
      </c>
      <c r="AB233" s="9">
        <f t="shared" si="10"/>
        <v>199500</v>
      </c>
      <c r="AC233" s="9">
        <f t="shared" si="11"/>
        <v>361216.48558989982</v>
      </c>
    </row>
    <row r="234" spans="1:29" x14ac:dyDescent="0.25">
      <c r="A234" t="s">
        <v>29</v>
      </c>
      <c r="B234">
        <v>30012</v>
      </c>
      <c r="C234" s="8">
        <v>45650</v>
      </c>
      <c r="D234" s="9">
        <v>321620</v>
      </c>
      <c r="E234" s="10">
        <v>2</v>
      </c>
      <c r="F234" t="s">
        <v>180</v>
      </c>
      <c r="G234" s="11">
        <v>6</v>
      </c>
      <c r="H234" t="s">
        <v>31</v>
      </c>
      <c r="J234" s="12">
        <v>0</v>
      </c>
      <c r="L234" t="s">
        <v>176</v>
      </c>
      <c r="M234" s="13">
        <v>2000000</v>
      </c>
      <c r="N234" s="14">
        <v>12</v>
      </c>
      <c r="P234" s="14">
        <v>1</v>
      </c>
      <c r="Q234" s="15">
        <v>0.105</v>
      </c>
      <c r="R234" s="12">
        <v>40000</v>
      </c>
      <c r="S234" s="12">
        <v>1</v>
      </c>
      <c r="T234" s="12">
        <v>0</v>
      </c>
      <c r="U234" s="12">
        <v>46500</v>
      </c>
      <c r="V234" s="12">
        <v>1</v>
      </c>
      <c r="W234" s="12">
        <v>176297.20578849199</v>
      </c>
      <c r="X234">
        <v>1</v>
      </c>
      <c r="Y234">
        <v>1</v>
      </c>
      <c r="Z234" s="15">
        <v>0.18951370810614765</v>
      </c>
      <c r="AA234" t="str">
        <f t="shared" si="9"/>
        <v>1-CT</v>
      </c>
      <c r="AB234" s="9">
        <f t="shared" si="10"/>
        <v>210000</v>
      </c>
      <c r="AC234" s="9">
        <f t="shared" si="11"/>
        <v>379027.4162122953</v>
      </c>
    </row>
    <row r="235" spans="1:29" x14ac:dyDescent="0.25">
      <c r="A235" t="s">
        <v>29</v>
      </c>
      <c r="B235">
        <v>30012</v>
      </c>
      <c r="C235" s="8">
        <v>45652</v>
      </c>
      <c r="D235" s="9">
        <v>321620</v>
      </c>
      <c r="E235" s="10">
        <v>2</v>
      </c>
      <c r="F235" t="s">
        <v>56</v>
      </c>
      <c r="G235" s="11">
        <v>6</v>
      </c>
      <c r="H235" t="s">
        <v>31</v>
      </c>
      <c r="J235" s="12">
        <v>0</v>
      </c>
      <c r="L235" t="s">
        <v>38</v>
      </c>
      <c r="M235" s="13">
        <v>2000000</v>
      </c>
      <c r="N235" s="14">
        <v>12</v>
      </c>
      <c r="P235" s="14">
        <v>1</v>
      </c>
      <c r="Q235" s="15">
        <v>0.105</v>
      </c>
      <c r="R235" s="12">
        <v>40000</v>
      </c>
      <c r="S235" s="12">
        <v>1</v>
      </c>
      <c r="T235" s="12">
        <v>0</v>
      </c>
      <c r="U235" s="12">
        <v>46500</v>
      </c>
      <c r="V235" s="12">
        <v>1</v>
      </c>
      <c r="W235" s="12">
        <v>176297.20578849199</v>
      </c>
      <c r="X235">
        <v>1</v>
      </c>
      <c r="Y235">
        <v>1</v>
      </c>
      <c r="Z235" s="15">
        <v>0.18951370810614765</v>
      </c>
      <c r="AA235" t="str">
        <f t="shared" si="9"/>
        <v>1-CT</v>
      </c>
      <c r="AB235" s="9">
        <f t="shared" si="10"/>
        <v>210000</v>
      </c>
      <c r="AC235" s="9">
        <f t="shared" si="11"/>
        <v>379027.4162122953</v>
      </c>
    </row>
    <row r="236" spans="1:29" x14ac:dyDescent="0.25">
      <c r="A236" t="s">
        <v>29</v>
      </c>
      <c r="B236">
        <v>30012</v>
      </c>
      <c r="C236" s="8">
        <v>45652</v>
      </c>
      <c r="D236" s="9">
        <v>321620</v>
      </c>
      <c r="E236" s="10">
        <v>2</v>
      </c>
      <c r="F236" t="s">
        <v>181</v>
      </c>
      <c r="G236" s="11">
        <v>6</v>
      </c>
      <c r="H236" t="s">
        <v>31</v>
      </c>
      <c r="J236" s="12">
        <v>0</v>
      </c>
      <c r="L236" t="s">
        <v>182</v>
      </c>
      <c r="M236" s="13">
        <v>2000000</v>
      </c>
      <c r="N236" s="14">
        <v>12</v>
      </c>
      <c r="P236" s="14">
        <v>1</v>
      </c>
      <c r="Q236" s="15">
        <v>0.105</v>
      </c>
      <c r="R236" s="12">
        <v>40000</v>
      </c>
      <c r="S236" s="12">
        <v>1</v>
      </c>
      <c r="T236" s="12">
        <v>0</v>
      </c>
      <c r="U236" s="12">
        <v>46500</v>
      </c>
      <c r="V236" s="12">
        <v>1</v>
      </c>
      <c r="W236" s="12">
        <v>176297.20578849199</v>
      </c>
      <c r="X236">
        <v>1</v>
      </c>
      <c r="Y236">
        <v>1</v>
      </c>
      <c r="Z236" s="15">
        <v>0.18951370810614765</v>
      </c>
      <c r="AA236" t="str">
        <f t="shared" si="9"/>
        <v>1-CT</v>
      </c>
      <c r="AB236" s="9">
        <f t="shared" si="10"/>
        <v>210000</v>
      </c>
      <c r="AC236" s="9">
        <f t="shared" si="11"/>
        <v>379027.4162122953</v>
      </c>
    </row>
    <row r="237" spans="1:29" x14ac:dyDescent="0.25">
      <c r="A237" t="s">
        <v>29</v>
      </c>
      <c r="B237">
        <v>30012</v>
      </c>
      <c r="C237" s="8">
        <v>45645</v>
      </c>
      <c r="D237" s="9">
        <v>321620</v>
      </c>
      <c r="E237" s="10">
        <v>2</v>
      </c>
      <c r="F237" t="s">
        <v>73</v>
      </c>
      <c r="G237" s="11">
        <v>6</v>
      </c>
      <c r="H237" t="s">
        <v>31</v>
      </c>
      <c r="J237" s="12">
        <v>0</v>
      </c>
      <c r="L237" t="s">
        <v>38</v>
      </c>
      <c r="M237" s="13">
        <v>3700000</v>
      </c>
      <c r="N237" s="14">
        <v>12</v>
      </c>
      <c r="P237" s="14">
        <v>1</v>
      </c>
      <c r="Q237" s="15">
        <v>0.11</v>
      </c>
      <c r="R237" s="12">
        <v>74000</v>
      </c>
      <c r="S237" s="12">
        <v>1</v>
      </c>
      <c r="T237" s="12">
        <v>0</v>
      </c>
      <c r="U237" s="12">
        <v>76420</v>
      </c>
      <c r="V237" s="12">
        <v>1</v>
      </c>
      <c r="W237" s="12">
        <v>327012.13652993494</v>
      </c>
      <c r="X237">
        <v>1</v>
      </c>
      <c r="Y237">
        <v>1</v>
      </c>
      <c r="Z237" s="15">
        <v>0.18938007226838768</v>
      </c>
      <c r="AA237" t="str">
        <f t="shared" si="9"/>
        <v>1-CT</v>
      </c>
      <c r="AB237" s="9">
        <f t="shared" si="10"/>
        <v>407000</v>
      </c>
      <c r="AC237" s="9">
        <f t="shared" si="11"/>
        <v>700706.26739303442</v>
      </c>
    </row>
    <row r="238" spans="1:29" x14ac:dyDescent="0.25">
      <c r="A238" t="s">
        <v>29</v>
      </c>
      <c r="B238">
        <v>30012</v>
      </c>
      <c r="C238" s="8">
        <v>45642</v>
      </c>
      <c r="D238" s="9">
        <v>311500</v>
      </c>
      <c r="E238" s="10">
        <v>2</v>
      </c>
      <c r="F238" t="s">
        <v>133</v>
      </c>
      <c r="G238" s="11">
        <v>6</v>
      </c>
      <c r="H238" t="s">
        <v>31</v>
      </c>
      <c r="J238" s="12">
        <v>0</v>
      </c>
      <c r="L238" t="s">
        <v>32</v>
      </c>
      <c r="M238" s="13">
        <v>4000000</v>
      </c>
      <c r="N238" s="14">
        <v>48</v>
      </c>
      <c r="P238" s="14">
        <v>1</v>
      </c>
      <c r="Q238" s="15">
        <v>0.128</v>
      </c>
      <c r="R238" s="12">
        <v>100000</v>
      </c>
      <c r="S238" s="12">
        <v>1</v>
      </c>
      <c r="T238" s="12">
        <v>268600</v>
      </c>
      <c r="U238" s="12">
        <v>47800</v>
      </c>
      <c r="V238" s="12">
        <v>1</v>
      </c>
      <c r="W238" s="12">
        <v>106913.34915537111</v>
      </c>
      <c r="X238">
        <v>1</v>
      </c>
      <c r="Y238">
        <v>1</v>
      </c>
      <c r="Z238" s="15">
        <v>0.18874745630170092</v>
      </c>
      <c r="AA238" t="str">
        <f t="shared" si="9"/>
        <v>2-MT</v>
      </c>
      <c r="AB238" s="9">
        <f t="shared" si="10"/>
        <v>512000</v>
      </c>
      <c r="AC238" s="9">
        <f t="shared" si="11"/>
        <v>754989.82520680374</v>
      </c>
    </row>
    <row r="239" spans="1:29" x14ac:dyDescent="0.25">
      <c r="A239" t="s">
        <v>29</v>
      </c>
      <c r="B239">
        <v>30012</v>
      </c>
      <c r="C239" s="8">
        <v>45643</v>
      </c>
      <c r="D239" s="9">
        <v>321620</v>
      </c>
      <c r="E239" s="10">
        <v>2</v>
      </c>
      <c r="F239" t="s">
        <v>183</v>
      </c>
      <c r="G239" s="11">
        <v>6</v>
      </c>
      <c r="H239" t="s">
        <v>31</v>
      </c>
      <c r="J239" s="12">
        <v>0</v>
      </c>
      <c r="L239" t="s">
        <v>40</v>
      </c>
      <c r="M239" s="13">
        <v>2200000</v>
      </c>
      <c r="N239" s="14">
        <v>12</v>
      </c>
      <c r="P239" s="14">
        <v>1</v>
      </c>
      <c r="Q239" s="15">
        <v>0.105</v>
      </c>
      <c r="R239" s="12">
        <v>44000</v>
      </c>
      <c r="S239" s="12">
        <v>1</v>
      </c>
      <c r="T239" s="12">
        <v>0</v>
      </c>
      <c r="U239" s="12">
        <v>50020</v>
      </c>
      <c r="V239" s="12">
        <v>1</v>
      </c>
      <c r="W239" s="12">
        <v>193926.92636734119</v>
      </c>
      <c r="X239">
        <v>1</v>
      </c>
      <c r="Y239">
        <v>1</v>
      </c>
      <c r="Z239" s="15">
        <v>0.18847758418290572</v>
      </c>
      <c r="AA239" t="str">
        <f t="shared" si="9"/>
        <v>1-CT</v>
      </c>
      <c r="AB239" s="9">
        <f t="shared" si="10"/>
        <v>231000</v>
      </c>
      <c r="AC239" s="9">
        <f t="shared" si="11"/>
        <v>414650.68520239257</v>
      </c>
    </row>
    <row r="240" spans="1:29" x14ac:dyDescent="0.25">
      <c r="A240" t="s">
        <v>29</v>
      </c>
      <c r="B240">
        <v>30012</v>
      </c>
      <c r="C240" s="8">
        <v>45574</v>
      </c>
      <c r="D240" s="9">
        <v>321600</v>
      </c>
      <c r="E240" s="10">
        <v>2</v>
      </c>
      <c r="F240" t="s">
        <v>73</v>
      </c>
      <c r="G240" s="11">
        <v>6</v>
      </c>
      <c r="H240" t="s">
        <v>31</v>
      </c>
      <c r="J240" s="12">
        <v>0</v>
      </c>
      <c r="L240" t="s">
        <v>38</v>
      </c>
      <c r="M240" s="13">
        <v>835000</v>
      </c>
      <c r="N240" s="14">
        <v>24</v>
      </c>
      <c r="P240" s="14">
        <v>1</v>
      </c>
      <c r="Q240" s="15">
        <v>9.3000000000000013E-2</v>
      </c>
      <c r="R240" s="12">
        <v>40000</v>
      </c>
      <c r="S240" s="12">
        <v>1</v>
      </c>
      <c r="T240" s="12">
        <v>17943</v>
      </c>
      <c r="U240" s="12">
        <v>16150</v>
      </c>
      <c r="V240" s="12">
        <v>1</v>
      </c>
      <c r="W240" s="12">
        <v>38261.796476575</v>
      </c>
      <c r="X240">
        <v>1</v>
      </c>
      <c r="Y240">
        <v>1</v>
      </c>
      <c r="Z240" s="15">
        <v>0.18744271636479273</v>
      </c>
      <c r="AA240" t="str">
        <f t="shared" si="9"/>
        <v>1-CT</v>
      </c>
      <c r="AB240" s="9">
        <f t="shared" si="10"/>
        <v>77655.000000000015</v>
      </c>
      <c r="AC240" s="9">
        <f t="shared" si="11"/>
        <v>156514.66816460193</v>
      </c>
    </row>
    <row r="241" spans="1:29" x14ac:dyDescent="0.25">
      <c r="A241" t="s">
        <v>29</v>
      </c>
      <c r="B241">
        <v>30012</v>
      </c>
      <c r="C241" s="8">
        <v>45652</v>
      </c>
      <c r="D241" s="9">
        <v>321620</v>
      </c>
      <c r="E241" s="10">
        <v>2</v>
      </c>
      <c r="F241" t="s">
        <v>184</v>
      </c>
      <c r="G241" s="11">
        <v>6</v>
      </c>
      <c r="H241" t="s">
        <v>31</v>
      </c>
      <c r="J241" s="12">
        <v>0</v>
      </c>
      <c r="L241" t="s">
        <v>71</v>
      </c>
      <c r="M241" s="13">
        <v>2500000</v>
      </c>
      <c r="N241" s="14">
        <v>12</v>
      </c>
      <c r="P241" s="14">
        <v>1</v>
      </c>
      <c r="Q241" s="15">
        <v>0.105</v>
      </c>
      <c r="R241" s="12">
        <v>50000</v>
      </c>
      <c r="S241" s="12">
        <v>1</v>
      </c>
      <c r="T241" s="12">
        <v>0</v>
      </c>
      <c r="U241" s="12">
        <v>55300</v>
      </c>
      <c r="V241" s="12">
        <v>1</v>
      </c>
      <c r="W241" s="12">
        <v>220371.50723561502</v>
      </c>
      <c r="X241">
        <v>1</v>
      </c>
      <c r="Y241">
        <v>1</v>
      </c>
      <c r="Z241" s="15">
        <v>0.18723530397740454</v>
      </c>
      <c r="AA241" t="str">
        <f t="shared" si="9"/>
        <v>1-CT</v>
      </c>
      <c r="AB241" s="9">
        <f t="shared" si="10"/>
        <v>262500</v>
      </c>
      <c r="AC241" s="9">
        <f t="shared" si="11"/>
        <v>468088.25994351134</v>
      </c>
    </row>
    <row r="242" spans="1:29" x14ac:dyDescent="0.25">
      <c r="A242" t="s">
        <v>29</v>
      </c>
      <c r="B242">
        <v>30012</v>
      </c>
      <c r="C242" s="8">
        <v>45645</v>
      </c>
      <c r="D242" s="9">
        <v>321620</v>
      </c>
      <c r="E242" s="10">
        <v>2</v>
      </c>
      <c r="F242" t="s">
        <v>185</v>
      </c>
      <c r="G242" s="11">
        <v>6</v>
      </c>
      <c r="H242" t="s">
        <v>31</v>
      </c>
      <c r="J242" s="12">
        <v>0</v>
      </c>
      <c r="L242" t="s">
        <v>34</v>
      </c>
      <c r="M242" s="13">
        <v>2500000</v>
      </c>
      <c r="N242" s="14">
        <v>12</v>
      </c>
      <c r="P242" s="14">
        <v>1</v>
      </c>
      <c r="Q242" s="15">
        <v>0.105</v>
      </c>
      <c r="R242" s="12">
        <v>50000</v>
      </c>
      <c r="S242" s="12">
        <v>1</v>
      </c>
      <c r="T242" s="12">
        <v>0</v>
      </c>
      <c r="U242" s="12">
        <v>55300</v>
      </c>
      <c r="V242" s="12">
        <v>1</v>
      </c>
      <c r="W242" s="12">
        <v>220371.50723561502</v>
      </c>
      <c r="X242">
        <v>1</v>
      </c>
      <c r="Y242">
        <v>1</v>
      </c>
      <c r="Z242" s="15">
        <v>0.18723530397740454</v>
      </c>
      <c r="AA242" t="str">
        <f t="shared" si="9"/>
        <v>1-CT</v>
      </c>
      <c r="AB242" s="9">
        <f t="shared" si="10"/>
        <v>262500</v>
      </c>
      <c r="AC242" s="9">
        <f t="shared" si="11"/>
        <v>468088.25994351134</v>
      </c>
    </row>
    <row r="243" spans="1:29" x14ac:dyDescent="0.25">
      <c r="A243" t="s">
        <v>29</v>
      </c>
      <c r="B243">
        <v>30012</v>
      </c>
      <c r="C243" s="8">
        <v>45650</v>
      </c>
      <c r="D243" s="9">
        <v>321620</v>
      </c>
      <c r="E243" s="10">
        <v>2</v>
      </c>
      <c r="F243" t="s">
        <v>153</v>
      </c>
      <c r="G243" s="11">
        <v>6</v>
      </c>
      <c r="H243" t="s">
        <v>31</v>
      </c>
      <c r="J243" s="12">
        <v>0</v>
      </c>
      <c r="L243" t="s">
        <v>40</v>
      </c>
      <c r="M243" s="13">
        <v>2650000</v>
      </c>
      <c r="N243" s="14">
        <v>12</v>
      </c>
      <c r="P243" s="14">
        <v>1</v>
      </c>
      <c r="Q243" s="15">
        <v>0.105</v>
      </c>
      <c r="R243" s="12">
        <v>53000</v>
      </c>
      <c r="S243" s="12">
        <v>1</v>
      </c>
      <c r="T243" s="12">
        <v>0</v>
      </c>
      <c r="U243" s="12">
        <v>57940</v>
      </c>
      <c r="V243" s="12">
        <v>1</v>
      </c>
      <c r="W243" s="12">
        <v>233593.79766975189</v>
      </c>
      <c r="X243">
        <v>1</v>
      </c>
      <c r="Y243">
        <v>1</v>
      </c>
      <c r="Z243" s="15">
        <v>0.18671998241281484</v>
      </c>
      <c r="AA243" t="str">
        <f t="shared" si="9"/>
        <v>1-CT</v>
      </c>
      <c r="AB243" s="9">
        <f t="shared" si="10"/>
        <v>278250</v>
      </c>
      <c r="AC243" s="9">
        <f t="shared" si="11"/>
        <v>494807.95339395932</v>
      </c>
    </row>
    <row r="244" spans="1:29" x14ac:dyDescent="0.25">
      <c r="A244" t="s">
        <v>29</v>
      </c>
      <c r="B244">
        <v>30012</v>
      </c>
      <c r="C244" s="8">
        <v>45615</v>
      </c>
      <c r="D244" s="9">
        <v>321600</v>
      </c>
      <c r="E244" s="10">
        <v>2</v>
      </c>
      <c r="F244" t="s">
        <v>186</v>
      </c>
      <c r="G244" s="11">
        <v>6</v>
      </c>
      <c r="H244" t="s">
        <v>31</v>
      </c>
      <c r="J244" s="12">
        <v>0</v>
      </c>
      <c r="L244" t="s">
        <v>38</v>
      </c>
      <c r="M244" s="13">
        <v>510000</v>
      </c>
      <c r="N244" s="14">
        <v>8</v>
      </c>
      <c r="P244" s="14">
        <v>2</v>
      </c>
      <c r="Q244" s="15">
        <v>0.1305</v>
      </c>
      <c r="R244" s="12">
        <v>25000</v>
      </c>
      <c r="S244" s="12">
        <v>1</v>
      </c>
      <c r="T244" s="12">
        <v>12140</v>
      </c>
      <c r="U244" s="12">
        <v>12900</v>
      </c>
      <c r="V244" s="12">
        <v>1</v>
      </c>
      <c r="W244" s="12">
        <v>70146.083599668433</v>
      </c>
      <c r="X244">
        <v>1</v>
      </c>
      <c r="Y244">
        <v>1</v>
      </c>
      <c r="Z244" s="15">
        <v>0.18577216640650876</v>
      </c>
      <c r="AA244" t="str">
        <f t="shared" si="9"/>
        <v>1-CT</v>
      </c>
      <c r="AB244" s="9">
        <f t="shared" si="10"/>
        <v>66555</v>
      </c>
      <c r="AC244" s="9">
        <f t="shared" si="11"/>
        <v>94743.804867319472</v>
      </c>
    </row>
    <row r="245" spans="1:29" x14ac:dyDescent="0.25">
      <c r="A245" t="s">
        <v>29</v>
      </c>
      <c r="B245">
        <v>30012</v>
      </c>
      <c r="C245" s="8">
        <v>45653</v>
      </c>
      <c r="D245" s="9">
        <v>321620</v>
      </c>
      <c r="E245" s="10">
        <v>2</v>
      </c>
      <c r="F245" t="s">
        <v>143</v>
      </c>
      <c r="G245" s="11">
        <v>6</v>
      </c>
      <c r="H245" t="s">
        <v>31</v>
      </c>
      <c r="J245" s="12">
        <v>0</v>
      </c>
      <c r="L245" t="s">
        <v>187</v>
      </c>
      <c r="M245" s="13">
        <v>3050000</v>
      </c>
      <c r="N245" s="14">
        <v>12</v>
      </c>
      <c r="P245" s="14">
        <v>1</v>
      </c>
      <c r="Q245" s="15">
        <v>0.105</v>
      </c>
      <c r="R245" s="12">
        <v>61000</v>
      </c>
      <c r="S245" s="12">
        <v>1</v>
      </c>
      <c r="T245" s="12">
        <v>0</v>
      </c>
      <c r="U245" s="12">
        <v>63680</v>
      </c>
      <c r="V245" s="12">
        <v>1</v>
      </c>
      <c r="W245" s="12">
        <v>268853.23882745032</v>
      </c>
      <c r="X245">
        <v>1</v>
      </c>
      <c r="Y245">
        <v>1</v>
      </c>
      <c r="Z245" s="15">
        <v>0.18473697213784759</v>
      </c>
      <c r="AA245" t="str">
        <f t="shared" si="9"/>
        <v>1-CT</v>
      </c>
      <c r="AB245" s="9">
        <f t="shared" si="10"/>
        <v>320250</v>
      </c>
      <c r="AC245" s="9">
        <f t="shared" si="11"/>
        <v>563447.76502043521</v>
      </c>
    </row>
    <row r="246" spans="1:29" x14ac:dyDescent="0.25">
      <c r="A246" t="s">
        <v>29</v>
      </c>
      <c r="B246">
        <v>30012</v>
      </c>
      <c r="C246" s="8">
        <v>45652</v>
      </c>
      <c r="D246" s="9">
        <v>321620</v>
      </c>
      <c r="E246" s="10">
        <v>2</v>
      </c>
      <c r="F246" t="s">
        <v>86</v>
      </c>
      <c r="G246" s="11">
        <v>6</v>
      </c>
      <c r="H246" t="s">
        <v>31</v>
      </c>
      <c r="J246" s="12">
        <v>0</v>
      </c>
      <c r="L246" t="s">
        <v>38</v>
      </c>
      <c r="M246" s="13">
        <v>3500000</v>
      </c>
      <c r="N246" s="14">
        <v>12</v>
      </c>
      <c r="P246" s="14">
        <v>1</v>
      </c>
      <c r="Q246" s="15">
        <v>0.105</v>
      </c>
      <c r="R246" s="12">
        <v>70000</v>
      </c>
      <c r="S246" s="12">
        <v>1</v>
      </c>
      <c r="T246" s="12">
        <v>0</v>
      </c>
      <c r="U246" s="12">
        <v>72900</v>
      </c>
      <c r="V246" s="12">
        <v>1</v>
      </c>
      <c r="W246" s="12">
        <v>308520.11012986099</v>
      </c>
      <c r="X246">
        <v>1</v>
      </c>
      <c r="Y246">
        <v>1</v>
      </c>
      <c r="Z246" s="15">
        <v>0.18463620261854755</v>
      </c>
      <c r="AA246" t="str">
        <f t="shared" si="9"/>
        <v>1-CT</v>
      </c>
      <c r="AB246" s="9">
        <f t="shared" si="10"/>
        <v>367500</v>
      </c>
      <c r="AC246" s="9">
        <f t="shared" si="11"/>
        <v>646226.70916491642</v>
      </c>
    </row>
    <row r="247" spans="1:29" x14ac:dyDescent="0.25">
      <c r="A247" t="s">
        <v>29</v>
      </c>
      <c r="B247">
        <v>30012</v>
      </c>
      <c r="C247" s="8">
        <v>45652</v>
      </c>
      <c r="D247" s="9">
        <v>321620</v>
      </c>
      <c r="E247" s="10">
        <v>2</v>
      </c>
      <c r="F247" t="s">
        <v>188</v>
      </c>
      <c r="G247" s="11">
        <v>6</v>
      </c>
      <c r="H247" t="s">
        <v>31</v>
      </c>
      <c r="J247" s="12">
        <v>0</v>
      </c>
      <c r="L247" t="s">
        <v>189</v>
      </c>
      <c r="M247" s="13">
        <v>5060000</v>
      </c>
      <c r="N247" s="14">
        <v>12</v>
      </c>
      <c r="P247" s="14">
        <v>1</v>
      </c>
      <c r="Q247" s="15">
        <v>0.105</v>
      </c>
      <c r="R247" s="12">
        <v>101200</v>
      </c>
      <c r="S247" s="12">
        <v>1</v>
      </c>
      <c r="T247" s="12">
        <v>0</v>
      </c>
      <c r="U247" s="12">
        <v>100356</v>
      </c>
      <c r="V247" s="12">
        <v>1</v>
      </c>
      <c r="W247" s="12">
        <v>446031.93064488476</v>
      </c>
      <c r="X247">
        <v>1</v>
      </c>
      <c r="Y247">
        <v>1</v>
      </c>
      <c r="Z247" s="15">
        <v>0.18263641786489565</v>
      </c>
      <c r="AA247" t="str">
        <f t="shared" si="9"/>
        <v>1-CT</v>
      </c>
      <c r="AB247" s="9">
        <f t="shared" si="10"/>
        <v>531300</v>
      </c>
      <c r="AC247" s="9">
        <f t="shared" si="11"/>
        <v>924140.27439637203</v>
      </c>
    </row>
    <row r="248" spans="1:29" x14ac:dyDescent="0.25">
      <c r="A248" t="s">
        <v>29</v>
      </c>
      <c r="B248">
        <v>30012</v>
      </c>
      <c r="C248" s="8">
        <v>45644</v>
      </c>
      <c r="D248" s="9">
        <v>321620</v>
      </c>
      <c r="E248" s="10">
        <v>2</v>
      </c>
      <c r="F248" t="s">
        <v>190</v>
      </c>
      <c r="G248" s="11">
        <v>6</v>
      </c>
      <c r="H248" t="s">
        <v>31</v>
      </c>
      <c r="J248" s="12">
        <v>0</v>
      </c>
      <c r="L248" t="s">
        <v>38</v>
      </c>
      <c r="M248" s="13">
        <v>7000000</v>
      </c>
      <c r="N248" s="14">
        <v>12</v>
      </c>
      <c r="P248" s="14">
        <v>1</v>
      </c>
      <c r="Q248" s="15">
        <v>0.105</v>
      </c>
      <c r="R248" s="12">
        <v>140000</v>
      </c>
      <c r="S248" s="12">
        <v>1</v>
      </c>
      <c r="T248" s="12">
        <v>0</v>
      </c>
      <c r="U248" s="12">
        <v>134500</v>
      </c>
      <c r="V248" s="12">
        <v>1</v>
      </c>
      <c r="W248" s="12">
        <v>617040.22025972197</v>
      </c>
      <c r="X248">
        <v>1</v>
      </c>
      <c r="Y248">
        <v>1</v>
      </c>
      <c r="Z248" s="15">
        <v>0.1813944833355613</v>
      </c>
      <c r="AA248" t="str">
        <f t="shared" si="9"/>
        <v>1-CT</v>
      </c>
      <c r="AB248" s="9">
        <f t="shared" si="10"/>
        <v>735000</v>
      </c>
      <c r="AC248" s="9">
        <f t="shared" si="11"/>
        <v>1269761.383348929</v>
      </c>
    </row>
    <row r="249" spans="1:29" x14ac:dyDescent="0.25">
      <c r="A249" t="s">
        <v>29</v>
      </c>
      <c r="B249">
        <v>30012</v>
      </c>
      <c r="C249" s="8">
        <v>45637</v>
      </c>
      <c r="D249" s="9">
        <v>321620</v>
      </c>
      <c r="E249" s="10">
        <v>2</v>
      </c>
      <c r="F249" t="s">
        <v>144</v>
      </c>
      <c r="G249" s="11">
        <v>6</v>
      </c>
      <c r="H249" t="s">
        <v>31</v>
      </c>
      <c r="J249" s="12">
        <v>0</v>
      </c>
      <c r="L249" t="s">
        <v>71</v>
      </c>
      <c r="M249" s="13">
        <v>7500000</v>
      </c>
      <c r="N249" s="14">
        <v>12</v>
      </c>
      <c r="P249" s="14">
        <v>1</v>
      </c>
      <c r="Q249" s="15">
        <v>0.105</v>
      </c>
      <c r="R249" s="12">
        <v>150000</v>
      </c>
      <c r="S249" s="12">
        <v>1</v>
      </c>
      <c r="T249" s="12">
        <v>0</v>
      </c>
      <c r="U249" s="12">
        <v>143300</v>
      </c>
      <c r="V249" s="12">
        <v>1</v>
      </c>
      <c r="W249" s="12">
        <v>661114.52170684503</v>
      </c>
      <c r="X249">
        <v>1</v>
      </c>
      <c r="Y249">
        <v>1</v>
      </c>
      <c r="Z249" s="15">
        <v>0.18117865070918079</v>
      </c>
      <c r="AA249" t="str">
        <f t="shared" si="9"/>
        <v>1-CT</v>
      </c>
      <c r="AB249" s="9">
        <f t="shared" si="10"/>
        <v>787500</v>
      </c>
      <c r="AC249" s="9">
        <f t="shared" si="11"/>
        <v>1358839.8803188559</v>
      </c>
    </row>
    <row r="250" spans="1:29" x14ac:dyDescent="0.25">
      <c r="A250" t="s">
        <v>29</v>
      </c>
      <c r="B250">
        <v>30012</v>
      </c>
      <c r="C250" s="8">
        <v>45635</v>
      </c>
      <c r="D250" s="9">
        <v>321620</v>
      </c>
      <c r="E250" s="10">
        <v>2</v>
      </c>
      <c r="F250" t="s">
        <v>151</v>
      </c>
      <c r="G250" s="11">
        <v>6</v>
      </c>
      <c r="H250" t="s">
        <v>31</v>
      </c>
      <c r="J250" s="12">
        <v>0</v>
      </c>
      <c r="L250" t="s">
        <v>34</v>
      </c>
      <c r="M250" s="13">
        <v>950000</v>
      </c>
      <c r="N250" s="14">
        <v>12</v>
      </c>
      <c r="P250" s="14">
        <v>1</v>
      </c>
      <c r="Q250" s="15">
        <v>0.105</v>
      </c>
      <c r="R250" s="12">
        <v>25000</v>
      </c>
      <c r="S250" s="12">
        <v>1</v>
      </c>
      <c r="T250" s="12">
        <v>0</v>
      </c>
      <c r="U250" s="12">
        <v>10800</v>
      </c>
      <c r="V250" s="12">
        <v>1</v>
      </c>
      <c r="W250" s="12">
        <v>83741.172749533711</v>
      </c>
      <c r="X250">
        <v>1</v>
      </c>
      <c r="Y250">
        <v>1</v>
      </c>
      <c r="Z250" s="15">
        <v>0.17832918281794077</v>
      </c>
      <c r="AA250" t="str">
        <f t="shared" si="9"/>
        <v>1-CT</v>
      </c>
      <c r="AB250" s="9">
        <f t="shared" si="10"/>
        <v>99750</v>
      </c>
      <c r="AC250" s="9">
        <f t="shared" si="11"/>
        <v>169412.72367704374</v>
      </c>
    </row>
    <row r="251" spans="1:29" x14ac:dyDescent="0.25">
      <c r="A251" t="s">
        <v>29</v>
      </c>
      <c r="B251">
        <v>30012</v>
      </c>
      <c r="C251" s="8">
        <v>45596</v>
      </c>
      <c r="D251" s="9">
        <v>311500</v>
      </c>
      <c r="E251" s="10">
        <v>2</v>
      </c>
      <c r="F251" t="s">
        <v>124</v>
      </c>
      <c r="G251" s="11">
        <v>6</v>
      </c>
      <c r="H251" t="s">
        <v>31</v>
      </c>
      <c r="J251" s="12">
        <v>0</v>
      </c>
      <c r="L251" t="s">
        <v>38</v>
      </c>
      <c r="M251" s="13">
        <v>1750000</v>
      </c>
      <c r="N251" s="14">
        <v>60</v>
      </c>
      <c r="P251" s="14">
        <v>1</v>
      </c>
      <c r="Q251" s="15">
        <v>0.13800000000000001</v>
      </c>
      <c r="R251" s="12">
        <v>52500</v>
      </c>
      <c r="S251" s="12">
        <v>1</v>
      </c>
      <c r="T251" s="12">
        <v>66875</v>
      </c>
      <c r="U251" s="12">
        <v>25300</v>
      </c>
      <c r="V251" s="12">
        <v>1</v>
      </c>
      <c r="W251" s="12">
        <v>40538.213630244994</v>
      </c>
      <c r="X251">
        <v>1</v>
      </c>
      <c r="Y251">
        <v>1</v>
      </c>
      <c r="Z251" s="15">
        <v>0.177402589619226</v>
      </c>
      <c r="AA251" t="str">
        <f t="shared" si="9"/>
        <v>2-MT</v>
      </c>
      <c r="AB251" s="9">
        <f t="shared" si="10"/>
        <v>241500.00000000003</v>
      </c>
      <c r="AC251" s="9">
        <f t="shared" si="11"/>
        <v>310454.53183364548</v>
      </c>
    </row>
    <row r="252" spans="1:29" x14ac:dyDescent="0.25">
      <c r="A252" t="s">
        <v>29</v>
      </c>
      <c r="B252">
        <v>30012</v>
      </c>
      <c r="C252" s="8">
        <v>45587</v>
      </c>
      <c r="D252" s="9">
        <v>311500</v>
      </c>
      <c r="E252" s="10">
        <v>2</v>
      </c>
      <c r="F252" t="s">
        <v>101</v>
      </c>
      <c r="G252" s="11">
        <v>6</v>
      </c>
      <c r="H252" t="s">
        <v>31</v>
      </c>
      <c r="J252" s="12">
        <v>0</v>
      </c>
      <c r="L252" t="s">
        <v>61</v>
      </c>
      <c r="M252" s="13">
        <v>2200000</v>
      </c>
      <c r="N252" s="14">
        <v>48</v>
      </c>
      <c r="P252" s="14">
        <v>1</v>
      </c>
      <c r="Q252" s="15">
        <v>0.13800000000000001</v>
      </c>
      <c r="R252" s="12">
        <v>66000</v>
      </c>
      <c r="S252" s="12">
        <v>1</v>
      </c>
      <c r="T252" s="12">
        <v>55600</v>
      </c>
      <c r="U252" s="12">
        <v>29800</v>
      </c>
      <c r="V252" s="12">
        <v>1</v>
      </c>
      <c r="W252" s="12">
        <v>59897.763493252729</v>
      </c>
      <c r="X252">
        <v>1</v>
      </c>
      <c r="Y252">
        <v>1</v>
      </c>
      <c r="Z252" s="15">
        <v>0.17738227386223168</v>
      </c>
      <c r="AA252" t="str">
        <f t="shared" si="9"/>
        <v>2-MT</v>
      </c>
      <c r="AB252" s="9">
        <f t="shared" si="10"/>
        <v>303600</v>
      </c>
      <c r="AC252" s="9">
        <f t="shared" si="11"/>
        <v>390241.0024969097</v>
      </c>
    </row>
    <row r="253" spans="1:29" x14ac:dyDescent="0.25">
      <c r="A253" t="s">
        <v>29</v>
      </c>
      <c r="B253">
        <v>30012</v>
      </c>
      <c r="C253" s="8">
        <v>45568</v>
      </c>
      <c r="D253" s="9">
        <v>311500</v>
      </c>
      <c r="E253" s="10">
        <v>2</v>
      </c>
      <c r="F253" t="s">
        <v>67</v>
      </c>
      <c r="G253" s="11">
        <v>6</v>
      </c>
      <c r="H253" t="s">
        <v>31</v>
      </c>
      <c r="J253" s="12">
        <v>0</v>
      </c>
      <c r="L253" t="s">
        <v>40</v>
      </c>
      <c r="M253" s="13">
        <v>1000000</v>
      </c>
      <c r="N253" s="14">
        <v>24</v>
      </c>
      <c r="P253" s="14">
        <v>1</v>
      </c>
      <c r="Q253" s="15">
        <v>9.3000000000000013E-2</v>
      </c>
      <c r="R253" s="12">
        <v>25000</v>
      </c>
      <c r="S253" s="12">
        <v>1</v>
      </c>
      <c r="T253" s="12">
        <v>36000</v>
      </c>
      <c r="U253" s="12">
        <v>17800</v>
      </c>
      <c r="V253" s="12">
        <v>1</v>
      </c>
      <c r="W253" s="12">
        <v>45822.510750389214</v>
      </c>
      <c r="X253">
        <v>1</v>
      </c>
      <c r="Y253">
        <v>1</v>
      </c>
      <c r="Z253" s="15">
        <v>0.17623127519701273</v>
      </c>
      <c r="AA253" t="str">
        <f t="shared" si="9"/>
        <v>1-CT</v>
      </c>
      <c r="AB253" s="9">
        <f t="shared" si="10"/>
        <v>93000.000000000015</v>
      </c>
      <c r="AC253" s="9">
        <f t="shared" si="11"/>
        <v>176231.27519701273</v>
      </c>
    </row>
    <row r="254" spans="1:29" x14ac:dyDescent="0.25">
      <c r="A254" t="s">
        <v>29</v>
      </c>
      <c r="B254">
        <v>30012</v>
      </c>
      <c r="C254" s="8">
        <v>45590</v>
      </c>
      <c r="D254" s="9">
        <v>311500</v>
      </c>
      <c r="E254" s="10">
        <v>2</v>
      </c>
      <c r="F254" t="s">
        <v>191</v>
      </c>
      <c r="G254" s="11">
        <v>6</v>
      </c>
      <c r="H254" t="s">
        <v>31</v>
      </c>
      <c r="J254" s="12">
        <v>0</v>
      </c>
      <c r="L254" t="s">
        <v>32</v>
      </c>
      <c r="M254" s="13">
        <v>2500000</v>
      </c>
      <c r="N254" s="14">
        <v>60</v>
      </c>
      <c r="P254" s="14">
        <v>1</v>
      </c>
      <c r="Q254" s="15">
        <v>0.13800000000000001</v>
      </c>
      <c r="R254" s="12">
        <v>75000</v>
      </c>
      <c r="S254" s="12">
        <v>1</v>
      </c>
      <c r="T254" s="12">
        <v>91250</v>
      </c>
      <c r="U254" s="12">
        <v>32800</v>
      </c>
      <c r="V254" s="12">
        <v>1</v>
      </c>
      <c r="W254" s="12">
        <v>57911.733757492846</v>
      </c>
      <c r="X254">
        <v>1</v>
      </c>
      <c r="Y254">
        <v>1</v>
      </c>
      <c r="Z254" s="15">
        <v>0.17585757022502757</v>
      </c>
      <c r="AA254" t="str">
        <f t="shared" si="9"/>
        <v>2-MT</v>
      </c>
      <c r="AB254" s="9">
        <f t="shared" si="10"/>
        <v>345000</v>
      </c>
      <c r="AC254" s="9">
        <f t="shared" si="11"/>
        <v>439643.92556256894</v>
      </c>
    </row>
    <row r="255" spans="1:29" x14ac:dyDescent="0.25">
      <c r="A255" t="s">
        <v>29</v>
      </c>
      <c r="B255">
        <v>30012</v>
      </c>
      <c r="C255" s="8">
        <v>45622</v>
      </c>
      <c r="D255" s="9">
        <v>321620</v>
      </c>
      <c r="E255" s="10">
        <v>2</v>
      </c>
      <c r="F255" t="s">
        <v>192</v>
      </c>
      <c r="G255" s="11">
        <v>6</v>
      </c>
      <c r="H255" t="s">
        <v>31</v>
      </c>
      <c r="J255" s="12">
        <v>0</v>
      </c>
      <c r="L255" t="s">
        <v>32</v>
      </c>
      <c r="M255" s="13">
        <v>7500000</v>
      </c>
      <c r="N255" s="14">
        <v>12</v>
      </c>
      <c r="P255" s="14">
        <v>1</v>
      </c>
      <c r="Q255" s="15">
        <v>0.105</v>
      </c>
      <c r="R255" s="12">
        <v>130000</v>
      </c>
      <c r="S255" s="12">
        <v>1</v>
      </c>
      <c r="T255" s="12">
        <v>0</v>
      </c>
      <c r="U255" s="12">
        <v>143300</v>
      </c>
      <c r="V255" s="12">
        <v>1</v>
      </c>
      <c r="W255" s="12">
        <v>661114.52170684503</v>
      </c>
      <c r="X255">
        <v>1</v>
      </c>
      <c r="Y255">
        <v>1</v>
      </c>
      <c r="Z255" s="15">
        <v>0.17584179907353947</v>
      </c>
      <c r="AA255" t="str">
        <f t="shared" si="9"/>
        <v>1-CT</v>
      </c>
      <c r="AB255" s="9">
        <f t="shared" si="10"/>
        <v>787500</v>
      </c>
      <c r="AC255" s="9">
        <f t="shared" si="11"/>
        <v>1318813.4930515462</v>
      </c>
    </row>
    <row r="256" spans="1:29" x14ac:dyDescent="0.25">
      <c r="A256" t="s">
        <v>29</v>
      </c>
      <c r="B256">
        <v>30012</v>
      </c>
      <c r="C256" s="8">
        <v>45589</v>
      </c>
      <c r="D256" s="9">
        <v>311500</v>
      </c>
      <c r="E256" s="10">
        <v>2</v>
      </c>
      <c r="F256" t="s">
        <v>62</v>
      </c>
      <c r="G256" s="11">
        <v>6</v>
      </c>
      <c r="H256" t="s">
        <v>31</v>
      </c>
      <c r="J256" s="12">
        <v>0</v>
      </c>
      <c r="L256" t="s">
        <v>156</v>
      </c>
      <c r="M256" s="13">
        <v>1015000</v>
      </c>
      <c r="N256" s="14">
        <v>36</v>
      </c>
      <c r="P256" s="14">
        <v>1</v>
      </c>
      <c r="Q256" s="15">
        <v>0.128</v>
      </c>
      <c r="R256" s="12">
        <v>25375</v>
      </c>
      <c r="S256" s="12">
        <v>1</v>
      </c>
      <c r="T256" s="12">
        <v>22052</v>
      </c>
      <c r="U256" s="12">
        <v>17950</v>
      </c>
      <c r="V256" s="12">
        <v>1</v>
      </c>
      <c r="W256" s="12">
        <v>34101.665768950334</v>
      </c>
      <c r="X256">
        <v>1</v>
      </c>
      <c r="Y256">
        <v>1</v>
      </c>
      <c r="Z256" s="15">
        <v>0.17517360876963853</v>
      </c>
      <c r="AA256" t="str">
        <f t="shared" si="9"/>
        <v>2-MT</v>
      </c>
      <c r="AB256" s="9">
        <f t="shared" si="10"/>
        <v>129920</v>
      </c>
      <c r="AC256" s="9">
        <f t="shared" si="11"/>
        <v>177801.21290118311</v>
      </c>
    </row>
    <row r="257" spans="1:29" x14ac:dyDescent="0.25">
      <c r="A257" t="s">
        <v>29</v>
      </c>
      <c r="B257">
        <v>30012</v>
      </c>
      <c r="C257" s="8">
        <v>45596</v>
      </c>
      <c r="D257" s="9">
        <v>311500</v>
      </c>
      <c r="E257" s="10">
        <v>2</v>
      </c>
      <c r="F257" t="s">
        <v>78</v>
      </c>
      <c r="G257" s="11">
        <v>6</v>
      </c>
      <c r="H257" t="s">
        <v>31</v>
      </c>
      <c r="J257" s="12">
        <v>0</v>
      </c>
      <c r="L257" t="s">
        <v>32</v>
      </c>
      <c r="M257" s="13">
        <v>4400000</v>
      </c>
      <c r="N257" s="14">
        <v>60</v>
      </c>
      <c r="P257" s="14">
        <v>1</v>
      </c>
      <c r="Q257" s="15">
        <v>0.13800000000000001</v>
      </c>
      <c r="R257" s="12">
        <v>132000</v>
      </c>
      <c r="S257" s="12">
        <v>1</v>
      </c>
      <c r="T257" s="12">
        <v>153000</v>
      </c>
      <c r="U257" s="12">
        <v>51800</v>
      </c>
      <c r="V257" s="12">
        <v>1</v>
      </c>
      <c r="W257" s="12">
        <v>101924.65141318741</v>
      </c>
      <c r="X257">
        <v>1</v>
      </c>
      <c r="Y257">
        <v>1</v>
      </c>
      <c r="Z257" s="15">
        <v>0.17430838755853473</v>
      </c>
      <c r="AA257" t="str">
        <f t="shared" si="9"/>
        <v>2-MT</v>
      </c>
      <c r="AB257" s="9">
        <f t="shared" si="10"/>
        <v>607200</v>
      </c>
      <c r="AC257" s="9">
        <f t="shared" si="11"/>
        <v>766956.90525755275</v>
      </c>
    </row>
    <row r="258" spans="1:29" x14ac:dyDescent="0.25">
      <c r="A258" t="s">
        <v>29</v>
      </c>
      <c r="B258">
        <v>30012</v>
      </c>
      <c r="C258" s="8">
        <v>45580</v>
      </c>
      <c r="D258" s="9">
        <v>311500</v>
      </c>
      <c r="E258" s="10">
        <v>2</v>
      </c>
      <c r="F258" t="s">
        <v>173</v>
      </c>
      <c r="G258" s="11">
        <v>6</v>
      </c>
      <c r="H258" t="s">
        <v>31</v>
      </c>
      <c r="J258" s="12">
        <v>0</v>
      </c>
      <c r="L258" t="s">
        <v>32</v>
      </c>
      <c r="M258" s="13">
        <v>4470000</v>
      </c>
      <c r="N258" s="14">
        <v>60</v>
      </c>
      <c r="P258" s="14">
        <v>1</v>
      </c>
      <c r="Q258" s="15">
        <v>0.13800000000000001</v>
      </c>
      <c r="R258" s="12">
        <v>134100</v>
      </c>
      <c r="S258" s="12">
        <v>1</v>
      </c>
      <c r="T258" s="12">
        <v>155275</v>
      </c>
      <c r="U258" s="12">
        <v>52500</v>
      </c>
      <c r="V258" s="12">
        <v>1</v>
      </c>
      <c r="W258" s="12">
        <v>103546.17995839722</v>
      </c>
      <c r="X258">
        <v>1</v>
      </c>
      <c r="Y258">
        <v>1</v>
      </c>
      <c r="Z258" s="15">
        <v>0.1742765454571531</v>
      </c>
      <c r="AA258" t="str">
        <f t="shared" si="9"/>
        <v>2-MT</v>
      </c>
      <c r="AB258" s="9">
        <f t="shared" si="10"/>
        <v>616860</v>
      </c>
      <c r="AC258" s="9">
        <f t="shared" si="11"/>
        <v>779016.1581934744</v>
      </c>
    </row>
    <row r="259" spans="1:29" x14ac:dyDescent="0.25">
      <c r="A259" t="s">
        <v>29</v>
      </c>
      <c r="B259">
        <v>30012</v>
      </c>
      <c r="C259" s="8">
        <v>45568</v>
      </c>
      <c r="D259" s="9">
        <v>311500</v>
      </c>
      <c r="E259" s="10">
        <v>2</v>
      </c>
      <c r="F259" t="s">
        <v>121</v>
      </c>
      <c r="G259" s="11">
        <v>6</v>
      </c>
      <c r="H259" t="s">
        <v>31</v>
      </c>
      <c r="J259" s="12">
        <v>0</v>
      </c>
      <c r="L259" t="s">
        <v>36</v>
      </c>
      <c r="M259" s="13">
        <v>4700000</v>
      </c>
      <c r="N259" s="14">
        <v>60</v>
      </c>
      <c r="P259" s="14">
        <v>1</v>
      </c>
      <c r="Q259" s="15">
        <v>0.13800000000000001</v>
      </c>
      <c r="R259" s="12">
        <v>141000</v>
      </c>
      <c r="S259" s="12">
        <v>1</v>
      </c>
      <c r="T259" s="12">
        <v>162750</v>
      </c>
      <c r="U259" s="12">
        <v>54800</v>
      </c>
      <c r="V259" s="12">
        <v>1</v>
      </c>
      <c r="W259" s="12">
        <v>108874.05946408656</v>
      </c>
      <c r="X259">
        <v>1</v>
      </c>
      <c r="Y259">
        <v>1</v>
      </c>
      <c r="Z259" s="15">
        <v>0.17417861950478075</v>
      </c>
      <c r="AA259" t="str">
        <f t="shared" ref="AA259:AA322" si="12">IF(N259&lt;=24,"1-CT",IF(N259&gt;60,"3-LT","2-MT"))</f>
        <v>2-MT</v>
      </c>
      <c r="AB259" s="9">
        <f t="shared" ref="AB259:AB322" si="13">Q259*M259</f>
        <v>648600</v>
      </c>
      <c r="AC259" s="9">
        <f t="shared" ref="AC259:AC322" si="14">Z259*M259</f>
        <v>818639.51167246955</v>
      </c>
    </row>
    <row r="260" spans="1:29" x14ac:dyDescent="0.25">
      <c r="A260" t="s">
        <v>29</v>
      </c>
      <c r="B260">
        <v>30012</v>
      </c>
      <c r="C260" s="8">
        <v>45574</v>
      </c>
      <c r="D260" s="9">
        <v>311500</v>
      </c>
      <c r="E260" s="10">
        <v>2</v>
      </c>
      <c r="F260" t="s">
        <v>193</v>
      </c>
      <c r="G260" s="11">
        <v>6</v>
      </c>
      <c r="H260" t="s">
        <v>31</v>
      </c>
      <c r="J260" s="12">
        <v>0</v>
      </c>
      <c r="L260" t="s">
        <v>32</v>
      </c>
      <c r="M260" s="13">
        <v>4900000</v>
      </c>
      <c r="N260" s="14">
        <v>60</v>
      </c>
      <c r="P260" s="14">
        <v>1</v>
      </c>
      <c r="Q260" s="15">
        <v>0.13800000000000001</v>
      </c>
      <c r="R260" s="12">
        <v>147000</v>
      </c>
      <c r="S260" s="12">
        <v>1</v>
      </c>
      <c r="T260" s="12">
        <v>169250</v>
      </c>
      <c r="U260" s="12">
        <v>56800</v>
      </c>
      <c r="V260" s="12">
        <v>1</v>
      </c>
      <c r="W260" s="12">
        <v>113506.998164686</v>
      </c>
      <c r="X260">
        <v>1</v>
      </c>
      <c r="Y260">
        <v>1</v>
      </c>
      <c r="Z260" s="15">
        <v>0.17410096053662077</v>
      </c>
      <c r="AA260" t="str">
        <f t="shared" si="12"/>
        <v>2-MT</v>
      </c>
      <c r="AB260" s="9">
        <f t="shared" si="13"/>
        <v>676200</v>
      </c>
      <c r="AC260" s="9">
        <f t="shared" si="14"/>
        <v>853094.70662944182</v>
      </c>
    </row>
    <row r="261" spans="1:29" x14ac:dyDescent="0.25">
      <c r="A261" t="s">
        <v>29</v>
      </c>
      <c r="B261">
        <v>30012</v>
      </c>
      <c r="C261" s="8">
        <v>45616</v>
      </c>
      <c r="D261" s="9">
        <v>311500</v>
      </c>
      <c r="E261" s="10">
        <v>2</v>
      </c>
      <c r="F261" t="s">
        <v>64</v>
      </c>
      <c r="G261" s="11">
        <v>6</v>
      </c>
      <c r="H261" t="s">
        <v>31</v>
      </c>
      <c r="J261" s="12">
        <v>0</v>
      </c>
      <c r="L261" t="s">
        <v>32</v>
      </c>
      <c r="M261" s="13">
        <v>5300000</v>
      </c>
      <c r="N261" s="14">
        <v>60</v>
      </c>
      <c r="P261" s="14">
        <v>1</v>
      </c>
      <c r="Q261" s="15">
        <v>0.13800000000000001</v>
      </c>
      <c r="R261" s="12">
        <v>159000</v>
      </c>
      <c r="S261" s="12">
        <v>1</v>
      </c>
      <c r="T261" s="12">
        <v>182250</v>
      </c>
      <c r="U261" s="12">
        <v>60800</v>
      </c>
      <c r="V261" s="12">
        <v>1</v>
      </c>
      <c r="W261" s="12">
        <v>122772.87556588484</v>
      </c>
      <c r="X261">
        <v>1</v>
      </c>
      <c r="Y261">
        <v>1</v>
      </c>
      <c r="Z261" s="15">
        <v>0.17396327235327652</v>
      </c>
      <c r="AA261" t="str">
        <f t="shared" si="12"/>
        <v>2-MT</v>
      </c>
      <c r="AB261" s="9">
        <f t="shared" si="13"/>
        <v>731400.00000000012</v>
      </c>
      <c r="AC261" s="9">
        <f t="shared" si="14"/>
        <v>922005.34347236552</v>
      </c>
    </row>
    <row r="262" spans="1:29" x14ac:dyDescent="0.25">
      <c r="A262" t="s">
        <v>29</v>
      </c>
      <c r="B262">
        <v>30012</v>
      </c>
      <c r="C262" s="8">
        <v>45574</v>
      </c>
      <c r="D262" s="9">
        <v>311500</v>
      </c>
      <c r="E262" s="10">
        <v>2</v>
      </c>
      <c r="F262" t="s">
        <v>145</v>
      </c>
      <c r="G262" s="11">
        <v>6</v>
      </c>
      <c r="H262" t="s">
        <v>31</v>
      </c>
      <c r="J262" s="12">
        <v>0</v>
      </c>
      <c r="L262" t="s">
        <v>34</v>
      </c>
      <c r="M262" s="13">
        <v>5600000</v>
      </c>
      <c r="N262" s="14">
        <v>60</v>
      </c>
      <c r="P262" s="14">
        <v>1</v>
      </c>
      <c r="Q262" s="15">
        <v>0.13800000000000001</v>
      </c>
      <c r="R262" s="12">
        <v>168000</v>
      </c>
      <c r="S262" s="12">
        <v>1</v>
      </c>
      <c r="T262" s="12">
        <v>192000</v>
      </c>
      <c r="U262" s="12">
        <v>63800</v>
      </c>
      <c r="V262" s="12">
        <v>1</v>
      </c>
      <c r="W262" s="12">
        <v>129722.28361678399</v>
      </c>
      <c r="X262">
        <v>1</v>
      </c>
      <c r="Y262">
        <v>1</v>
      </c>
      <c r="Z262" s="15">
        <v>0.1738729468459449</v>
      </c>
      <c r="AA262" t="str">
        <f t="shared" si="12"/>
        <v>2-MT</v>
      </c>
      <c r="AB262" s="9">
        <f t="shared" si="13"/>
        <v>772800.00000000012</v>
      </c>
      <c r="AC262" s="9">
        <f t="shared" si="14"/>
        <v>973688.50233729137</v>
      </c>
    </row>
    <row r="263" spans="1:29" x14ac:dyDescent="0.25">
      <c r="A263" t="s">
        <v>29</v>
      </c>
      <c r="B263">
        <v>30012</v>
      </c>
      <c r="C263" s="8">
        <v>45586</v>
      </c>
      <c r="D263" s="9">
        <v>311500</v>
      </c>
      <c r="E263" s="10">
        <v>2</v>
      </c>
      <c r="F263" t="s">
        <v>64</v>
      </c>
      <c r="G263" s="11">
        <v>6</v>
      </c>
      <c r="H263" t="s">
        <v>31</v>
      </c>
      <c r="J263" s="12">
        <v>0</v>
      </c>
      <c r="L263" t="s">
        <v>32</v>
      </c>
      <c r="M263" s="13">
        <v>5999000</v>
      </c>
      <c r="N263" s="14">
        <v>60</v>
      </c>
      <c r="P263" s="14">
        <v>1</v>
      </c>
      <c r="Q263" s="15">
        <v>0.13800000000000001</v>
      </c>
      <c r="R263" s="12">
        <v>179970</v>
      </c>
      <c r="S263" s="12">
        <v>1</v>
      </c>
      <c r="T263" s="12">
        <v>204968</v>
      </c>
      <c r="U263" s="12">
        <v>67790</v>
      </c>
      <c r="V263" s="12">
        <v>1</v>
      </c>
      <c r="W263" s="12">
        <v>138964.99632447984</v>
      </c>
      <c r="X263">
        <v>1</v>
      </c>
      <c r="Y263">
        <v>1</v>
      </c>
      <c r="Z263" s="15">
        <v>0.17376688631447684</v>
      </c>
      <c r="AA263" t="str">
        <f t="shared" si="12"/>
        <v>2-MT</v>
      </c>
      <c r="AB263" s="9">
        <f t="shared" si="13"/>
        <v>827862.00000000012</v>
      </c>
      <c r="AC263" s="9">
        <f t="shared" si="14"/>
        <v>1042427.5510005465</v>
      </c>
    </row>
    <row r="264" spans="1:29" x14ac:dyDescent="0.25">
      <c r="A264" t="s">
        <v>29</v>
      </c>
      <c r="B264">
        <v>30012</v>
      </c>
      <c r="C264" s="8">
        <v>45611</v>
      </c>
      <c r="D264" s="9">
        <v>311500</v>
      </c>
      <c r="E264" s="10">
        <v>2</v>
      </c>
      <c r="F264" t="s">
        <v>142</v>
      </c>
      <c r="G264" s="11">
        <v>6</v>
      </c>
      <c r="H264" t="s">
        <v>31</v>
      </c>
      <c r="J264" s="12">
        <v>0</v>
      </c>
      <c r="L264" t="s">
        <v>32</v>
      </c>
      <c r="M264" s="13">
        <v>6650000</v>
      </c>
      <c r="N264" s="14">
        <v>60</v>
      </c>
      <c r="P264" s="14">
        <v>1</v>
      </c>
      <c r="Q264" s="15">
        <v>0.13800000000000001</v>
      </c>
      <c r="R264" s="12">
        <v>199500</v>
      </c>
      <c r="S264" s="12">
        <v>1</v>
      </c>
      <c r="T264" s="12">
        <v>226125</v>
      </c>
      <c r="U264" s="12">
        <v>74300</v>
      </c>
      <c r="V264" s="12">
        <v>1</v>
      </c>
      <c r="W264" s="12">
        <v>154045.21179493098</v>
      </c>
      <c r="X264">
        <v>1</v>
      </c>
      <c r="Y264">
        <v>1</v>
      </c>
      <c r="Z264" s="15">
        <v>0.17362112164423127</v>
      </c>
      <c r="AA264" t="str">
        <f t="shared" si="12"/>
        <v>2-MT</v>
      </c>
      <c r="AB264" s="9">
        <f t="shared" si="13"/>
        <v>917700.00000000012</v>
      </c>
      <c r="AC264" s="9">
        <f t="shared" si="14"/>
        <v>1154580.4589341378</v>
      </c>
    </row>
    <row r="265" spans="1:29" x14ac:dyDescent="0.25">
      <c r="A265" t="s">
        <v>29</v>
      </c>
      <c r="B265">
        <v>30012</v>
      </c>
      <c r="C265" s="8">
        <v>45580</v>
      </c>
      <c r="D265" s="9">
        <v>311500</v>
      </c>
      <c r="E265" s="10">
        <v>2</v>
      </c>
      <c r="F265" t="s">
        <v>183</v>
      </c>
      <c r="G265" s="11">
        <v>6</v>
      </c>
      <c r="H265" t="s">
        <v>31</v>
      </c>
      <c r="J265" s="12">
        <v>0</v>
      </c>
      <c r="L265" t="s">
        <v>104</v>
      </c>
      <c r="M265" s="13">
        <v>10000000</v>
      </c>
      <c r="N265" s="14">
        <v>60</v>
      </c>
      <c r="P265" s="14">
        <v>1</v>
      </c>
      <c r="Q265" s="15">
        <v>0.13800000000000001</v>
      </c>
      <c r="R265" s="12">
        <v>300000</v>
      </c>
      <c r="S265" s="12">
        <v>1</v>
      </c>
      <c r="T265" s="12">
        <v>340000</v>
      </c>
      <c r="U265" s="12">
        <v>107800</v>
      </c>
      <c r="V265" s="12">
        <v>1</v>
      </c>
      <c r="W265" s="12">
        <v>231646.93502997138</v>
      </c>
      <c r="X265">
        <v>1</v>
      </c>
      <c r="Y265">
        <v>1</v>
      </c>
      <c r="Z265" s="15">
        <v>0.17342221691465151</v>
      </c>
      <c r="AA265" t="str">
        <f t="shared" si="12"/>
        <v>2-MT</v>
      </c>
      <c r="AB265" s="9">
        <f t="shared" si="13"/>
        <v>1380000</v>
      </c>
      <c r="AC265" s="9">
        <f t="shared" si="14"/>
        <v>1734222.1691465152</v>
      </c>
    </row>
    <row r="266" spans="1:29" x14ac:dyDescent="0.25">
      <c r="A266" t="s">
        <v>29</v>
      </c>
      <c r="B266">
        <v>30012</v>
      </c>
      <c r="C266" s="8">
        <v>45569</v>
      </c>
      <c r="D266" s="9">
        <v>311500</v>
      </c>
      <c r="E266" s="10">
        <v>2</v>
      </c>
      <c r="F266" t="s">
        <v>112</v>
      </c>
      <c r="G266" s="11">
        <v>6</v>
      </c>
      <c r="H266" t="s">
        <v>31</v>
      </c>
      <c r="J266" s="12">
        <v>0</v>
      </c>
      <c r="L266" t="s">
        <v>34</v>
      </c>
      <c r="M266" s="13">
        <v>11000000</v>
      </c>
      <c r="N266" s="14">
        <v>60</v>
      </c>
      <c r="P266" s="14">
        <v>1</v>
      </c>
      <c r="Q266" s="15">
        <v>0.13800000000000001</v>
      </c>
      <c r="R266" s="12">
        <v>330000</v>
      </c>
      <c r="S266" s="12">
        <v>1</v>
      </c>
      <c r="T266" s="12">
        <v>372500</v>
      </c>
      <c r="U266" s="12">
        <v>117800</v>
      </c>
      <c r="V266" s="12">
        <v>1</v>
      </c>
      <c r="W266" s="12">
        <v>254811.62853296852</v>
      </c>
      <c r="X266">
        <v>1</v>
      </c>
      <c r="Y266">
        <v>1</v>
      </c>
      <c r="Z266" s="15">
        <v>0.17331833798306925</v>
      </c>
      <c r="AA266" t="str">
        <f t="shared" si="12"/>
        <v>2-MT</v>
      </c>
      <c r="AB266" s="9">
        <f t="shared" si="13"/>
        <v>1518000.0000000002</v>
      </c>
      <c r="AC266" s="9">
        <f t="shared" si="14"/>
        <v>1906501.7178137619</v>
      </c>
    </row>
    <row r="267" spans="1:29" x14ac:dyDescent="0.25">
      <c r="A267" t="s">
        <v>29</v>
      </c>
      <c r="B267">
        <v>30012</v>
      </c>
      <c r="C267" s="8">
        <v>45616</v>
      </c>
      <c r="D267" s="9">
        <v>311500</v>
      </c>
      <c r="E267" s="10">
        <v>2</v>
      </c>
      <c r="F267" t="s">
        <v>188</v>
      </c>
      <c r="G267" s="11">
        <v>6</v>
      </c>
      <c r="H267" t="s">
        <v>31</v>
      </c>
      <c r="J267" s="12">
        <v>0</v>
      </c>
      <c r="L267" t="s">
        <v>32</v>
      </c>
      <c r="M267" s="13">
        <v>4420000</v>
      </c>
      <c r="N267" s="14">
        <v>60</v>
      </c>
      <c r="P267" s="14">
        <v>1</v>
      </c>
      <c r="Q267" s="15">
        <v>0.13800000000000001</v>
      </c>
      <c r="R267" s="12">
        <v>136600</v>
      </c>
      <c r="S267" s="12">
        <v>1</v>
      </c>
      <c r="T267" s="12">
        <v>135832</v>
      </c>
      <c r="U267" s="12">
        <v>52000</v>
      </c>
      <c r="V267" s="12">
        <v>1</v>
      </c>
      <c r="W267" s="12">
        <v>102387.94528324735</v>
      </c>
      <c r="X267">
        <v>1</v>
      </c>
      <c r="Y267">
        <v>1</v>
      </c>
      <c r="Z267" s="15">
        <v>0.17273169263373744</v>
      </c>
      <c r="AA267" t="str">
        <f t="shared" si="12"/>
        <v>2-MT</v>
      </c>
      <c r="AB267" s="9">
        <f t="shared" si="13"/>
        <v>609960</v>
      </c>
      <c r="AC267" s="9">
        <f t="shared" si="14"/>
        <v>763474.08144111955</v>
      </c>
    </row>
    <row r="268" spans="1:29" x14ac:dyDescent="0.25">
      <c r="A268" t="s">
        <v>29</v>
      </c>
      <c r="B268">
        <v>30012</v>
      </c>
      <c r="C268" s="8">
        <v>45581</v>
      </c>
      <c r="D268" s="9">
        <v>311500</v>
      </c>
      <c r="E268" s="10">
        <v>2</v>
      </c>
      <c r="F268" t="s">
        <v>166</v>
      </c>
      <c r="G268" s="11">
        <v>6</v>
      </c>
      <c r="H268" t="s">
        <v>31</v>
      </c>
      <c r="J268" s="12">
        <v>0</v>
      </c>
      <c r="L268" t="s">
        <v>104</v>
      </c>
      <c r="M268" s="13">
        <v>3600000</v>
      </c>
      <c r="N268" s="14">
        <v>60</v>
      </c>
      <c r="P268" s="14">
        <v>1</v>
      </c>
      <c r="Q268" s="15">
        <v>0.13800000000000001</v>
      </c>
      <c r="R268" s="12">
        <v>108000</v>
      </c>
      <c r="S268" s="12">
        <v>1</v>
      </c>
      <c r="T268" s="12">
        <v>111560</v>
      </c>
      <c r="U268" s="12">
        <v>43800</v>
      </c>
      <c r="V268" s="12">
        <v>1</v>
      </c>
      <c r="W268" s="12">
        <v>83392.896610789699</v>
      </c>
      <c r="X268">
        <v>1</v>
      </c>
      <c r="Y268">
        <v>1</v>
      </c>
      <c r="Z268" s="15">
        <v>0.17260900107617094</v>
      </c>
      <c r="AA268" t="str">
        <f t="shared" si="12"/>
        <v>2-MT</v>
      </c>
      <c r="AB268" s="9">
        <f t="shared" si="13"/>
        <v>496800.00000000006</v>
      </c>
      <c r="AC268" s="9">
        <f t="shared" si="14"/>
        <v>621392.40387421544</v>
      </c>
    </row>
    <row r="269" spans="1:29" x14ac:dyDescent="0.25">
      <c r="A269" t="s">
        <v>29</v>
      </c>
      <c r="B269">
        <v>30012</v>
      </c>
      <c r="C269" s="8">
        <v>45596</v>
      </c>
      <c r="D269" s="9">
        <v>311500</v>
      </c>
      <c r="E269" s="10">
        <v>2</v>
      </c>
      <c r="F269" t="s">
        <v>80</v>
      </c>
      <c r="G269" s="11">
        <v>6</v>
      </c>
      <c r="H269" t="s">
        <v>31</v>
      </c>
      <c r="J269" s="12">
        <v>0</v>
      </c>
      <c r="L269" t="s">
        <v>32</v>
      </c>
      <c r="M269" s="13">
        <v>3900000</v>
      </c>
      <c r="N269" s="14">
        <v>60</v>
      </c>
      <c r="P269" s="14">
        <v>1</v>
      </c>
      <c r="Q269" s="15">
        <v>0.13800000000000001</v>
      </c>
      <c r="R269" s="12">
        <v>117000</v>
      </c>
      <c r="S269" s="12">
        <v>1</v>
      </c>
      <c r="T269" s="12">
        <v>120440</v>
      </c>
      <c r="U269" s="12">
        <v>46800</v>
      </c>
      <c r="V269" s="12">
        <v>1</v>
      </c>
      <c r="W269" s="12">
        <v>90342.304661688846</v>
      </c>
      <c r="X269">
        <v>1</v>
      </c>
      <c r="Y269">
        <v>1</v>
      </c>
      <c r="Z269" s="15">
        <v>0.17247228593308433</v>
      </c>
      <c r="AA269" t="str">
        <f t="shared" si="12"/>
        <v>2-MT</v>
      </c>
      <c r="AB269" s="9">
        <f t="shared" si="13"/>
        <v>538200</v>
      </c>
      <c r="AC269" s="9">
        <f t="shared" si="14"/>
        <v>672641.91513902892</v>
      </c>
    </row>
    <row r="270" spans="1:29" x14ac:dyDescent="0.25">
      <c r="A270" t="s">
        <v>29</v>
      </c>
      <c r="B270">
        <v>30012</v>
      </c>
      <c r="C270" s="8">
        <v>45589</v>
      </c>
      <c r="D270" s="9">
        <v>311500</v>
      </c>
      <c r="E270" s="10">
        <v>2</v>
      </c>
      <c r="F270" t="s">
        <v>42</v>
      </c>
      <c r="G270" s="11">
        <v>6</v>
      </c>
      <c r="H270" t="s">
        <v>31</v>
      </c>
      <c r="J270" s="12">
        <v>0</v>
      </c>
      <c r="L270" t="s">
        <v>34</v>
      </c>
      <c r="M270" s="13">
        <v>4100000</v>
      </c>
      <c r="N270" s="14">
        <v>60</v>
      </c>
      <c r="P270" s="14">
        <v>1</v>
      </c>
      <c r="Q270" s="15">
        <v>0.13800000000000001</v>
      </c>
      <c r="R270" s="12">
        <v>123000</v>
      </c>
      <c r="S270" s="12">
        <v>1</v>
      </c>
      <c r="T270" s="12">
        <v>126360</v>
      </c>
      <c r="U270" s="12">
        <v>48800</v>
      </c>
      <c r="V270" s="12">
        <v>1</v>
      </c>
      <c r="W270" s="12">
        <v>94975.243362288267</v>
      </c>
      <c r="X270">
        <v>1</v>
      </c>
      <c r="Y270">
        <v>1</v>
      </c>
      <c r="Z270" s="15">
        <v>0.17239228482274266</v>
      </c>
      <c r="AA270" t="str">
        <f t="shared" si="12"/>
        <v>2-MT</v>
      </c>
      <c r="AB270" s="9">
        <f t="shared" si="13"/>
        <v>565800</v>
      </c>
      <c r="AC270" s="9">
        <f t="shared" si="14"/>
        <v>706808.36777324486</v>
      </c>
    </row>
    <row r="271" spans="1:29" x14ac:dyDescent="0.25">
      <c r="A271" t="s">
        <v>29</v>
      </c>
      <c r="B271">
        <v>30012</v>
      </c>
      <c r="C271" s="8">
        <v>45604</v>
      </c>
      <c r="D271" s="9">
        <v>311500</v>
      </c>
      <c r="E271" s="10">
        <v>2</v>
      </c>
      <c r="F271" t="s">
        <v>89</v>
      </c>
      <c r="G271" s="11">
        <v>6</v>
      </c>
      <c r="H271" t="s">
        <v>31</v>
      </c>
      <c r="J271" s="12">
        <v>0</v>
      </c>
      <c r="L271" t="s">
        <v>32</v>
      </c>
      <c r="M271" s="13">
        <v>4100000</v>
      </c>
      <c r="N271" s="14">
        <v>60</v>
      </c>
      <c r="P271" s="14">
        <v>1</v>
      </c>
      <c r="Q271" s="15">
        <v>0.13800000000000001</v>
      </c>
      <c r="R271" s="12">
        <v>123000</v>
      </c>
      <c r="S271" s="12">
        <v>1</v>
      </c>
      <c r="T271" s="12">
        <v>126360</v>
      </c>
      <c r="U271" s="12">
        <v>48800</v>
      </c>
      <c r="V271" s="12">
        <v>1</v>
      </c>
      <c r="W271" s="12">
        <v>94975.243362288267</v>
      </c>
      <c r="X271">
        <v>1</v>
      </c>
      <c r="Y271">
        <v>1</v>
      </c>
      <c r="Z271" s="15">
        <v>0.17239228482274266</v>
      </c>
      <c r="AA271" t="str">
        <f t="shared" si="12"/>
        <v>2-MT</v>
      </c>
      <c r="AB271" s="9">
        <f t="shared" si="13"/>
        <v>565800</v>
      </c>
      <c r="AC271" s="9">
        <f t="shared" si="14"/>
        <v>706808.36777324486</v>
      </c>
    </row>
    <row r="272" spans="1:29" x14ac:dyDescent="0.25">
      <c r="A272" t="s">
        <v>29</v>
      </c>
      <c r="B272">
        <v>30012</v>
      </c>
      <c r="C272" s="8">
        <v>45603</v>
      </c>
      <c r="D272" s="9">
        <v>311500</v>
      </c>
      <c r="E272" s="10">
        <v>2</v>
      </c>
      <c r="F272" t="s">
        <v>194</v>
      </c>
      <c r="G272" s="11">
        <v>6</v>
      </c>
      <c r="H272" t="s">
        <v>31</v>
      </c>
      <c r="J272" s="12">
        <v>0</v>
      </c>
      <c r="L272" t="s">
        <v>32</v>
      </c>
      <c r="M272" s="13">
        <v>4195000</v>
      </c>
      <c r="N272" s="14">
        <v>60</v>
      </c>
      <c r="P272" s="14">
        <v>1</v>
      </c>
      <c r="Q272" s="15">
        <v>0.13800000000000001</v>
      </c>
      <c r="R272" s="12">
        <v>125850</v>
      </c>
      <c r="S272" s="12">
        <v>1</v>
      </c>
      <c r="T272" s="12">
        <v>129172</v>
      </c>
      <c r="U272" s="12">
        <v>49750</v>
      </c>
      <c r="V272" s="12">
        <v>1</v>
      </c>
      <c r="W272" s="12">
        <v>97175.889245073005</v>
      </c>
      <c r="X272">
        <v>1</v>
      </c>
      <c r="Y272">
        <v>1</v>
      </c>
      <c r="Z272" s="15">
        <v>0.17235696296719102</v>
      </c>
      <c r="AA272" t="str">
        <f t="shared" si="12"/>
        <v>2-MT</v>
      </c>
      <c r="AB272" s="9">
        <f t="shared" si="13"/>
        <v>578910</v>
      </c>
      <c r="AC272" s="9">
        <f t="shared" si="14"/>
        <v>723037.45964736631</v>
      </c>
    </row>
    <row r="273" spans="1:29" x14ac:dyDescent="0.25">
      <c r="A273" t="s">
        <v>29</v>
      </c>
      <c r="B273">
        <v>30012</v>
      </c>
      <c r="C273" s="8">
        <v>45632</v>
      </c>
      <c r="D273" s="9">
        <v>311500</v>
      </c>
      <c r="E273" s="10">
        <v>2</v>
      </c>
      <c r="F273" t="s">
        <v>77</v>
      </c>
      <c r="G273" s="11">
        <v>6</v>
      </c>
      <c r="H273" t="s">
        <v>31</v>
      </c>
      <c r="J273" s="12">
        <v>0</v>
      </c>
      <c r="L273" t="s">
        <v>32</v>
      </c>
      <c r="M273" s="13">
        <v>4200000</v>
      </c>
      <c r="N273" s="14">
        <v>60</v>
      </c>
      <c r="P273" s="14">
        <v>1</v>
      </c>
      <c r="Q273" s="15">
        <v>0.13800000000000001</v>
      </c>
      <c r="R273" s="12">
        <v>126000</v>
      </c>
      <c r="S273" s="12">
        <v>1</v>
      </c>
      <c r="T273" s="12">
        <v>129320</v>
      </c>
      <c r="U273" s="12">
        <v>49800</v>
      </c>
      <c r="V273" s="12">
        <v>1</v>
      </c>
      <c r="W273" s="12">
        <v>97291.712712587992</v>
      </c>
      <c r="X273">
        <v>1</v>
      </c>
      <c r="Y273">
        <v>1</v>
      </c>
      <c r="Z273" s="15">
        <v>0.17235514829111473</v>
      </c>
      <c r="AA273" t="str">
        <f t="shared" si="12"/>
        <v>2-MT</v>
      </c>
      <c r="AB273" s="9">
        <f t="shared" si="13"/>
        <v>579600</v>
      </c>
      <c r="AC273" s="9">
        <f t="shared" si="14"/>
        <v>723891.62282268191</v>
      </c>
    </row>
    <row r="274" spans="1:29" x14ac:dyDescent="0.25">
      <c r="A274" t="s">
        <v>29</v>
      </c>
      <c r="B274">
        <v>30012</v>
      </c>
      <c r="C274" s="8">
        <v>45569</v>
      </c>
      <c r="D274" s="9">
        <v>311500</v>
      </c>
      <c r="E274" s="10">
        <v>2</v>
      </c>
      <c r="F274" t="s">
        <v>150</v>
      </c>
      <c r="G274" s="11">
        <v>6</v>
      </c>
      <c r="H274" t="s">
        <v>31</v>
      </c>
      <c r="J274" s="12">
        <v>0</v>
      </c>
      <c r="L274" t="s">
        <v>32</v>
      </c>
      <c r="M274" s="13">
        <v>4200000</v>
      </c>
      <c r="N274" s="14">
        <v>60</v>
      </c>
      <c r="P274" s="14">
        <v>1</v>
      </c>
      <c r="Q274" s="15">
        <v>0.13800000000000001</v>
      </c>
      <c r="R274" s="12">
        <v>126000</v>
      </c>
      <c r="S274" s="12">
        <v>1</v>
      </c>
      <c r="T274" s="12">
        <v>129320</v>
      </c>
      <c r="U274" s="12">
        <v>49800</v>
      </c>
      <c r="V274" s="12">
        <v>1</v>
      </c>
      <c r="W274" s="12">
        <v>97291.712712587992</v>
      </c>
      <c r="X274">
        <v>1</v>
      </c>
      <c r="Y274">
        <v>1</v>
      </c>
      <c r="Z274" s="15">
        <v>0.17235514829111473</v>
      </c>
      <c r="AA274" t="str">
        <f t="shared" si="12"/>
        <v>2-MT</v>
      </c>
      <c r="AB274" s="9">
        <f t="shared" si="13"/>
        <v>579600</v>
      </c>
      <c r="AC274" s="9">
        <f t="shared" si="14"/>
        <v>723891.62282268191</v>
      </c>
    </row>
    <row r="275" spans="1:29" x14ac:dyDescent="0.25">
      <c r="A275" t="s">
        <v>29</v>
      </c>
      <c r="B275">
        <v>30012</v>
      </c>
      <c r="C275" s="8">
        <v>45632</v>
      </c>
      <c r="D275" s="9">
        <v>311500</v>
      </c>
      <c r="E275" s="10">
        <v>2</v>
      </c>
      <c r="F275" t="s">
        <v>190</v>
      </c>
      <c r="G275" s="11">
        <v>6</v>
      </c>
      <c r="H275" t="s">
        <v>31</v>
      </c>
      <c r="J275" s="12">
        <v>0</v>
      </c>
      <c r="L275" t="s">
        <v>36</v>
      </c>
      <c r="M275" s="13">
        <v>4200000</v>
      </c>
      <c r="N275" s="14">
        <v>60</v>
      </c>
      <c r="P275" s="14">
        <v>1</v>
      </c>
      <c r="Q275" s="15">
        <v>0.13800000000000001</v>
      </c>
      <c r="R275" s="12">
        <v>126000</v>
      </c>
      <c r="S275" s="12">
        <v>1</v>
      </c>
      <c r="T275" s="12">
        <v>129320</v>
      </c>
      <c r="U275" s="12">
        <v>49800</v>
      </c>
      <c r="V275" s="12">
        <v>1</v>
      </c>
      <c r="W275" s="12">
        <v>97291.712712587992</v>
      </c>
      <c r="X275">
        <v>1</v>
      </c>
      <c r="Y275">
        <v>1</v>
      </c>
      <c r="Z275" s="15">
        <v>0.17235514829111473</v>
      </c>
      <c r="AA275" t="str">
        <f t="shared" si="12"/>
        <v>2-MT</v>
      </c>
      <c r="AB275" s="9">
        <f t="shared" si="13"/>
        <v>579600</v>
      </c>
      <c r="AC275" s="9">
        <f t="shared" si="14"/>
        <v>723891.62282268191</v>
      </c>
    </row>
    <row r="276" spans="1:29" x14ac:dyDescent="0.25">
      <c r="A276" t="s">
        <v>29</v>
      </c>
      <c r="B276">
        <v>30012</v>
      </c>
      <c r="C276" s="8">
        <v>45604</v>
      </c>
      <c r="D276" s="9">
        <v>311500</v>
      </c>
      <c r="E276" s="10">
        <v>2</v>
      </c>
      <c r="F276" t="s">
        <v>148</v>
      </c>
      <c r="G276" s="11">
        <v>6</v>
      </c>
      <c r="H276" t="s">
        <v>31</v>
      </c>
      <c r="J276" s="12">
        <v>0</v>
      </c>
      <c r="L276" t="s">
        <v>32</v>
      </c>
      <c r="M276" s="13">
        <v>4200000</v>
      </c>
      <c r="N276" s="14">
        <v>60</v>
      </c>
      <c r="P276" s="14">
        <v>1</v>
      </c>
      <c r="Q276" s="15">
        <v>0.13800000000000001</v>
      </c>
      <c r="R276" s="12">
        <v>126000</v>
      </c>
      <c r="S276" s="12">
        <v>1</v>
      </c>
      <c r="T276" s="12">
        <v>129320</v>
      </c>
      <c r="U276" s="12">
        <v>49800</v>
      </c>
      <c r="V276" s="12">
        <v>1</v>
      </c>
      <c r="W276" s="12">
        <v>97291.712712587992</v>
      </c>
      <c r="X276">
        <v>1</v>
      </c>
      <c r="Y276">
        <v>1</v>
      </c>
      <c r="Z276" s="15">
        <v>0.17235514829111473</v>
      </c>
      <c r="AA276" t="str">
        <f t="shared" si="12"/>
        <v>2-MT</v>
      </c>
      <c r="AB276" s="9">
        <f t="shared" si="13"/>
        <v>579600</v>
      </c>
      <c r="AC276" s="9">
        <f t="shared" si="14"/>
        <v>723891.62282268191</v>
      </c>
    </row>
    <row r="277" spans="1:29" x14ac:dyDescent="0.25">
      <c r="A277" t="s">
        <v>29</v>
      </c>
      <c r="B277">
        <v>30012</v>
      </c>
      <c r="C277" s="8">
        <v>45573</v>
      </c>
      <c r="D277" s="9">
        <v>311500</v>
      </c>
      <c r="E277" s="10">
        <v>2</v>
      </c>
      <c r="F277" t="s">
        <v>88</v>
      </c>
      <c r="G277" s="11">
        <v>6</v>
      </c>
      <c r="H277" t="s">
        <v>31</v>
      </c>
      <c r="J277" s="12">
        <v>0</v>
      </c>
      <c r="L277" t="s">
        <v>32</v>
      </c>
      <c r="M277" s="13">
        <v>4300000</v>
      </c>
      <c r="N277" s="14">
        <v>60</v>
      </c>
      <c r="P277" s="14">
        <v>1</v>
      </c>
      <c r="Q277" s="15">
        <v>0.13800000000000001</v>
      </c>
      <c r="R277" s="12">
        <v>129000</v>
      </c>
      <c r="S277" s="12">
        <v>1</v>
      </c>
      <c r="T277" s="12">
        <v>132280</v>
      </c>
      <c r="U277" s="12">
        <v>50800</v>
      </c>
      <c r="V277" s="12">
        <v>1</v>
      </c>
      <c r="W277" s="12">
        <v>99608.182062887703</v>
      </c>
      <c r="X277">
        <v>1</v>
      </c>
      <c r="Y277">
        <v>1</v>
      </c>
      <c r="Z277" s="15">
        <v>0.17231974307908754</v>
      </c>
      <c r="AA277" t="str">
        <f t="shared" si="12"/>
        <v>2-MT</v>
      </c>
      <c r="AB277" s="9">
        <f t="shared" si="13"/>
        <v>593400</v>
      </c>
      <c r="AC277" s="9">
        <f t="shared" si="14"/>
        <v>740974.89524007647</v>
      </c>
    </row>
    <row r="278" spans="1:29" x14ac:dyDescent="0.25">
      <c r="A278" t="s">
        <v>29</v>
      </c>
      <c r="B278">
        <v>30012</v>
      </c>
      <c r="C278" s="8">
        <v>45623</v>
      </c>
      <c r="D278" s="9">
        <v>311500</v>
      </c>
      <c r="E278" s="10">
        <v>2</v>
      </c>
      <c r="F278" t="s">
        <v>194</v>
      </c>
      <c r="G278" s="11">
        <v>6</v>
      </c>
      <c r="H278" t="s">
        <v>31</v>
      </c>
      <c r="J278" s="12">
        <v>0</v>
      </c>
      <c r="L278" t="s">
        <v>32</v>
      </c>
      <c r="M278" s="13">
        <v>4300000</v>
      </c>
      <c r="N278" s="14">
        <v>60</v>
      </c>
      <c r="P278" s="14">
        <v>1</v>
      </c>
      <c r="Q278" s="15">
        <v>0.13800000000000001</v>
      </c>
      <c r="R278" s="12">
        <v>129000</v>
      </c>
      <c r="S278" s="12">
        <v>1</v>
      </c>
      <c r="T278" s="12">
        <v>132280</v>
      </c>
      <c r="U278" s="12">
        <v>50800</v>
      </c>
      <c r="V278" s="12">
        <v>1</v>
      </c>
      <c r="W278" s="12">
        <v>99608.182062887703</v>
      </c>
      <c r="X278">
        <v>1</v>
      </c>
      <c r="Y278">
        <v>1</v>
      </c>
      <c r="Z278" s="15">
        <v>0.17231974307908754</v>
      </c>
      <c r="AA278" t="str">
        <f t="shared" si="12"/>
        <v>2-MT</v>
      </c>
      <c r="AB278" s="9">
        <f t="shared" si="13"/>
        <v>593400</v>
      </c>
      <c r="AC278" s="9">
        <f t="shared" si="14"/>
        <v>740974.89524007647</v>
      </c>
    </row>
    <row r="279" spans="1:29" x14ac:dyDescent="0.25">
      <c r="A279" t="s">
        <v>29</v>
      </c>
      <c r="B279">
        <v>30012</v>
      </c>
      <c r="C279" s="8">
        <v>45566</v>
      </c>
      <c r="D279" s="9">
        <v>311500</v>
      </c>
      <c r="E279" s="10">
        <v>2</v>
      </c>
      <c r="F279" t="s">
        <v>84</v>
      </c>
      <c r="G279" s="11">
        <v>6</v>
      </c>
      <c r="H279" t="s">
        <v>31</v>
      </c>
      <c r="J279" s="12">
        <v>0</v>
      </c>
      <c r="L279" t="s">
        <v>32</v>
      </c>
      <c r="M279" s="13">
        <v>4400000</v>
      </c>
      <c r="N279" s="14">
        <v>60</v>
      </c>
      <c r="P279" s="14">
        <v>1</v>
      </c>
      <c r="Q279" s="15">
        <v>0.13800000000000001</v>
      </c>
      <c r="R279" s="12">
        <v>132000</v>
      </c>
      <c r="S279" s="12">
        <v>1</v>
      </c>
      <c r="T279" s="12">
        <v>135240</v>
      </c>
      <c r="U279" s="12">
        <v>51800</v>
      </c>
      <c r="V279" s="12">
        <v>1</v>
      </c>
      <c r="W279" s="12">
        <v>101924.65141318741</v>
      </c>
      <c r="X279">
        <v>1</v>
      </c>
      <c r="Y279">
        <v>1</v>
      </c>
      <c r="Z279" s="15">
        <v>0.17228595087227555</v>
      </c>
      <c r="AA279" t="str">
        <f t="shared" si="12"/>
        <v>2-MT</v>
      </c>
      <c r="AB279" s="9">
        <f t="shared" si="13"/>
        <v>607200</v>
      </c>
      <c r="AC279" s="9">
        <f t="shared" si="14"/>
        <v>758058.1838380124</v>
      </c>
    </row>
    <row r="280" spans="1:29" x14ac:dyDescent="0.25">
      <c r="A280" t="s">
        <v>29</v>
      </c>
      <c r="B280">
        <v>30012</v>
      </c>
      <c r="C280" s="8">
        <v>45587</v>
      </c>
      <c r="D280" s="9">
        <v>311500</v>
      </c>
      <c r="E280" s="10">
        <v>2</v>
      </c>
      <c r="F280" t="s">
        <v>69</v>
      </c>
      <c r="G280" s="11">
        <v>6</v>
      </c>
      <c r="H280" t="s">
        <v>31</v>
      </c>
      <c r="J280" s="12">
        <v>0</v>
      </c>
      <c r="L280" t="s">
        <v>34</v>
      </c>
      <c r="M280" s="13">
        <v>4430000</v>
      </c>
      <c r="N280" s="14">
        <v>60</v>
      </c>
      <c r="P280" s="14">
        <v>1</v>
      </c>
      <c r="Q280" s="15">
        <v>0.13800000000000001</v>
      </c>
      <c r="R280" s="12">
        <v>132900</v>
      </c>
      <c r="S280" s="12">
        <v>1</v>
      </c>
      <c r="T280" s="12">
        <v>136128</v>
      </c>
      <c r="U280" s="12">
        <v>52100</v>
      </c>
      <c r="V280" s="12">
        <v>1</v>
      </c>
      <c r="W280" s="12">
        <v>102619.59221827734</v>
      </c>
      <c r="X280">
        <v>1</v>
      </c>
      <c r="Y280">
        <v>1</v>
      </c>
      <c r="Z280" s="15">
        <v>0.17227611137885568</v>
      </c>
      <c r="AA280" t="str">
        <f t="shared" si="12"/>
        <v>2-MT</v>
      </c>
      <c r="AB280" s="9">
        <f t="shared" si="13"/>
        <v>611340</v>
      </c>
      <c r="AC280" s="9">
        <f t="shared" si="14"/>
        <v>763183.17340833065</v>
      </c>
    </row>
    <row r="281" spans="1:29" x14ac:dyDescent="0.25">
      <c r="A281" t="s">
        <v>29</v>
      </c>
      <c r="B281">
        <v>30012</v>
      </c>
      <c r="C281" s="8">
        <v>45595</v>
      </c>
      <c r="D281" s="9">
        <v>311500</v>
      </c>
      <c r="E281" s="10">
        <v>2</v>
      </c>
      <c r="F281" t="s">
        <v>30</v>
      </c>
      <c r="G281" s="11">
        <v>6</v>
      </c>
      <c r="H281" t="s">
        <v>31</v>
      </c>
      <c r="J281" s="12">
        <v>0</v>
      </c>
      <c r="L281" t="s">
        <v>38</v>
      </c>
      <c r="M281" s="13">
        <v>4600000</v>
      </c>
      <c r="N281" s="14">
        <v>60</v>
      </c>
      <c r="P281" s="14">
        <v>1</v>
      </c>
      <c r="Q281" s="15">
        <v>0.13800000000000001</v>
      </c>
      <c r="R281" s="12">
        <v>138000</v>
      </c>
      <c r="S281" s="12">
        <v>1</v>
      </c>
      <c r="T281" s="12">
        <v>141160</v>
      </c>
      <c r="U281" s="12">
        <v>53800</v>
      </c>
      <c r="V281" s="12">
        <v>1</v>
      </c>
      <c r="W281" s="12">
        <v>106557.59011378685</v>
      </c>
      <c r="X281">
        <v>1</v>
      </c>
      <c r="Y281">
        <v>1</v>
      </c>
      <c r="Z281" s="15">
        <v>0.17222278377025291</v>
      </c>
      <c r="AA281" t="str">
        <f t="shared" si="12"/>
        <v>2-MT</v>
      </c>
      <c r="AB281" s="9">
        <f t="shared" si="13"/>
        <v>634800</v>
      </c>
      <c r="AC281" s="9">
        <f t="shared" si="14"/>
        <v>792224.80534316332</v>
      </c>
    </row>
    <row r="282" spans="1:29" x14ac:dyDescent="0.25">
      <c r="A282" t="s">
        <v>29</v>
      </c>
      <c r="B282">
        <v>30012</v>
      </c>
      <c r="C282" s="8">
        <v>45607</v>
      </c>
      <c r="D282" s="9">
        <v>311500</v>
      </c>
      <c r="E282" s="10">
        <v>2</v>
      </c>
      <c r="F282" t="s">
        <v>195</v>
      </c>
      <c r="G282" s="11">
        <v>6</v>
      </c>
      <c r="H282" t="s">
        <v>31</v>
      </c>
      <c r="J282" s="12">
        <v>0</v>
      </c>
      <c r="L282" t="s">
        <v>32</v>
      </c>
      <c r="M282" s="13">
        <v>4650000</v>
      </c>
      <c r="N282" s="14">
        <v>60</v>
      </c>
      <c r="P282" s="14">
        <v>1</v>
      </c>
      <c r="Q282" s="15">
        <v>0.13800000000000001</v>
      </c>
      <c r="R282" s="12">
        <v>139500</v>
      </c>
      <c r="S282" s="12">
        <v>1</v>
      </c>
      <c r="T282" s="12">
        <v>142640</v>
      </c>
      <c r="U282" s="12">
        <v>54300</v>
      </c>
      <c r="V282" s="12">
        <v>1</v>
      </c>
      <c r="W282" s="12">
        <v>107715.82478893669</v>
      </c>
      <c r="X282">
        <v>1</v>
      </c>
      <c r="Y282">
        <v>1</v>
      </c>
      <c r="Z282" s="15">
        <v>0.17220784285030458</v>
      </c>
      <c r="AA282" t="str">
        <f t="shared" si="12"/>
        <v>2-MT</v>
      </c>
      <c r="AB282" s="9">
        <f t="shared" si="13"/>
        <v>641700</v>
      </c>
      <c r="AC282" s="9">
        <f t="shared" si="14"/>
        <v>800766.46925391629</v>
      </c>
    </row>
    <row r="283" spans="1:29" x14ac:dyDescent="0.25">
      <c r="A283" t="s">
        <v>29</v>
      </c>
      <c r="B283">
        <v>30012</v>
      </c>
      <c r="C283" s="8">
        <v>45618</v>
      </c>
      <c r="D283" s="9">
        <v>311500</v>
      </c>
      <c r="E283" s="10">
        <v>2</v>
      </c>
      <c r="F283" t="s">
        <v>196</v>
      </c>
      <c r="G283" s="11">
        <v>6</v>
      </c>
      <c r="H283" t="s">
        <v>31</v>
      </c>
      <c r="J283" s="12">
        <v>0</v>
      </c>
      <c r="L283" t="s">
        <v>32</v>
      </c>
      <c r="M283" s="13">
        <v>4700000</v>
      </c>
      <c r="N283" s="14">
        <v>60</v>
      </c>
      <c r="P283" s="14">
        <v>1</v>
      </c>
      <c r="Q283" s="15">
        <v>0.13800000000000001</v>
      </c>
      <c r="R283" s="12">
        <v>141000</v>
      </c>
      <c r="S283" s="12">
        <v>1</v>
      </c>
      <c r="T283" s="12">
        <v>144120</v>
      </c>
      <c r="U283" s="12">
        <v>54800</v>
      </c>
      <c r="V283" s="12">
        <v>1</v>
      </c>
      <c r="W283" s="12">
        <v>108874.05946408656</v>
      </c>
      <c r="X283">
        <v>1</v>
      </c>
      <c r="Y283">
        <v>1</v>
      </c>
      <c r="Z283" s="15">
        <v>0.17219322050213154</v>
      </c>
      <c r="AA283" t="str">
        <f t="shared" si="12"/>
        <v>2-MT</v>
      </c>
      <c r="AB283" s="9">
        <f t="shared" si="13"/>
        <v>648600</v>
      </c>
      <c r="AC283" s="9">
        <f t="shared" si="14"/>
        <v>809308.13636001828</v>
      </c>
    </row>
    <row r="284" spans="1:29" x14ac:dyDescent="0.25">
      <c r="A284" t="s">
        <v>29</v>
      </c>
      <c r="B284">
        <v>30012</v>
      </c>
      <c r="C284" s="8">
        <v>45610</v>
      </c>
      <c r="D284" s="9">
        <v>311500</v>
      </c>
      <c r="E284" s="10">
        <v>2</v>
      </c>
      <c r="F284" t="s">
        <v>149</v>
      </c>
      <c r="G284" s="11">
        <v>6</v>
      </c>
      <c r="H284" t="s">
        <v>31</v>
      </c>
      <c r="J284" s="12">
        <v>0</v>
      </c>
      <c r="L284" t="s">
        <v>32</v>
      </c>
      <c r="M284" s="13">
        <v>4800000</v>
      </c>
      <c r="N284" s="14">
        <v>60</v>
      </c>
      <c r="P284" s="14">
        <v>1</v>
      </c>
      <c r="Q284" s="15">
        <v>0.13800000000000001</v>
      </c>
      <c r="R284" s="12">
        <v>144000</v>
      </c>
      <c r="S284" s="12">
        <v>1</v>
      </c>
      <c r="T284" s="12">
        <v>147080</v>
      </c>
      <c r="U284" s="12">
        <v>55800</v>
      </c>
      <c r="V284" s="12">
        <v>1</v>
      </c>
      <c r="W284" s="12">
        <v>111190.52881438627</v>
      </c>
      <c r="X284">
        <v>1</v>
      </c>
      <c r="Y284">
        <v>1</v>
      </c>
      <c r="Z284" s="15">
        <v>0.17216489161619292</v>
      </c>
      <c r="AA284" t="str">
        <f t="shared" si="12"/>
        <v>2-MT</v>
      </c>
      <c r="AB284" s="9">
        <f t="shared" si="13"/>
        <v>662400</v>
      </c>
      <c r="AC284" s="9">
        <f t="shared" si="14"/>
        <v>826391.47975772596</v>
      </c>
    </row>
    <row r="285" spans="1:29" x14ac:dyDescent="0.25">
      <c r="A285" t="s">
        <v>29</v>
      </c>
      <c r="B285">
        <v>30012</v>
      </c>
      <c r="C285" s="8">
        <v>45596</v>
      </c>
      <c r="D285" s="9">
        <v>311500</v>
      </c>
      <c r="E285" s="10">
        <v>2</v>
      </c>
      <c r="F285" t="s">
        <v>85</v>
      </c>
      <c r="G285" s="11">
        <v>6</v>
      </c>
      <c r="H285" t="s">
        <v>31</v>
      </c>
      <c r="J285" s="12">
        <v>0</v>
      </c>
      <c r="L285" t="s">
        <v>34</v>
      </c>
      <c r="M285" s="13">
        <v>4835000</v>
      </c>
      <c r="N285" s="14">
        <v>60</v>
      </c>
      <c r="P285" s="14">
        <v>1</v>
      </c>
      <c r="Q285" s="15">
        <v>0.13800000000000001</v>
      </c>
      <c r="R285" s="12">
        <v>145050</v>
      </c>
      <c r="S285" s="12">
        <v>1</v>
      </c>
      <c r="T285" s="12">
        <v>148116</v>
      </c>
      <c r="U285" s="12">
        <v>56150</v>
      </c>
      <c r="V285" s="12">
        <v>1</v>
      </c>
      <c r="W285" s="12">
        <v>112001.29308699118</v>
      </c>
      <c r="X285">
        <v>1</v>
      </c>
      <c r="Y285">
        <v>1</v>
      </c>
      <c r="Z285" s="15">
        <v>0.17215525392541131</v>
      </c>
      <c r="AA285" t="str">
        <f t="shared" si="12"/>
        <v>2-MT</v>
      </c>
      <c r="AB285" s="9">
        <f t="shared" si="13"/>
        <v>667230</v>
      </c>
      <c r="AC285" s="9">
        <f t="shared" si="14"/>
        <v>832370.65272936365</v>
      </c>
    </row>
    <row r="286" spans="1:29" x14ac:dyDescent="0.25">
      <c r="A286" t="s">
        <v>29</v>
      </c>
      <c r="B286">
        <v>30012</v>
      </c>
      <c r="C286" s="8">
        <v>45650</v>
      </c>
      <c r="D286" s="9">
        <v>311500</v>
      </c>
      <c r="E286" s="10">
        <v>2</v>
      </c>
      <c r="F286" t="s">
        <v>93</v>
      </c>
      <c r="G286" s="11">
        <v>6</v>
      </c>
      <c r="H286" t="s">
        <v>31</v>
      </c>
      <c r="J286" s="12">
        <v>0</v>
      </c>
      <c r="L286" t="s">
        <v>32</v>
      </c>
      <c r="M286" s="13">
        <v>4865000</v>
      </c>
      <c r="N286" s="14">
        <v>60</v>
      </c>
      <c r="P286" s="14">
        <v>1</v>
      </c>
      <c r="Q286" s="15">
        <v>0.13800000000000001</v>
      </c>
      <c r="R286" s="12">
        <v>145950</v>
      </c>
      <c r="S286" s="12">
        <v>1</v>
      </c>
      <c r="T286" s="12">
        <v>149004</v>
      </c>
      <c r="U286" s="12">
        <v>56450</v>
      </c>
      <c r="V286" s="12">
        <v>1</v>
      </c>
      <c r="W286" s="12">
        <v>112696.23389208107</v>
      </c>
      <c r="X286">
        <v>1</v>
      </c>
      <c r="Y286">
        <v>1</v>
      </c>
      <c r="Z286" s="15">
        <v>0.17214710364704738</v>
      </c>
      <c r="AA286" t="str">
        <f t="shared" si="12"/>
        <v>2-MT</v>
      </c>
      <c r="AB286" s="9">
        <f t="shared" si="13"/>
        <v>671370</v>
      </c>
      <c r="AC286" s="9">
        <f t="shared" si="14"/>
        <v>837495.65924288554</v>
      </c>
    </row>
    <row r="287" spans="1:29" x14ac:dyDescent="0.25">
      <c r="A287" t="s">
        <v>29</v>
      </c>
      <c r="B287">
        <v>30012</v>
      </c>
      <c r="C287" s="8">
        <v>45623</v>
      </c>
      <c r="D287" s="9">
        <v>311500</v>
      </c>
      <c r="E287" s="10">
        <v>2</v>
      </c>
      <c r="F287" t="s">
        <v>191</v>
      </c>
      <c r="G287" s="11">
        <v>6</v>
      </c>
      <c r="H287" t="s">
        <v>31</v>
      </c>
      <c r="J287" s="12">
        <v>0</v>
      </c>
      <c r="L287" t="s">
        <v>32</v>
      </c>
      <c r="M287" s="13">
        <v>4900000</v>
      </c>
      <c r="N287" s="14">
        <v>60</v>
      </c>
      <c r="P287" s="14">
        <v>1</v>
      </c>
      <c r="Q287" s="15">
        <v>0.13800000000000001</v>
      </c>
      <c r="R287" s="12">
        <v>147000</v>
      </c>
      <c r="S287" s="12">
        <v>1</v>
      </c>
      <c r="T287" s="12">
        <v>150040</v>
      </c>
      <c r="U287" s="12">
        <v>56800</v>
      </c>
      <c r="V287" s="12">
        <v>1</v>
      </c>
      <c r="W287" s="12">
        <v>113506.998164686</v>
      </c>
      <c r="X287">
        <v>1</v>
      </c>
      <c r="Y287">
        <v>1</v>
      </c>
      <c r="Z287" s="15">
        <v>0.17213772138293665</v>
      </c>
      <c r="AA287" t="str">
        <f t="shared" si="12"/>
        <v>2-MT</v>
      </c>
      <c r="AB287" s="9">
        <f t="shared" si="13"/>
        <v>676200</v>
      </c>
      <c r="AC287" s="9">
        <f t="shared" si="14"/>
        <v>843474.83477638953</v>
      </c>
    </row>
    <row r="288" spans="1:29" x14ac:dyDescent="0.25">
      <c r="A288" t="s">
        <v>29</v>
      </c>
      <c r="B288">
        <v>30012</v>
      </c>
      <c r="C288" s="8">
        <v>45589</v>
      </c>
      <c r="D288" s="9">
        <v>311500</v>
      </c>
      <c r="E288" s="10">
        <v>2</v>
      </c>
      <c r="F288" t="s">
        <v>33</v>
      </c>
      <c r="G288" s="11">
        <v>6</v>
      </c>
      <c r="H288" t="s">
        <v>31</v>
      </c>
      <c r="J288" s="12">
        <v>0</v>
      </c>
      <c r="L288" t="s">
        <v>36</v>
      </c>
      <c r="M288" s="13">
        <v>4900000</v>
      </c>
      <c r="N288" s="14">
        <v>60</v>
      </c>
      <c r="P288" s="14">
        <v>1</v>
      </c>
      <c r="Q288" s="15">
        <v>0.13800000000000001</v>
      </c>
      <c r="R288" s="12">
        <v>147000</v>
      </c>
      <c r="S288" s="12">
        <v>1</v>
      </c>
      <c r="T288" s="12">
        <v>150040</v>
      </c>
      <c r="U288" s="12">
        <v>56800</v>
      </c>
      <c r="V288" s="12">
        <v>1</v>
      </c>
      <c r="W288" s="12">
        <v>113506.998164686</v>
      </c>
      <c r="X288">
        <v>1</v>
      </c>
      <c r="Y288">
        <v>1</v>
      </c>
      <c r="Z288" s="15">
        <v>0.17213772138293665</v>
      </c>
      <c r="AA288" t="str">
        <f t="shared" si="12"/>
        <v>2-MT</v>
      </c>
      <c r="AB288" s="9">
        <f t="shared" si="13"/>
        <v>676200</v>
      </c>
      <c r="AC288" s="9">
        <f t="shared" si="14"/>
        <v>843474.83477638953</v>
      </c>
    </row>
    <row r="289" spans="1:29" x14ac:dyDescent="0.25">
      <c r="A289" t="s">
        <v>29</v>
      </c>
      <c r="B289">
        <v>30012</v>
      </c>
      <c r="C289" s="8">
        <v>45568</v>
      </c>
      <c r="D289" s="9">
        <v>311500</v>
      </c>
      <c r="E289" s="10">
        <v>2</v>
      </c>
      <c r="F289" t="s">
        <v>103</v>
      </c>
      <c r="G289" s="11">
        <v>6</v>
      </c>
      <c r="H289" t="s">
        <v>31</v>
      </c>
      <c r="J289" s="12">
        <v>0</v>
      </c>
      <c r="L289" t="s">
        <v>104</v>
      </c>
      <c r="M289" s="13">
        <v>3000000</v>
      </c>
      <c r="N289" s="14">
        <v>36</v>
      </c>
      <c r="P289" s="14">
        <v>1</v>
      </c>
      <c r="Q289" s="15">
        <v>0.128</v>
      </c>
      <c r="R289" s="12">
        <v>75000</v>
      </c>
      <c r="S289" s="12">
        <v>1</v>
      </c>
      <c r="T289" s="12">
        <v>68500</v>
      </c>
      <c r="U289" s="12">
        <v>37800</v>
      </c>
      <c r="V289" s="12">
        <v>1</v>
      </c>
      <c r="W289" s="12">
        <v>100793.10079492707</v>
      </c>
      <c r="X289">
        <v>1</v>
      </c>
      <c r="Y289">
        <v>1</v>
      </c>
      <c r="Z289" s="15">
        <v>0.17212788380717328</v>
      </c>
      <c r="AA289" t="str">
        <f t="shared" si="12"/>
        <v>2-MT</v>
      </c>
      <c r="AB289" s="9">
        <f t="shared" si="13"/>
        <v>384000</v>
      </c>
      <c r="AC289" s="9">
        <f t="shared" si="14"/>
        <v>516383.65142151987</v>
      </c>
    </row>
    <row r="290" spans="1:29" x14ac:dyDescent="0.25">
      <c r="A290" t="s">
        <v>29</v>
      </c>
      <c r="B290">
        <v>30012</v>
      </c>
      <c r="C290" s="8">
        <v>45596</v>
      </c>
      <c r="D290" s="9">
        <v>311500</v>
      </c>
      <c r="E290" s="10">
        <v>2</v>
      </c>
      <c r="F290" t="s">
        <v>51</v>
      </c>
      <c r="G290" s="11">
        <v>6</v>
      </c>
      <c r="H290" t="s">
        <v>31</v>
      </c>
      <c r="J290" s="12">
        <v>0</v>
      </c>
      <c r="L290" t="s">
        <v>32</v>
      </c>
      <c r="M290" s="13">
        <v>4940000</v>
      </c>
      <c r="N290" s="14">
        <v>60</v>
      </c>
      <c r="P290" s="14">
        <v>1</v>
      </c>
      <c r="Q290" s="15">
        <v>0.13800000000000001</v>
      </c>
      <c r="R290" s="12">
        <v>148200</v>
      </c>
      <c r="S290" s="12">
        <v>1</v>
      </c>
      <c r="T290" s="12">
        <v>151224</v>
      </c>
      <c r="U290" s="12">
        <v>57200</v>
      </c>
      <c r="V290" s="12">
        <v>1</v>
      </c>
      <c r="W290" s="12">
        <v>114433.58590480588</v>
      </c>
      <c r="X290">
        <v>1</v>
      </c>
      <c r="Y290">
        <v>1</v>
      </c>
      <c r="Z290" s="15">
        <v>0.17212716191887151</v>
      </c>
      <c r="AA290" t="str">
        <f t="shared" si="12"/>
        <v>2-MT</v>
      </c>
      <c r="AB290" s="9">
        <f t="shared" si="13"/>
        <v>681720</v>
      </c>
      <c r="AC290" s="9">
        <f t="shared" si="14"/>
        <v>850308.17987922521</v>
      </c>
    </row>
    <row r="291" spans="1:29" x14ac:dyDescent="0.25">
      <c r="A291" t="s">
        <v>29</v>
      </c>
      <c r="B291">
        <v>30012</v>
      </c>
      <c r="C291" s="8">
        <v>45566</v>
      </c>
      <c r="D291" s="9">
        <v>311500</v>
      </c>
      <c r="E291" s="10">
        <v>2</v>
      </c>
      <c r="F291" t="s">
        <v>147</v>
      </c>
      <c r="G291" s="11">
        <v>6</v>
      </c>
      <c r="H291" t="s">
        <v>31</v>
      </c>
      <c r="J291" s="12">
        <v>0</v>
      </c>
      <c r="L291" t="s">
        <v>32</v>
      </c>
      <c r="M291" s="13">
        <v>4950000</v>
      </c>
      <c r="N291" s="14">
        <v>60</v>
      </c>
      <c r="P291" s="14">
        <v>1</v>
      </c>
      <c r="Q291" s="15">
        <v>0.13800000000000001</v>
      </c>
      <c r="R291" s="12">
        <v>148500</v>
      </c>
      <c r="S291" s="12">
        <v>1</v>
      </c>
      <c r="T291" s="12">
        <v>151520</v>
      </c>
      <c r="U291" s="12">
        <v>57300</v>
      </c>
      <c r="V291" s="12">
        <v>1</v>
      </c>
      <c r="W291" s="12">
        <v>114665.23283983584</v>
      </c>
      <c r="X291">
        <v>1</v>
      </c>
      <c r="Y291">
        <v>1</v>
      </c>
      <c r="Z291" s="15">
        <v>0.17212454877230693</v>
      </c>
      <c r="AA291" t="str">
        <f t="shared" si="12"/>
        <v>2-MT</v>
      </c>
      <c r="AB291" s="9">
        <f t="shared" si="13"/>
        <v>683100</v>
      </c>
      <c r="AC291" s="9">
        <f t="shared" si="14"/>
        <v>852016.51642291935</v>
      </c>
    </row>
    <row r="292" spans="1:29" x14ac:dyDescent="0.25">
      <c r="A292" t="s">
        <v>29</v>
      </c>
      <c r="B292">
        <v>30012</v>
      </c>
      <c r="C292" s="8">
        <v>45582</v>
      </c>
      <c r="D292" s="9">
        <v>311500</v>
      </c>
      <c r="E292" s="10">
        <v>2</v>
      </c>
      <c r="F292" t="s">
        <v>164</v>
      </c>
      <c r="G292" s="11">
        <v>6</v>
      </c>
      <c r="H292" t="s">
        <v>31</v>
      </c>
      <c r="J292" s="12">
        <v>0</v>
      </c>
      <c r="L292" t="s">
        <v>34</v>
      </c>
      <c r="M292" s="13">
        <v>5000000</v>
      </c>
      <c r="N292" s="14">
        <v>60</v>
      </c>
      <c r="P292" s="14">
        <v>1</v>
      </c>
      <c r="Q292" s="15">
        <v>0.13800000000000001</v>
      </c>
      <c r="R292" s="12">
        <v>150000</v>
      </c>
      <c r="S292" s="12">
        <v>1</v>
      </c>
      <c r="T292" s="12">
        <v>153000</v>
      </c>
      <c r="U292" s="12">
        <v>57800</v>
      </c>
      <c r="V292" s="12">
        <v>1</v>
      </c>
      <c r="W292" s="12">
        <v>115823.46751498569</v>
      </c>
      <c r="X292">
        <v>1</v>
      </c>
      <c r="Y292">
        <v>1</v>
      </c>
      <c r="Z292" s="15">
        <v>0.17211164014339994</v>
      </c>
      <c r="AA292" t="str">
        <f t="shared" si="12"/>
        <v>2-MT</v>
      </c>
      <c r="AB292" s="9">
        <f t="shared" si="13"/>
        <v>690000</v>
      </c>
      <c r="AC292" s="9">
        <f t="shared" si="14"/>
        <v>860558.20071699971</v>
      </c>
    </row>
    <row r="293" spans="1:29" x14ac:dyDescent="0.25">
      <c r="A293" t="s">
        <v>29</v>
      </c>
      <c r="B293">
        <v>30012</v>
      </c>
      <c r="C293" s="8">
        <v>45602</v>
      </c>
      <c r="D293" s="9">
        <v>311500</v>
      </c>
      <c r="E293" s="10">
        <v>2</v>
      </c>
      <c r="F293" t="s">
        <v>75</v>
      </c>
      <c r="G293" s="11">
        <v>6</v>
      </c>
      <c r="H293" t="s">
        <v>31</v>
      </c>
      <c r="J293" s="12">
        <v>0</v>
      </c>
      <c r="L293" t="s">
        <v>32</v>
      </c>
      <c r="M293" s="13">
        <v>4100000</v>
      </c>
      <c r="N293" s="14">
        <v>60</v>
      </c>
      <c r="P293" s="14">
        <v>1</v>
      </c>
      <c r="Q293" s="15">
        <v>0.13800000000000001</v>
      </c>
      <c r="R293" s="12">
        <v>123000</v>
      </c>
      <c r="S293" s="12">
        <v>1</v>
      </c>
      <c r="T293" s="12">
        <v>123360</v>
      </c>
      <c r="U293" s="12">
        <v>48800</v>
      </c>
      <c r="V293" s="12">
        <v>1</v>
      </c>
      <c r="W293" s="12">
        <v>94975.243362288267</v>
      </c>
      <c r="X293">
        <v>1</v>
      </c>
      <c r="Y293">
        <v>1</v>
      </c>
      <c r="Z293" s="15">
        <v>0.17202691076204951</v>
      </c>
      <c r="AA293" t="str">
        <f t="shared" si="12"/>
        <v>2-MT</v>
      </c>
      <c r="AB293" s="9">
        <f t="shared" si="13"/>
        <v>565800</v>
      </c>
      <c r="AC293" s="9">
        <f t="shared" si="14"/>
        <v>705310.33412440296</v>
      </c>
    </row>
    <row r="294" spans="1:29" x14ac:dyDescent="0.25">
      <c r="A294" t="s">
        <v>29</v>
      </c>
      <c r="B294">
        <v>30012</v>
      </c>
      <c r="C294" s="8">
        <v>45569</v>
      </c>
      <c r="D294" s="9">
        <v>311500</v>
      </c>
      <c r="E294" s="10">
        <v>2</v>
      </c>
      <c r="F294" t="s">
        <v>59</v>
      </c>
      <c r="G294" s="11">
        <v>6</v>
      </c>
      <c r="H294" t="s">
        <v>31</v>
      </c>
      <c r="J294" s="12">
        <v>0</v>
      </c>
      <c r="L294" t="s">
        <v>32</v>
      </c>
      <c r="M294" s="13">
        <v>5600000</v>
      </c>
      <c r="N294" s="14">
        <v>60</v>
      </c>
      <c r="P294" s="14">
        <v>1</v>
      </c>
      <c r="Q294" s="15">
        <v>0.13800000000000001</v>
      </c>
      <c r="R294" s="12">
        <v>168000</v>
      </c>
      <c r="S294" s="12">
        <v>1</v>
      </c>
      <c r="T294" s="12">
        <v>170760</v>
      </c>
      <c r="U294" s="12">
        <v>63800</v>
      </c>
      <c r="V294" s="12">
        <v>1</v>
      </c>
      <c r="W294" s="12">
        <v>129722.28361678399</v>
      </c>
      <c r="X294">
        <v>1</v>
      </c>
      <c r="Y294">
        <v>1</v>
      </c>
      <c r="Z294" s="15">
        <v>0.17197474872953705</v>
      </c>
      <c r="AA294" t="str">
        <f t="shared" si="12"/>
        <v>2-MT</v>
      </c>
      <c r="AB294" s="9">
        <f t="shared" si="13"/>
        <v>772800.00000000012</v>
      </c>
      <c r="AC294" s="9">
        <f t="shared" si="14"/>
        <v>963058.5928854075</v>
      </c>
    </row>
    <row r="295" spans="1:29" x14ac:dyDescent="0.25">
      <c r="A295" t="s">
        <v>29</v>
      </c>
      <c r="B295">
        <v>30012</v>
      </c>
      <c r="C295" s="8">
        <v>45615</v>
      </c>
      <c r="D295" s="9">
        <v>311500</v>
      </c>
      <c r="E295" s="10">
        <v>2</v>
      </c>
      <c r="F295" t="s">
        <v>30</v>
      </c>
      <c r="G295" s="11">
        <v>6</v>
      </c>
      <c r="H295" t="s">
        <v>31</v>
      </c>
      <c r="J295" s="12">
        <v>0</v>
      </c>
      <c r="L295" t="s">
        <v>34</v>
      </c>
      <c r="M295" s="13">
        <v>6200000</v>
      </c>
      <c r="N295" s="14">
        <v>60</v>
      </c>
      <c r="P295" s="14">
        <v>1</v>
      </c>
      <c r="Q295" s="15">
        <v>0.13800000000000001</v>
      </c>
      <c r="R295" s="12">
        <v>186000</v>
      </c>
      <c r="S295" s="12">
        <v>1</v>
      </c>
      <c r="T295" s="12">
        <v>188520</v>
      </c>
      <c r="U295" s="12">
        <v>69800</v>
      </c>
      <c r="V295" s="12">
        <v>1</v>
      </c>
      <c r="W295" s="12">
        <v>143621.09971858226</v>
      </c>
      <c r="X295">
        <v>1</v>
      </c>
      <c r="Y295">
        <v>1</v>
      </c>
      <c r="Z295" s="15">
        <v>0.1718643953506272</v>
      </c>
      <c r="AA295" t="str">
        <f t="shared" si="12"/>
        <v>2-MT</v>
      </c>
      <c r="AB295" s="9">
        <f t="shared" si="13"/>
        <v>855600.00000000012</v>
      </c>
      <c r="AC295" s="9">
        <f t="shared" si="14"/>
        <v>1065559.2511738886</v>
      </c>
    </row>
    <row r="296" spans="1:29" x14ac:dyDescent="0.25">
      <c r="A296" t="s">
        <v>29</v>
      </c>
      <c r="B296">
        <v>30012</v>
      </c>
      <c r="C296" s="8">
        <v>45611</v>
      </c>
      <c r="D296" s="9">
        <v>311500</v>
      </c>
      <c r="E296" s="10">
        <v>2</v>
      </c>
      <c r="F296" t="s">
        <v>134</v>
      </c>
      <c r="G296" s="11">
        <v>6</v>
      </c>
      <c r="H296" t="s">
        <v>31</v>
      </c>
      <c r="J296" s="12">
        <v>0</v>
      </c>
      <c r="L296" t="s">
        <v>32</v>
      </c>
      <c r="M296" s="13">
        <v>6800000</v>
      </c>
      <c r="N296" s="14">
        <v>60</v>
      </c>
      <c r="P296" s="14">
        <v>1</v>
      </c>
      <c r="Q296" s="15">
        <v>0.13800000000000001</v>
      </c>
      <c r="R296" s="12">
        <v>204000</v>
      </c>
      <c r="S296" s="12">
        <v>1</v>
      </c>
      <c r="T296" s="12">
        <v>206280</v>
      </c>
      <c r="U296" s="12">
        <v>75800</v>
      </c>
      <c r="V296" s="12">
        <v>1</v>
      </c>
      <c r="W296" s="12">
        <v>157519.91582038056</v>
      </c>
      <c r="X296">
        <v>1</v>
      </c>
      <c r="Y296">
        <v>1</v>
      </c>
      <c r="Z296" s="15">
        <v>0.17177354485479152</v>
      </c>
      <c r="AA296" t="str">
        <f t="shared" si="12"/>
        <v>2-MT</v>
      </c>
      <c r="AB296" s="9">
        <f t="shared" si="13"/>
        <v>938400.00000000012</v>
      </c>
      <c r="AC296" s="9">
        <f t="shared" si="14"/>
        <v>1168060.1050125824</v>
      </c>
    </row>
    <row r="297" spans="1:29" x14ac:dyDescent="0.25">
      <c r="A297" t="s">
        <v>29</v>
      </c>
      <c r="B297">
        <v>30012</v>
      </c>
      <c r="C297" s="8">
        <v>45632</v>
      </c>
      <c r="D297" s="9">
        <v>321620</v>
      </c>
      <c r="E297" s="10">
        <v>2</v>
      </c>
      <c r="F297" t="s">
        <v>149</v>
      </c>
      <c r="G297" s="11">
        <v>6</v>
      </c>
      <c r="H297" t="s">
        <v>31</v>
      </c>
      <c r="J297" s="12">
        <v>0</v>
      </c>
      <c r="L297" t="s">
        <v>38</v>
      </c>
      <c r="M297" s="13">
        <v>800000</v>
      </c>
      <c r="N297" s="14">
        <v>12</v>
      </c>
      <c r="P297" s="14">
        <v>1</v>
      </c>
      <c r="Q297" s="15">
        <v>0.11</v>
      </c>
      <c r="R297" s="12">
        <v>16000</v>
      </c>
      <c r="S297" s="12">
        <v>1</v>
      </c>
      <c r="T297" s="12">
        <v>0</v>
      </c>
      <c r="U297" s="12">
        <v>9300</v>
      </c>
      <c r="V297" s="12">
        <v>1</v>
      </c>
      <c r="W297" s="12">
        <v>70705.326817283232</v>
      </c>
      <c r="X297">
        <v>1</v>
      </c>
      <c r="Y297">
        <v>1</v>
      </c>
      <c r="Z297" s="15">
        <v>0.1713326919857196</v>
      </c>
      <c r="AA297" t="str">
        <f t="shared" si="12"/>
        <v>1-CT</v>
      </c>
      <c r="AB297" s="9">
        <f t="shared" si="13"/>
        <v>88000</v>
      </c>
      <c r="AC297" s="9">
        <f t="shared" si="14"/>
        <v>137066.15358857569</v>
      </c>
    </row>
    <row r="298" spans="1:29" x14ac:dyDescent="0.25">
      <c r="A298" t="s">
        <v>29</v>
      </c>
      <c r="B298">
        <v>30012</v>
      </c>
      <c r="C298" s="8">
        <v>45596</v>
      </c>
      <c r="D298" s="9">
        <v>311500</v>
      </c>
      <c r="E298" s="10">
        <v>2</v>
      </c>
      <c r="F298" t="s">
        <v>59</v>
      </c>
      <c r="G298" s="11">
        <v>6</v>
      </c>
      <c r="H298" t="s">
        <v>31</v>
      </c>
      <c r="J298" s="12">
        <v>0</v>
      </c>
      <c r="L298" t="s">
        <v>32</v>
      </c>
      <c r="M298" s="13">
        <v>5500000</v>
      </c>
      <c r="N298" s="14">
        <v>60</v>
      </c>
      <c r="P298" s="14">
        <v>1</v>
      </c>
      <c r="Q298" s="15">
        <v>0.13800000000000001</v>
      </c>
      <c r="R298" s="12">
        <v>165000</v>
      </c>
      <c r="S298" s="12">
        <v>1</v>
      </c>
      <c r="T298" s="12">
        <v>167800</v>
      </c>
      <c r="U298" s="12">
        <v>55000</v>
      </c>
      <c r="V298" s="12">
        <v>1</v>
      </c>
      <c r="W298" s="12">
        <v>127405.81426648426</v>
      </c>
      <c r="X298">
        <v>1</v>
      </c>
      <c r="Y298">
        <v>1</v>
      </c>
      <c r="Z298" s="15">
        <v>0.17128858808862787</v>
      </c>
      <c r="AA298" t="str">
        <f t="shared" si="12"/>
        <v>2-MT</v>
      </c>
      <c r="AB298" s="9">
        <f t="shared" si="13"/>
        <v>759000.00000000012</v>
      </c>
      <c r="AC298" s="9">
        <f t="shared" si="14"/>
        <v>942087.23448745336</v>
      </c>
    </row>
    <row r="299" spans="1:29" x14ac:dyDescent="0.25">
      <c r="A299" t="s">
        <v>29</v>
      </c>
      <c r="B299">
        <v>30012</v>
      </c>
      <c r="C299" s="8">
        <v>45638</v>
      </c>
      <c r="D299" s="9">
        <v>321620</v>
      </c>
      <c r="E299" s="10">
        <v>2</v>
      </c>
      <c r="F299" t="s">
        <v>197</v>
      </c>
      <c r="G299" s="11">
        <v>6</v>
      </c>
      <c r="H299" t="s">
        <v>31</v>
      </c>
      <c r="J299" s="12">
        <v>0</v>
      </c>
      <c r="L299" t="s">
        <v>32</v>
      </c>
      <c r="M299" s="13">
        <v>1600000</v>
      </c>
      <c r="N299" s="14">
        <v>12</v>
      </c>
      <c r="P299" s="14">
        <v>1</v>
      </c>
      <c r="Q299" s="15">
        <v>0.11</v>
      </c>
      <c r="R299" s="12">
        <v>32000</v>
      </c>
      <c r="S299" s="12">
        <v>1</v>
      </c>
      <c r="T299" s="12">
        <v>0</v>
      </c>
      <c r="U299" s="12">
        <v>17300</v>
      </c>
      <c r="V299" s="12">
        <v>1</v>
      </c>
      <c r="W299" s="12">
        <v>141410.65363456646</v>
      </c>
      <c r="X299">
        <v>1</v>
      </c>
      <c r="Y299">
        <v>1</v>
      </c>
      <c r="Z299" s="15">
        <v>0.16972067017827616</v>
      </c>
      <c r="AA299" t="str">
        <f t="shared" si="12"/>
        <v>1-CT</v>
      </c>
      <c r="AB299" s="9">
        <f t="shared" si="13"/>
        <v>176000</v>
      </c>
      <c r="AC299" s="9">
        <f t="shared" si="14"/>
        <v>271553.07228524185</v>
      </c>
    </row>
    <row r="300" spans="1:29" x14ac:dyDescent="0.25">
      <c r="A300" t="s">
        <v>29</v>
      </c>
      <c r="B300">
        <v>30012</v>
      </c>
      <c r="C300" s="8">
        <v>45611</v>
      </c>
      <c r="D300" s="9">
        <v>311500</v>
      </c>
      <c r="E300" s="10">
        <v>2</v>
      </c>
      <c r="F300" t="s">
        <v>48</v>
      </c>
      <c r="G300" s="11">
        <v>6</v>
      </c>
      <c r="H300" t="s">
        <v>31</v>
      </c>
      <c r="J300" s="12">
        <v>0</v>
      </c>
      <c r="L300" t="s">
        <v>32</v>
      </c>
      <c r="M300" s="13">
        <v>2700000</v>
      </c>
      <c r="N300" s="14">
        <v>36</v>
      </c>
      <c r="P300" s="14">
        <v>1</v>
      </c>
      <c r="Q300" s="15">
        <v>0.128</v>
      </c>
      <c r="R300" s="12">
        <v>67500</v>
      </c>
      <c r="S300" s="12">
        <v>1</v>
      </c>
      <c r="T300" s="12">
        <v>50360</v>
      </c>
      <c r="U300" s="12">
        <v>34800</v>
      </c>
      <c r="V300" s="12">
        <v>1</v>
      </c>
      <c r="W300" s="12">
        <v>90713.79071543437</v>
      </c>
      <c r="X300">
        <v>1</v>
      </c>
      <c r="Y300">
        <v>1</v>
      </c>
      <c r="Z300" s="15">
        <v>0.16916496306253304</v>
      </c>
      <c r="AA300" t="str">
        <f t="shared" si="12"/>
        <v>2-MT</v>
      </c>
      <c r="AB300" s="9">
        <f t="shared" si="13"/>
        <v>345600</v>
      </c>
      <c r="AC300" s="9">
        <f t="shared" si="14"/>
        <v>456745.40026883921</v>
      </c>
    </row>
    <row r="301" spans="1:29" x14ac:dyDescent="0.25">
      <c r="A301" t="s">
        <v>29</v>
      </c>
      <c r="B301">
        <v>30012</v>
      </c>
      <c r="C301" s="8">
        <v>45574</v>
      </c>
      <c r="D301" s="9">
        <v>311500</v>
      </c>
      <c r="E301" s="10">
        <v>2</v>
      </c>
      <c r="F301" t="s">
        <v>33</v>
      </c>
      <c r="G301" s="11">
        <v>6</v>
      </c>
      <c r="H301" t="s">
        <v>31</v>
      </c>
      <c r="J301" s="12">
        <v>0</v>
      </c>
      <c r="L301" t="s">
        <v>32</v>
      </c>
      <c r="M301" s="13">
        <v>6100000</v>
      </c>
      <c r="N301" s="14">
        <v>84</v>
      </c>
      <c r="P301" s="14">
        <v>1</v>
      </c>
      <c r="Q301" s="15">
        <v>0.13800000000000001</v>
      </c>
      <c r="R301" s="12">
        <v>183000</v>
      </c>
      <c r="S301" s="12">
        <v>1</v>
      </c>
      <c r="T301" s="12">
        <v>273400</v>
      </c>
      <c r="U301" s="12">
        <v>68800</v>
      </c>
      <c r="V301" s="12">
        <v>1</v>
      </c>
      <c r="W301" s="12">
        <v>113641.18430678034</v>
      </c>
      <c r="X301">
        <v>1</v>
      </c>
      <c r="Y301">
        <v>1</v>
      </c>
      <c r="Z301" s="15">
        <v>0.16911687054782373</v>
      </c>
      <c r="AA301" t="str">
        <f t="shared" si="12"/>
        <v>3-LT</v>
      </c>
      <c r="AB301" s="9">
        <f t="shared" si="13"/>
        <v>841800.00000000012</v>
      </c>
      <c r="AC301" s="9">
        <f t="shared" si="14"/>
        <v>1031612.9103417248</v>
      </c>
    </row>
    <row r="302" spans="1:29" x14ac:dyDescent="0.25">
      <c r="A302" t="s">
        <v>29</v>
      </c>
      <c r="B302">
        <v>30012</v>
      </c>
      <c r="C302" s="8">
        <v>45575</v>
      </c>
      <c r="D302" s="9">
        <v>311500</v>
      </c>
      <c r="E302" s="10">
        <v>2</v>
      </c>
      <c r="F302" t="s">
        <v>63</v>
      </c>
      <c r="G302" s="11">
        <v>6</v>
      </c>
      <c r="H302" t="s">
        <v>31</v>
      </c>
      <c r="J302" s="12">
        <v>0</v>
      </c>
      <c r="L302" t="s">
        <v>38</v>
      </c>
      <c r="M302" s="13">
        <v>3100000</v>
      </c>
      <c r="N302" s="14">
        <v>36</v>
      </c>
      <c r="P302" s="14">
        <v>1</v>
      </c>
      <c r="Q302" s="15">
        <v>0.125</v>
      </c>
      <c r="R302" s="12">
        <v>77500</v>
      </c>
      <c r="S302" s="12">
        <v>1</v>
      </c>
      <c r="T302" s="12">
        <v>70450</v>
      </c>
      <c r="U302" s="12">
        <v>38800</v>
      </c>
      <c r="V302" s="12">
        <v>1</v>
      </c>
      <c r="W302" s="12">
        <v>103706.23928782123</v>
      </c>
      <c r="X302">
        <v>1</v>
      </c>
      <c r="Y302">
        <v>1</v>
      </c>
      <c r="Z302" s="15">
        <v>0.16890239787956984</v>
      </c>
      <c r="AA302" t="str">
        <f t="shared" si="12"/>
        <v>2-MT</v>
      </c>
      <c r="AB302" s="9">
        <f t="shared" si="13"/>
        <v>387500</v>
      </c>
      <c r="AC302" s="9">
        <f t="shared" si="14"/>
        <v>523597.43342666654</v>
      </c>
    </row>
    <row r="303" spans="1:29" x14ac:dyDescent="0.25">
      <c r="A303" t="s">
        <v>29</v>
      </c>
      <c r="B303">
        <v>30012</v>
      </c>
      <c r="C303" s="8">
        <v>45657</v>
      </c>
      <c r="D303" s="9">
        <v>311500</v>
      </c>
      <c r="E303" s="10">
        <v>2</v>
      </c>
      <c r="F303" t="s">
        <v>157</v>
      </c>
      <c r="G303" s="11">
        <v>6</v>
      </c>
      <c r="H303" t="s">
        <v>31</v>
      </c>
      <c r="J303" s="12">
        <v>0</v>
      </c>
      <c r="L303" t="s">
        <v>36</v>
      </c>
      <c r="M303" s="13">
        <v>4700000</v>
      </c>
      <c r="N303" s="14">
        <v>60</v>
      </c>
      <c r="P303" s="14">
        <v>1</v>
      </c>
      <c r="Q303" s="15">
        <v>0.13800000000000001</v>
      </c>
      <c r="R303" s="12">
        <v>94000</v>
      </c>
      <c r="S303" s="12">
        <v>1</v>
      </c>
      <c r="T303" s="12">
        <v>144120</v>
      </c>
      <c r="U303" s="12">
        <v>54800</v>
      </c>
      <c r="V303" s="12">
        <v>1</v>
      </c>
      <c r="W303" s="12">
        <v>108874.05946408656</v>
      </c>
      <c r="X303">
        <v>1</v>
      </c>
      <c r="Y303">
        <v>1</v>
      </c>
      <c r="Z303" s="15">
        <v>0.16723887176014401</v>
      </c>
      <c r="AA303" t="str">
        <f t="shared" si="12"/>
        <v>2-MT</v>
      </c>
      <c r="AB303" s="9">
        <f t="shared" si="13"/>
        <v>648600</v>
      </c>
      <c r="AC303" s="9">
        <f t="shared" si="14"/>
        <v>786022.69727267686</v>
      </c>
    </row>
    <row r="304" spans="1:29" x14ac:dyDescent="0.25">
      <c r="A304" t="s">
        <v>29</v>
      </c>
      <c r="B304">
        <v>30012</v>
      </c>
      <c r="C304" s="8">
        <v>45653</v>
      </c>
      <c r="D304" s="9">
        <v>311500</v>
      </c>
      <c r="E304" s="10">
        <v>2</v>
      </c>
      <c r="F304" t="s">
        <v>50</v>
      </c>
      <c r="G304" s="11">
        <v>6</v>
      </c>
      <c r="H304" t="s">
        <v>31</v>
      </c>
      <c r="J304" s="12">
        <v>0</v>
      </c>
      <c r="L304" t="s">
        <v>32</v>
      </c>
      <c r="M304" s="13">
        <v>5250000</v>
      </c>
      <c r="N304" s="14">
        <v>60</v>
      </c>
      <c r="P304" s="14">
        <v>1</v>
      </c>
      <c r="Q304" s="15">
        <v>0.13800000000000001</v>
      </c>
      <c r="R304" s="12">
        <v>105000</v>
      </c>
      <c r="S304" s="12">
        <v>1</v>
      </c>
      <c r="T304" s="12">
        <v>160400</v>
      </c>
      <c r="U304" s="12">
        <v>60300</v>
      </c>
      <c r="V304" s="12">
        <v>1</v>
      </c>
      <c r="W304" s="12">
        <v>121614.64089073498</v>
      </c>
      <c r="X304">
        <v>1</v>
      </c>
      <c r="Y304">
        <v>1</v>
      </c>
      <c r="Z304" s="15">
        <v>0.16709864842084815</v>
      </c>
      <c r="AA304" t="str">
        <f t="shared" si="12"/>
        <v>2-MT</v>
      </c>
      <c r="AB304" s="9">
        <f t="shared" si="13"/>
        <v>724500.00000000012</v>
      </c>
      <c r="AC304" s="9">
        <f t="shared" si="14"/>
        <v>877267.9042094528</v>
      </c>
    </row>
    <row r="305" spans="1:29" x14ac:dyDescent="0.25">
      <c r="A305" t="s">
        <v>29</v>
      </c>
      <c r="B305">
        <v>30012</v>
      </c>
      <c r="C305" s="8">
        <v>45617</v>
      </c>
      <c r="D305" s="9">
        <v>311500</v>
      </c>
      <c r="E305" s="10">
        <v>2</v>
      </c>
      <c r="F305" t="s">
        <v>120</v>
      </c>
      <c r="G305" s="11">
        <v>6</v>
      </c>
      <c r="H305" t="s">
        <v>31</v>
      </c>
      <c r="J305" s="12">
        <v>0</v>
      </c>
      <c r="L305" t="s">
        <v>32</v>
      </c>
      <c r="M305" s="13">
        <v>3890000</v>
      </c>
      <c r="N305" s="14">
        <v>44</v>
      </c>
      <c r="P305" s="14">
        <v>1</v>
      </c>
      <c r="Q305" s="15">
        <v>0.128</v>
      </c>
      <c r="R305" s="12">
        <v>97250</v>
      </c>
      <c r="S305" s="12">
        <v>1</v>
      </c>
      <c r="T305" s="12">
        <v>102712</v>
      </c>
      <c r="U305" s="12">
        <v>46700</v>
      </c>
      <c r="V305" s="12">
        <v>1</v>
      </c>
      <c r="W305" s="12">
        <v>111234.86170667342</v>
      </c>
      <c r="X305">
        <v>1</v>
      </c>
      <c r="Y305">
        <v>1</v>
      </c>
      <c r="Z305" s="15">
        <v>0.16673903766383233</v>
      </c>
      <c r="AA305" t="str">
        <f t="shared" si="12"/>
        <v>2-MT</v>
      </c>
      <c r="AB305" s="9">
        <f t="shared" si="13"/>
        <v>497920</v>
      </c>
      <c r="AC305" s="9">
        <f t="shared" si="14"/>
        <v>648614.85651230777</v>
      </c>
    </row>
    <row r="306" spans="1:29" x14ac:dyDescent="0.25">
      <c r="A306" t="s">
        <v>29</v>
      </c>
      <c r="B306">
        <v>30012</v>
      </c>
      <c r="C306" s="8">
        <v>45573</v>
      </c>
      <c r="D306" s="9">
        <v>311500</v>
      </c>
      <c r="E306" s="10">
        <v>2</v>
      </c>
      <c r="F306" t="s">
        <v>57</v>
      </c>
      <c r="G306" s="11">
        <v>6</v>
      </c>
      <c r="H306" t="s">
        <v>31</v>
      </c>
      <c r="J306" s="12">
        <v>0</v>
      </c>
      <c r="L306" t="s">
        <v>34</v>
      </c>
      <c r="M306" s="13">
        <v>2445000</v>
      </c>
      <c r="N306" s="14">
        <v>60</v>
      </c>
      <c r="P306" s="14">
        <v>1</v>
      </c>
      <c r="Q306" s="15">
        <v>0.13800000000000001</v>
      </c>
      <c r="R306" s="12">
        <v>73350</v>
      </c>
      <c r="S306" s="12">
        <v>1</v>
      </c>
      <c r="T306" s="12">
        <v>41186</v>
      </c>
      <c r="U306" s="12">
        <v>32250</v>
      </c>
      <c r="V306" s="12">
        <v>1</v>
      </c>
      <c r="W306" s="12">
        <v>56637.675614828004</v>
      </c>
      <c r="X306">
        <v>1</v>
      </c>
      <c r="Y306">
        <v>1</v>
      </c>
      <c r="Z306" s="15">
        <v>0.16611599741680882</v>
      </c>
      <c r="AA306" t="str">
        <f t="shared" si="12"/>
        <v>2-MT</v>
      </c>
      <c r="AB306" s="9">
        <f t="shared" si="13"/>
        <v>337410</v>
      </c>
      <c r="AC306" s="9">
        <f t="shared" si="14"/>
        <v>406153.6136840976</v>
      </c>
    </row>
    <row r="307" spans="1:29" x14ac:dyDescent="0.25">
      <c r="A307" t="s">
        <v>29</v>
      </c>
      <c r="B307">
        <v>30012</v>
      </c>
      <c r="C307" s="8">
        <v>45646</v>
      </c>
      <c r="D307" s="9">
        <v>311500</v>
      </c>
      <c r="E307" s="10">
        <v>2</v>
      </c>
      <c r="F307" t="s">
        <v>184</v>
      </c>
      <c r="G307" s="11">
        <v>6</v>
      </c>
      <c r="H307" t="s">
        <v>31</v>
      </c>
      <c r="J307" s="12">
        <v>0</v>
      </c>
      <c r="L307" t="s">
        <v>32</v>
      </c>
      <c r="M307" s="13">
        <v>3805000</v>
      </c>
      <c r="N307" s="14">
        <v>48</v>
      </c>
      <c r="P307" s="14">
        <v>1</v>
      </c>
      <c r="Q307" s="15">
        <v>0.128</v>
      </c>
      <c r="R307" s="12">
        <v>100000</v>
      </c>
      <c r="S307" s="12">
        <v>1</v>
      </c>
      <c r="T307" s="12">
        <v>108930</v>
      </c>
      <c r="U307" s="12">
        <v>45850</v>
      </c>
      <c r="V307" s="12">
        <v>1</v>
      </c>
      <c r="W307" s="12">
        <v>101701.32338404677</v>
      </c>
      <c r="X307">
        <v>1</v>
      </c>
      <c r="Y307">
        <v>1</v>
      </c>
      <c r="Z307" s="15">
        <v>0.16596065217475969</v>
      </c>
      <c r="AA307" t="str">
        <f t="shared" si="12"/>
        <v>2-MT</v>
      </c>
      <c r="AB307" s="9">
        <f t="shared" si="13"/>
        <v>487040</v>
      </c>
      <c r="AC307" s="9">
        <f t="shared" si="14"/>
        <v>631480.28152496065</v>
      </c>
    </row>
    <row r="308" spans="1:29" x14ac:dyDescent="0.25">
      <c r="A308" t="s">
        <v>29</v>
      </c>
      <c r="B308">
        <v>30012</v>
      </c>
      <c r="C308" s="8">
        <v>45576</v>
      </c>
      <c r="D308" s="9">
        <v>311500</v>
      </c>
      <c r="E308" s="10">
        <v>2</v>
      </c>
      <c r="F308" t="s">
        <v>57</v>
      </c>
      <c r="G308" s="11">
        <v>6</v>
      </c>
      <c r="H308" t="s">
        <v>31</v>
      </c>
      <c r="J308" s="12">
        <v>0</v>
      </c>
      <c r="L308" t="s">
        <v>32</v>
      </c>
      <c r="M308" s="13">
        <v>7275000</v>
      </c>
      <c r="N308" s="14">
        <v>60</v>
      </c>
      <c r="P308" s="14">
        <v>1</v>
      </c>
      <c r="Q308" s="15">
        <v>0.1305</v>
      </c>
      <c r="R308" s="12">
        <v>218250</v>
      </c>
      <c r="S308" s="12">
        <v>1</v>
      </c>
      <c r="T308" s="12">
        <v>246438</v>
      </c>
      <c r="U308" s="12">
        <v>80550</v>
      </c>
      <c r="V308" s="12">
        <v>1</v>
      </c>
      <c r="W308" s="12">
        <v>165714.8731896377</v>
      </c>
      <c r="X308">
        <v>1</v>
      </c>
      <c r="Y308">
        <v>1</v>
      </c>
      <c r="Z308" s="15">
        <v>0.16574163130800937</v>
      </c>
      <c r="AA308" t="str">
        <f t="shared" si="12"/>
        <v>2-MT</v>
      </c>
      <c r="AB308" s="9">
        <f t="shared" si="13"/>
        <v>949387.5</v>
      </c>
      <c r="AC308" s="9">
        <f t="shared" si="14"/>
        <v>1205770.3677657682</v>
      </c>
    </row>
    <row r="309" spans="1:29" x14ac:dyDescent="0.25">
      <c r="A309" t="s">
        <v>29</v>
      </c>
      <c r="B309">
        <v>30012</v>
      </c>
      <c r="C309" s="8">
        <v>45589</v>
      </c>
      <c r="D309" s="9">
        <v>311500</v>
      </c>
      <c r="E309" s="10">
        <v>2</v>
      </c>
      <c r="F309" t="s">
        <v>178</v>
      </c>
      <c r="G309" s="11">
        <v>6</v>
      </c>
      <c r="H309" t="s">
        <v>31</v>
      </c>
      <c r="J309" s="12">
        <v>0</v>
      </c>
      <c r="L309" t="s">
        <v>171</v>
      </c>
      <c r="M309" s="13">
        <v>2950000</v>
      </c>
      <c r="N309" s="14">
        <v>60</v>
      </c>
      <c r="P309" s="14">
        <v>1</v>
      </c>
      <c r="Q309" s="15">
        <v>0.13800000000000001</v>
      </c>
      <c r="R309" s="12">
        <v>88500</v>
      </c>
      <c r="S309" s="12">
        <v>1</v>
      </c>
      <c r="T309" s="12">
        <v>48660</v>
      </c>
      <c r="U309" s="12">
        <v>37300</v>
      </c>
      <c r="V309" s="12">
        <v>1</v>
      </c>
      <c r="W309" s="12">
        <v>68335.845833841566</v>
      </c>
      <c r="X309">
        <v>1</v>
      </c>
      <c r="Y309">
        <v>1</v>
      </c>
      <c r="Z309" s="15">
        <v>0.16567730310909357</v>
      </c>
      <c r="AA309" t="str">
        <f t="shared" si="12"/>
        <v>2-MT</v>
      </c>
      <c r="AB309" s="9">
        <f t="shared" si="13"/>
        <v>407100.00000000006</v>
      </c>
      <c r="AC309" s="9">
        <f t="shared" si="14"/>
        <v>488748.04417182604</v>
      </c>
    </row>
    <row r="310" spans="1:29" x14ac:dyDescent="0.25">
      <c r="A310" t="s">
        <v>29</v>
      </c>
      <c r="B310">
        <v>30012</v>
      </c>
      <c r="C310" s="8">
        <v>45616</v>
      </c>
      <c r="D310" s="9">
        <v>311500</v>
      </c>
      <c r="E310" s="10">
        <v>2</v>
      </c>
      <c r="F310" t="s">
        <v>85</v>
      </c>
      <c r="G310" s="11">
        <v>6</v>
      </c>
      <c r="H310" t="s">
        <v>31</v>
      </c>
      <c r="J310" s="12">
        <v>0</v>
      </c>
      <c r="L310" t="s">
        <v>156</v>
      </c>
      <c r="M310" s="13">
        <v>10000000</v>
      </c>
      <c r="N310" s="14">
        <v>60</v>
      </c>
      <c r="P310" s="14">
        <v>1</v>
      </c>
      <c r="Q310" s="15">
        <v>0.1305</v>
      </c>
      <c r="R310" s="12">
        <v>300000</v>
      </c>
      <c r="S310" s="12">
        <v>1</v>
      </c>
      <c r="T310" s="12">
        <v>340000</v>
      </c>
      <c r="U310" s="12">
        <v>107800</v>
      </c>
      <c r="V310" s="12">
        <v>1</v>
      </c>
      <c r="W310" s="12">
        <v>227786.76727097962</v>
      </c>
      <c r="X310">
        <v>1</v>
      </c>
      <c r="Y310">
        <v>1</v>
      </c>
      <c r="Z310" s="15">
        <v>0.1656586468006567</v>
      </c>
      <c r="AA310" t="str">
        <f t="shared" si="12"/>
        <v>2-MT</v>
      </c>
      <c r="AB310" s="9">
        <f t="shared" si="13"/>
        <v>1305000</v>
      </c>
      <c r="AC310" s="9">
        <f t="shared" si="14"/>
        <v>1656586.4680065671</v>
      </c>
    </row>
    <row r="311" spans="1:29" x14ac:dyDescent="0.25">
      <c r="A311" t="s">
        <v>29</v>
      </c>
      <c r="B311">
        <v>30012</v>
      </c>
      <c r="C311" s="8">
        <v>45569</v>
      </c>
      <c r="D311" s="9">
        <v>311500</v>
      </c>
      <c r="E311" s="10">
        <v>2</v>
      </c>
      <c r="F311" t="s">
        <v>129</v>
      </c>
      <c r="G311" s="11">
        <v>6</v>
      </c>
      <c r="H311" t="s">
        <v>31</v>
      </c>
      <c r="J311" s="12">
        <v>0</v>
      </c>
      <c r="L311" t="s">
        <v>130</v>
      </c>
      <c r="M311" s="13">
        <v>10000000</v>
      </c>
      <c r="N311" s="14">
        <v>60</v>
      </c>
      <c r="P311" s="14">
        <v>1</v>
      </c>
      <c r="Q311" s="15">
        <v>0.1305</v>
      </c>
      <c r="R311" s="12">
        <v>300000</v>
      </c>
      <c r="S311" s="12">
        <v>1</v>
      </c>
      <c r="T311" s="12">
        <v>340000</v>
      </c>
      <c r="U311" s="12">
        <v>107800</v>
      </c>
      <c r="V311" s="12">
        <v>1</v>
      </c>
      <c r="W311" s="12">
        <v>227786.76727097962</v>
      </c>
      <c r="X311">
        <v>1</v>
      </c>
      <c r="Y311">
        <v>1</v>
      </c>
      <c r="Z311" s="15">
        <v>0.1656586468006567</v>
      </c>
      <c r="AA311" t="str">
        <f t="shared" si="12"/>
        <v>2-MT</v>
      </c>
      <c r="AB311" s="9">
        <f t="shared" si="13"/>
        <v>1305000</v>
      </c>
      <c r="AC311" s="9">
        <f t="shared" si="14"/>
        <v>1656586.4680065671</v>
      </c>
    </row>
    <row r="312" spans="1:29" x14ac:dyDescent="0.25">
      <c r="A312" t="s">
        <v>29</v>
      </c>
      <c r="B312">
        <v>30012</v>
      </c>
      <c r="C312" s="8">
        <v>45596</v>
      </c>
      <c r="D312" s="9">
        <v>311500</v>
      </c>
      <c r="E312" s="10">
        <v>2</v>
      </c>
      <c r="F312" t="s">
        <v>158</v>
      </c>
      <c r="G312" s="11">
        <v>6</v>
      </c>
      <c r="H312" t="s">
        <v>31</v>
      </c>
      <c r="J312" s="12">
        <v>0</v>
      </c>
      <c r="L312" t="s">
        <v>34</v>
      </c>
      <c r="M312" s="13">
        <v>3000000</v>
      </c>
      <c r="N312" s="14">
        <v>60</v>
      </c>
      <c r="P312" s="14">
        <v>1</v>
      </c>
      <c r="Q312" s="15">
        <v>0.13800000000000001</v>
      </c>
      <c r="R312" s="12">
        <v>90000</v>
      </c>
      <c r="S312" s="12">
        <v>1</v>
      </c>
      <c r="T312" s="12">
        <v>49400</v>
      </c>
      <c r="U312" s="12">
        <v>37800</v>
      </c>
      <c r="V312" s="12">
        <v>1</v>
      </c>
      <c r="W312" s="12">
        <v>69494.080508991421</v>
      </c>
      <c r="X312">
        <v>1</v>
      </c>
      <c r="Y312">
        <v>1</v>
      </c>
      <c r="Z312" s="15">
        <v>0.16564192999313471</v>
      </c>
      <c r="AA312" t="str">
        <f t="shared" si="12"/>
        <v>2-MT</v>
      </c>
      <c r="AB312" s="9">
        <f t="shared" si="13"/>
        <v>414000.00000000006</v>
      </c>
      <c r="AC312" s="9">
        <f t="shared" si="14"/>
        <v>496925.78997940413</v>
      </c>
    </row>
    <row r="313" spans="1:29" x14ac:dyDescent="0.25">
      <c r="A313" t="s">
        <v>29</v>
      </c>
      <c r="B313">
        <v>30012</v>
      </c>
      <c r="C313" s="8">
        <v>45657</v>
      </c>
      <c r="D313" s="9">
        <v>321600</v>
      </c>
      <c r="E313" s="10">
        <v>2</v>
      </c>
      <c r="F313" t="s">
        <v>177</v>
      </c>
      <c r="G313" s="11">
        <v>6</v>
      </c>
      <c r="H313" t="s">
        <v>31</v>
      </c>
      <c r="J313" s="12">
        <v>0</v>
      </c>
      <c r="L313" t="s">
        <v>40</v>
      </c>
      <c r="M313" s="13">
        <v>1200000</v>
      </c>
      <c r="N313" s="14">
        <v>12</v>
      </c>
      <c r="P313" s="14">
        <v>1</v>
      </c>
      <c r="Q313" s="15">
        <v>9.3000000000000013E-2</v>
      </c>
      <c r="R313" s="12">
        <v>25000</v>
      </c>
      <c r="S313" s="12">
        <v>1</v>
      </c>
      <c r="T313" s="12">
        <v>0</v>
      </c>
      <c r="U313" s="12">
        <v>19800</v>
      </c>
      <c r="V313" s="12">
        <v>1</v>
      </c>
      <c r="W313" s="12">
        <v>105108.7882854411</v>
      </c>
      <c r="X313">
        <v>1</v>
      </c>
      <c r="Y313">
        <v>1</v>
      </c>
      <c r="Z313" s="15">
        <v>0.16541964605299375</v>
      </c>
      <c r="AA313" t="str">
        <f t="shared" si="12"/>
        <v>1-CT</v>
      </c>
      <c r="AB313" s="9">
        <f t="shared" si="13"/>
        <v>111600.00000000001</v>
      </c>
      <c r="AC313" s="9">
        <f t="shared" si="14"/>
        <v>198503.5752635925</v>
      </c>
    </row>
    <row r="314" spans="1:29" x14ac:dyDescent="0.25">
      <c r="A314" t="s">
        <v>29</v>
      </c>
      <c r="B314">
        <v>30012</v>
      </c>
      <c r="C314" s="8">
        <v>45617</v>
      </c>
      <c r="D314" s="9">
        <v>311500</v>
      </c>
      <c r="E314" s="10">
        <v>2</v>
      </c>
      <c r="F314" t="s">
        <v>177</v>
      </c>
      <c r="G314" s="11">
        <v>6</v>
      </c>
      <c r="H314" t="s">
        <v>31</v>
      </c>
      <c r="J314" s="12">
        <v>0</v>
      </c>
      <c r="L314" t="s">
        <v>54</v>
      </c>
      <c r="M314" s="13">
        <v>3600000</v>
      </c>
      <c r="N314" s="14">
        <v>48</v>
      </c>
      <c r="P314" s="14">
        <v>1</v>
      </c>
      <c r="Q314" s="15">
        <v>0.128</v>
      </c>
      <c r="R314" s="12">
        <v>90000</v>
      </c>
      <c r="S314" s="12">
        <v>1</v>
      </c>
      <c r="T314" s="12">
        <v>103600</v>
      </c>
      <c r="U314" s="12">
        <v>43800</v>
      </c>
      <c r="V314" s="12">
        <v>1</v>
      </c>
      <c r="W314" s="12">
        <v>96222.014239833981</v>
      </c>
      <c r="X314">
        <v>1</v>
      </c>
      <c r="Y314">
        <v>1</v>
      </c>
      <c r="Z314" s="15">
        <v>0.165356438108818</v>
      </c>
      <c r="AA314" t="str">
        <f t="shared" si="12"/>
        <v>2-MT</v>
      </c>
      <c r="AB314" s="9">
        <f t="shared" si="13"/>
        <v>460800</v>
      </c>
      <c r="AC314" s="9">
        <f t="shared" si="14"/>
        <v>595283.17719174479</v>
      </c>
    </row>
    <row r="315" spans="1:29" x14ac:dyDescent="0.25">
      <c r="A315" t="s">
        <v>29</v>
      </c>
      <c r="B315">
        <v>30012</v>
      </c>
      <c r="C315" s="8">
        <v>45617</v>
      </c>
      <c r="D315" s="9">
        <v>311500</v>
      </c>
      <c r="E315" s="10">
        <v>2</v>
      </c>
      <c r="F315" t="s">
        <v>110</v>
      </c>
      <c r="G315" s="11">
        <v>6</v>
      </c>
      <c r="H315" t="s">
        <v>31</v>
      </c>
      <c r="J315" s="12">
        <v>0</v>
      </c>
      <c r="L315" t="s">
        <v>169</v>
      </c>
      <c r="M315" s="13">
        <v>27000000</v>
      </c>
      <c r="N315" s="14">
        <v>60</v>
      </c>
      <c r="P315" s="14">
        <v>1</v>
      </c>
      <c r="Q315" s="15">
        <v>0.1305</v>
      </c>
      <c r="R315" s="12">
        <v>810000</v>
      </c>
      <c r="S315" s="12">
        <v>1</v>
      </c>
      <c r="T315" s="12">
        <v>907500</v>
      </c>
      <c r="U315" s="12">
        <v>277800</v>
      </c>
      <c r="V315" s="12">
        <v>1</v>
      </c>
      <c r="W315" s="12">
        <v>615024.27163164504</v>
      </c>
      <c r="X315">
        <v>1</v>
      </c>
      <c r="Y315">
        <v>1</v>
      </c>
      <c r="Z315" s="15">
        <v>0.16522120921386066</v>
      </c>
      <c r="AA315" t="str">
        <f t="shared" si="12"/>
        <v>2-MT</v>
      </c>
      <c r="AB315" s="9">
        <f t="shared" si="13"/>
        <v>3523500</v>
      </c>
      <c r="AC315" s="9">
        <f t="shared" si="14"/>
        <v>4460972.6487742374</v>
      </c>
    </row>
    <row r="316" spans="1:29" x14ac:dyDescent="0.25">
      <c r="A316" t="s">
        <v>29</v>
      </c>
      <c r="B316">
        <v>30012</v>
      </c>
      <c r="C316" s="8">
        <v>45604</v>
      </c>
      <c r="D316" s="9">
        <v>311500</v>
      </c>
      <c r="E316" s="10">
        <v>2</v>
      </c>
      <c r="F316" t="s">
        <v>43</v>
      </c>
      <c r="G316" s="11">
        <v>6</v>
      </c>
      <c r="H316" t="s">
        <v>31</v>
      </c>
      <c r="J316" s="12">
        <v>0</v>
      </c>
      <c r="L316" t="s">
        <v>32</v>
      </c>
      <c r="M316" s="13">
        <v>3920000</v>
      </c>
      <c r="N316" s="14">
        <v>48</v>
      </c>
      <c r="P316" s="14">
        <v>1</v>
      </c>
      <c r="Q316" s="15">
        <v>0.128</v>
      </c>
      <c r="R316" s="12">
        <v>98000</v>
      </c>
      <c r="S316" s="12">
        <v>1</v>
      </c>
      <c r="T316" s="12">
        <v>111920</v>
      </c>
      <c r="U316" s="12">
        <v>47000</v>
      </c>
      <c r="V316" s="12">
        <v>1</v>
      </c>
      <c r="W316" s="12">
        <v>104775.08217226368</v>
      </c>
      <c r="X316">
        <v>1</v>
      </c>
      <c r="Y316">
        <v>1</v>
      </c>
      <c r="Z316" s="15">
        <v>0.16511638400359027</v>
      </c>
      <c r="AA316" t="str">
        <f t="shared" si="12"/>
        <v>2-MT</v>
      </c>
      <c r="AB316" s="9">
        <f t="shared" si="13"/>
        <v>501760</v>
      </c>
      <c r="AC316" s="9">
        <f t="shared" si="14"/>
        <v>647256.22529407381</v>
      </c>
    </row>
    <row r="317" spans="1:29" x14ac:dyDescent="0.25">
      <c r="A317" t="s">
        <v>29</v>
      </c>
      <c r="B317">
        <v>30012</v>
      </c>
      <c r="C317" s="8">
        <v>45611</v>
      </c>
      <c r="D317" s="9">
        <v>311500</v>
      </c>
      <c r="E317" s="10">
        <v>2</v>
      </c>
      <c r="F317" t="s">
        <v>73</v>
      </c>
      <c r="G317" s="11">
        <v>6</v>
      </c>
      <c r="H317" t="s">
        <v>31</v>
      </c>
      <c r="J317" s="12">
        <v>0</v>
      </c>
      <c r="L317" t="s">
        <v>61</v>
      </c>
      <c r="M317" s="13">
        <v>4200000</v>
      </c>
      <c r="N317" s="14">
        <v>60</v>
      </c>
      <c r="P317" s="14">
        <v>1</v>
      </c>
      <c r="Q317" s="15">
        <v>0.13800000000000001</v>
      </c>
      <c r="R317" s="12">
        <v>126000</v>
      </c>
      <c r="S317" s="12">
        <v>1</v>
      </c>
      <c r="T317" s="12">
        <v>67160</v>
      </c>
      <c r="U317" s="12">
        <v>49800</v>
      </c>
      <c r="V317" s="12">
        <v>1</v>
      </c>
      <c r="W317" s="12">
        <v>97291.712712587992</v>
      </c>
      <c r="X317">
        <v>1</v>
      </c>
      <c r="Y317">
        <v>1</v>
      </c>
      <c r="Z317" s="15">
        <v>0.16504623415347611</v>
      </c>
      <c r="AA317" t="str">
        <f t="shared" si="12"/>
        <v>2-MT</v>
      </c>
      <c r="AB317" s="9">
        <f t="shared" si="13"/>
        <v>579600</v>
      </c>
      <c r="AC317" s="9">
        <f t="shared" si="14"/>
        <v>693194.18344459962</v>
      </c>
    </row>
    <row r="318" spans="1:29" x14ac:dyDescent="0.25">
      <c r="A318" t="s">
        <v>29</v>
      </c>
      <c r="B318">
        <v>30012</v>
      </c>
      <c r="C318" s="8">
        <v>45617</v>
      </c>
      <c r="D318" s="9">
        <v>311500</v>
      </c>
      <c r="E318" s="10">
        <v>2</v>
      </c>
      <c r="F318" t="s">
        <v>107</v>
      </c>
      <c r="G318" s="11">
        <v>6</v>
      </c>
      <c r="H318" t="s">
        <v>31</v>
      </c>
      <c r="J318" s="12">
        <v>0</v>
      </c>
      <c r="L318" t="s">
        <v>32</v>
      </c>
      <c r="M318" s="13">
        <v>4690000</v>
      </c>
      <c r="N318" s="14">
        <v>60</v>
      </c>
      <c r="P318" s="14">
        <v>1</v>
      </c>
      <c r="Q318" s="15">
        <v>0.13800000000000001</v>
      </c>
      <c r="R318" s="12">
        <v>140700</v>
      </c>
      <c r="S318" s="12">
        <v>1</v>
      </c>
      <c r="T318" s="12">
        <v>74412</v>
      </c>
      <c r="U318" s="12">
        <v>54700</v>
      </c>
      <c r="V318" s="12">
        <v>1</v>
      </c>
      <c r="W318" s="12">
        <v>108642.41252905657</v>
      </c>
      <c r="X318">
        <v>1</v>
      </c>
      <c r="Y318">
        <v>1</v>
      </c>
      <c r="Z318" s="15">
        <v>0.16489082634063051</v>
      </c>
      <c r="AA318" t="str">
        <f t="shared" si="12"/>
        <v>2-MT</v>
      </c>
      <c r="AB318" s="9">
        <f t="shared" si="13"/>
        <v>647220</v>
      </c>
      <c r="AC318" s="9">
        <f t="shared" si="14"/>
        <v>773337.97553755715</v>
      </c>
    </row>
    <row r="319" spans="1:29" x14ac:dyDescent="0.25">
      <c r="A319" t="s">
        <v>29</v>
      </c>
      <c r="B319">
        <v>30012</v>
      </c>
      <c r="C319" s="8">
        <v>45568</v>
      </c>
      <c r="D319" s="9">
        <v>321600</v>
      </c>
      <c r="E319" s="10">
        <v>9</v>
      </c>
      <c r="F319" t="s">
        <v>113</v>
      </c>
      <c r="G319" s="11">
        <v>6</v>
      </c>
      <c r="H319" t="s">
        <v>31</v>
      </c>
      <c r="J319" s="12">
        <v>0</v>
      </c>
      <c r="L319" t="s">
        <v>40</v>
      </c>
      <c r="M319" s="13">
        <v>2000000</v>
      </c>
      <c r="N319" s="14">
        <v>4</v>
      </c>
      <c r="P319" s="14">
        <v>2</v>
      </c>
      <c r="Q319" s="15">
        <v>0.11</v>
      </c>
      <c r="R319" s="12">
        <v>60000</v>
      </c>
      <c r="S319" s="12">
        <v>1</v>
      </c>
      <c r="T319" s="12">
        <v>0</v>
      </c>
      <c r="U319" s="12">
        <v>46500</v>
      </c>
      <c r="V319" s="12">
        <v>1</v>
      </c>
      <c r="W319" s="12">
        <v>523124.81422699161</v>
      </c>
      <c r="X319">
        <v>1</v>
      </c>
      <c r="Y319">
        <v>1</v>
      </c>
      <c r="Z319" s="15">
        <v>0.16482722326203134</v>
      </c>
      <c r="AA319" t="str">
        <f t="shared" si="12"/>
        <v>1-CT</v>
      </c>
      <c r="AB319" s="9">
        <f t="shared" si="13"/>
        <v>220000</v>
      </c>
      <c r="AC319" s="9">
        <f t="shared" si="14"/>
        <v>329654.44652406266</v>
      </c>
    </row>
    <row r="320" spans="1:29" x14ac:dyDescent="0.25">
      <c r="A320" t="s">
        <v>29</v>
      </c>
      <c r="B320">
        <v>30012</v>
      </c>
      <c r="C320" s="8">
        <v>45569</v>
      </c>
      <c r="D320" s="9">
        <v>311500</v>
      </c>
      <c r="E320" s="10">
        <v>2</v>
      </c>
      <c r="F320" t="s">
        <v>198</v>
      </c>
      <c r="G320" s="11">
        <v>6</v>
      </c>
      <c r="H320" t="s">
        <v>31</v>
      </c>
      <c r="J320" s="12">
        <v>0</v>
      </c>
      <c r="L320" t="s">
        <v>32</v>
      </c>
      <c r="M320" s="13">
        <v>4900000</v>
      </c>
      <c r="N320" s="14">
        <v>48</v>
      </c>
      <c r="P320" s="14">
        <v>1</v>
      </c>
      <c r="Q320" s="15">
        <v>0.128</v>
      </c>
      <c r="R320" s="12">
        <v>122500</v>
      </c>
      <c r="S320" s="12">
        <v>1</v>
      </c>
      <c r="T320" s="12">
        <v>137400</v>
      </c>
      <c r="U320" s="12">
        <v>56800</v>
      </c>
      <c r="V320" s="12">
        <v>1</v>
      </c>
      <c r="W320" s="12">
        <v>130968.8527153296</v>
      </c>
      <c r="X320">
        <v>1</v>
      </c>
      <c r="Y320">
        <v>1</v>
      </c>
      <c r="Z320" s="15">
        <v>0.1645768068124672</v>
      </c>
      <c r="AA320" t="str">
        <f t="shared" si="12"/>
        <v>2-MT</v>
      </c>
      <c r="AB320" s="9">
        <f t="shared" si="13"/>
        <v>627200</v>
      </c>
      <c r="AC320" s="9">
        <f t="shared" si="14"/>
        <v>806426.35338108928</v>
      </c>
    </row>
    <row r="321" spans="1:29" x14ac:dyDescent="0.25">
      <c r="A321" t="s">
        <v>29</v>
      </c>
      <c r="B321">
        <v>30012</v>
      </c>
      <c r="C321" s="8">
        <v>45616</v>
      </c>
      <c r="D321" s="9">
        <v>321600</v>
      </c>
      <c r="E321" s="10">
        <v>2</v>
      </c>
      <c r="F321" t="s">
        <v>162</v>
      </c>
      <c r="G321" s="11">
        <v>6</v>
      </c>
      <c r="H321" t="s">
        <v>31</v>
      </c>
      <c r="J321" s="12">
        <v>0</v>
      </c>
      <c r="L321" t="s">
        <v>32</v>
      </c>
      <c r="M321" s="13">
        <v>7300000</v>
      </c>
      <c r="N321" s="14">
        <v>60</v>
      </c>
      <c r="P321" s="14">
        <v>1</v>
      </c>
      <c r="Q321" s="15">
        <v>0.1305</v>
      </c>
      <c r="R321" s="12">
        <v>219000</v>
      </c>
      <c r="S321" s="12">
        <v>1</v>
      </c>
      <c r="T321" s="12">
        <v>221080</v>
      </c>
      <c r="U321" s="12">
        <v>80800</v>
      </c>
      <c r="V321" s="12">
        <v>1</v>
      </c>
      <c r="W321" s="12">
        <v>166284.34010781514</v>
      </c>
      <c r="X321">
        <v>1</v>
      </c>
      <c r="Y321">
        <v>1</v>
      </c>
      <c r="Z321" s="15">
        <v>0.16395873090458682</v>
      </c>
      <c r="AA321" t="str">
        <f t="shared" si="12"/>
        <v>2-MT</v>
      </c>
      <c r="AB321" s="9">
        <f t="shared" si="13"/>
        <v>952650</v>
      </c>
      <c r="AC321" s="9">
        <f t="shared" si="14"/>
        <v>1196898.7356034839</v>
      </c>
    </row>
    <row r="322" spans="1:29" x14ac:dyDescent="0.25">
      <c r="A322" t="s">
        <v>29</v>
      </c>
      <c r="B322">
        <v>30012</v>
      </c>
      <c r="C322" s="8">
        <v>45587</v>
      </c>
      <c r="D322" s="9">
        <v>311500</v>
      </c>
      <c r="E322" s="10">
        <v>2</v>
      </c>
      <c r="F322" t="s">
        <v>191</v>
      </c>
      <c r="G322" s="11">
        <v>6</v>
      </c>
      <c r="H322" t="s">
        <v>31</v>
      </c>
      <c r="J322" s="12">
        <v>0</v>
      </c>
      <c r="L322" t="s">
        <v>32</v>
      </c>
      <c r="M322" s="13">
        <v>6900000</v>
      </c>
      <c r="N322" s="14">
        <v>48</v>
      </c>
      <c r="P322" s="14">
        <v>1</v>
      </c>
      <c r="Q322" s="15">
        <v>0.128</v>
      </c>
      <c r="R322" s="12">
        <v>172500</v>
      </c>
      <c r="S322" s="12">
        <v>1</v>
      </c>
      <c r="T322" s="12">
        <v>189400</v>
      </c>
      <c r="U322" s="12">
        <v>76800</v>
      </c>
      <c r="V322" s="12">
        <v>1</v>
      </c>
      <c r="W322" s="12">
        <v>184425.52729301516</v>
      </c>
      <c r="X322">
        <v>1</v>
      </c>
      <c r="Y322">
        <v>1</v>
      </c>
      <c r="Z322" s="15">
        <v>0.16395215185202333</v>
      </c>
      <c r="AA322" t="str">
        <f t="shared" si="12"/>
        <v>2-MT</v>
      </c>
      <c r="AB322" s="9">
        <f t="shared" si="13"/>
        <v>883200</v>
      </c>
      <c r="AC322" s="9">
        <f t="shared" si="14"/>
        <v>1131269.8477789611</v>
      </c>
    </row>
    <row r="323" spans="1:29" x14ac:dyDescent="0.25">
      <c r="A323" t="s">
        <v>29</v>
      </c>
      <c r="B323">
        <v>30012</v>
      </c>
      <c r="C323" s="8">
        <v>45635</v>
      </c>
      <c r="D323" s="9">
        <v>321620</v>
      </c>
      <c r="E323" s="10">
        <v>2</v>
      </c>
      <c r="F323" t="s">
        <v>57</v>
      </c>
      <c r="G323" s="11">
        <v>6</v>
      </c>
      <c r="H323" t="s">
        <v>31</v>
      </c>
      <c r="J323" s="12">
        <v>0</v>
      </c>
      <c r="L323" t="s">
        <v>32</v>
      </c>
      <c r="M323" s="13">
        <v>2900000</v>
      </c>
      <c r="N323" s="14">
        <v>12</v>
      </c>
      <c r="P323" s="14">
        <v>1</v>
      </c>
      <c r="Q323" s="15">
        <v>0.105</v>
      </c>
      <c r="R323" s="12">
        <v>58000</v>
      </c>
      <c r="S323" s="12">
        <v>1</v>
      </c>
      <c r="T323" s="12">
        <v>0</v>
      </c>
      <c r="U323" s="12">
        <v>30300</v>
      </c>
      <c r="V323" s="12">
        <v>1</v>
      </c>
      <c r="W323" s="12">
        <v>255630.94839331339</v>
      </c>
      <c r="X323">
        <v>1</v>
      </c>
      <c r="Y323">
        <v>1</v>
      </c>
      <c r="Z323" s="15">
        <v>0.1639284619469645</v>
      </c>
      <c r="AA323" t="str">
        <f t="shared" ref="AA323:AA386" si="15">IF(N323&lt;=24,"1-CT",IF(N323&gt;60,"3-LT","2-MT"))</f>
        <v>1-CT</v>
      </c>
      <c r="AB323" s="9">
        <f t="shared" ref="AB323:AB386" si="16">Q323*M323</f>
        <v>304500</v>
      </c>
      <c r="AC323" s="9">
        <f t="shared" ref="AC323:AC386" si="17">Z323*M323</f>
        <v>475392.53964619705</v>
      </c>
    </row>
    <row r="324" spans="1:29" x14ac:dyDescent="0.25">
      <c r="A324" t="s">
        <v>29</v>
      </c>
      <c r="B324">
        <v>30012</v>
      </c>
      <c r="C324" s="8">
        <v>45574</v>
      </c>
      <c r="D324" s="9">
        <v>311500</v>
      </c>
      <c r="E324" s="10">
        <v>2</v>
      </c>
      <c r="F324" t="s">
        <v>184</v>
      </c>
      <c r="G324" s="11">
        <v>6</v>
      </c>
      <c r="H324" t="s">
        <v>31</v>
      </c>
      <c r="J324" s="12">
        <v>0</v>
      </c>
      <c r="L324" t="s">
        <v>71</v>
      </c>
      <c r="M324" s="13">
        <v>10000000</v>
      </c>
      <c r="N324" s="14">
        <v>60</v>
      </c>
      <c r="P324" s="14">
        <v>1</v>
      </c>
      <c r="Q324" s="15">
        <v>0.1305</v>
      </c>
      <c r="R324" s="12">
        <v>300000</v>
      </c>
      <c r="S324" s="12">
        <v>1</v>
      </c>
      <c r="T324" s="12">
        <v>301000</v>
      </c>
      <c r="U324" s="12">
        <v>107800</v>
      </c>
      <c r="V324" s="12">
        <v>1</v>
      </c>
      <c r="W324" s="12">
        <v>227786.76727097962</v>
      </c>
      <c r="X324">
        <v>1</v>
      </c>
      <c r="Y324">
        <v>1</v>
      </c>
      <c r="Z324" s="15">
        <v>0.16372458217070185</v>
      </c>
      <c r="AA324" t="str">
        <f t="shared" si="15"/>
        <v>2-MT</v>
      </c>
      <c r="AB324" s="9">
        <f t="shared" si="16"/>
        <v>1305000</v>
      </c>
      <c r="AC324" s="9">
        <f t="shared" si="17"/>
        <v>1637245.8217070184</v>
      </c>
    </row>
    <row r="325" spans="1:29" x14ac:dyDescent="0.25">
      <c r="A325" t="s">
        <v>29</v>
      </c>
      <c r="B325">
        <v>30012</v>
      </c>
      <c r="C325" s="8">
        <v>45635</v>
      </c>
      <c r="D325" s="9">
        <v>321620</v>
      </c>
      <c r="E325" s="10">
        <v>2</v>
      </c>
      <c r="F325" t="s">
        <v>154</v>
      </c>
      <c r="G325" s="11">
        <v>6</v>
      </c>
      <c r="H325" t="s">
        <v>31</v>
      </c>
      <c r="J325" s="12">
        <v>0</v>
      </c>
      <c r="L325" t="s">
        <v>32</v>
      </c>
      <c r="M325" s="13">
        <v>4000000</v>
      </c>
      <c r="N325" s="14">
        <v>12</v>
      </c>
      <c r="P325" s="14">
        <v>1</v>
      </c>
      <c r="Q325" s="15">
        <v>0.105</v>
      </c>
      <c r="R325" s="12">
        <v>80000</v>
      </c>
      <c r="S325" s="12">
        <v>1</v>
      </c>
      <c r="T325" s="12">
        <v>0</v>
      </c>
      <c r="U325" s="12">
        <v>41300</v>
      </c>
      <c r="V325" s="12">
        <v>1</v>
      </c>
      <c r="W325" s="12">
        <v>352594.41157698398</v>
      </c>
      <c r="X325">
        <v>1</v>
      </c>
      <c r="Y325">
        <v>1</v>
      </c>
      <c r="Z325" s="15">
        <v>0.16368447743739262</v>
      </c>
      <c r="AA325" t="str">
        <f t="shared" si="15"/>
        <v>1-CT</v>
      </c>
      <c r="AB325" s="9">
        <f t="shared" si="16"/>
        <v>420000</v>
      </c>
      <c r="AC325" s="9">
        <f t="shared" si="17"/>
        <v>654737.90974957042</v>
      </c>
    </row>
    <row r="326" spans="1:29" x14ac:dyDescent="0.25">
      <c r="A326" t="s">
        <v>29</v>
      </c>
      <c r="B326">
        <v>30012</v>
      </c>
      <c r="C326" s="8">
        <v>45625</v>
      </c>
      <c r="D326" s="9">
        <v>311500</v>
      </c>
      <c r="E326" s="10">
        <v>2</v>
      </c>
      <c r="F326" t="s">
        <v>172</v>
      </c>
      <c r="G326" s="11">
        <v>6</v>
      </c>
      <c r="H326" t="s">
        <v>31</v>
      </c>
      <c r="J326" s="12">
        <v>0</v>
      </c>
      <c r="L326" t="s">
        <v>38</v>
      </c>
      <c r="M326" s="13">
        <v>2500000</v>
      </c>
      <c r="N326" s="14">
        <v>48</v>
      </c>
      <c r="P326" s="14">
        <v>1</v>
      </c>
      <c r="Q326" s="15">
        <v>0.128</v>
      </c>
      <c r="R326" s="12">
        <v>62500</v>
      </c>
      <c r="S326" s="12">
        <v>1</v>
      </c>
      <c r="T326" s="12">
        <v>62500</v>
      </c>
      <c r="U326" s="12">
        <v>32800</v>
      </c>
      <c r="V326" s="12">
        <v>1</v>
      </c>
      <c r="W326" s="12">
        <v>66820.843222106938</v>
      </c>
      <c r="X326">
        <v>1</v>
      </c>
      <c r="Y326">
        <v>1</v>
      </c>
      <c r="Z326" s="15">
        <v>0.16367974673935748</v>
      </c>
      <c r="AA326" t="str">
        <f t="shared" si="15"/>
        <v>2-MT</v>
      </c>
      <c r="AB326" s="9">
        <f t="shared" si="16"/>
        <v>320000</v>
      </c>
      <c r="AC326" s="9">
        <f t="shared" si="17"/>
        <v>409199.36684839369</v>
      </c>
    </row>
    <row r="327" spans="1:29" x14ac:dyDescent="0.25">
      <c r="A327" t="s">
        <v>29</v>
      </c>
      <c r="B327">
        <v>30012</v>
      </c>
      <c r="C327" s="8">
        <v>45588</v>
      </c>
      <c r="D327" s="9">
        <v>311500</v>
      </c>
      <c r="E327" s="10">
        <v>2</v>
      </c>
      <c r="F327" t="s">
        <v>63</v>
      </c>
      <c r="G327" s="11">
        <v>6</v>
      </c>
      <c r="H327" t="s">
        <v>31</v>
      </c>
      <c r="J327" s="12">
        <v>0</v>
      </c>
      <c r="L327" t="s">
        <v>32</v>
      </c>
      <c r="M327" s="13">
        <v>2500000</v>
      </c>
      <c r="N327" s="14">
        <v>48</v>
      </c>
      <c r="P327" s="14">
        <v>1</v>
      </c>
      <c r="Q327" s="15">
        <v>0.128</v>
      </c>
      <c r="R327" s="12">
        <v>62500</v>
      </c>
      <c r="S327" s="12">
        <v>1</v>
      </c>
      <c r="T327" s="12">
        <v>62500</v>
      </c>
      <c r="U327" s="12">
        <v>32800</v>
      </c>
      <c r="V327" s="12">
        <v>1</v>
      </c>
      <c r="W327" s="12">
        <v>66820.843222106938</v>
      </c>
      <c r="X327">
        <v>1</v>
      </c>
      <c r="Y327">
        <v>1</v>
      </c>
      <c r="Z327" s="15">
        <v>0.16367974673935748</v>
      </c>
      <c r="AA327" t="str">
        <f t="shared" si="15"/>
        <v>2-MT</v>
      </c>
      <c r="AB327" s="9">
        <f t="shared" si="16"/>
        <v>320000</v>
      </c>
      <c r="AC327" s="9">
        <f t="shared" si="17"/>
        <v>409199.36684839369</v>
      </c>
    </row>
    <row r="328" spans="1:29" x14ac:dyDescent="0.25">
      <c r="A328" t="s">
        <v>29</v>
      </c>
      <c r="B328">
        <v>30012</v>
      </c>
      <c r="C328" s="8">
        <v>45596</v>
      </c>
      <c r="D328" s="9">
        <v>321600</v>
      </c>
      <c r="E328" s="10">
        <v>9</v>
      </c>
      <c r="F328" t="s">
        <v>64</v>
      </c>
      <c r="G328" s="11">
        <v>6</v>
      </c>
      <c r="H328" t="s">
        <v>31</v>
      </c>
      <c r="J328" s="12">
        <v>0</v>
      </c>
      <c r="L328" t="s">
        <v>40</v>
      </c>
      <c r="M328" s="13">
        <v>2000000</v>
      </c>
      <c r="N328" s="14">
        <v>4</v>
      </c>
      <c r="P328" s="14">
        <v>2</v>
      </c>
      <c r="Q328" s="15">
        <v>0.11</v>
      </c>
      <c r="R328" s="12">
        <v>60000</v>
      </c>
      <c r="S328" s="12">
        <v>1</v>
      </c>
      <c r="T328" s="12">
        <v>0</v>
      </c>
      <c r="U328" s="12">
        <v>45200</v>
      </c>
      <c r="V328" s="12">
        <v>1</v>
      </c>
      <c r="W328" s="12">
        <v>523124.81422699161</v>
      </c>
      <c r="X328">
        <v>1</v>
      </c>
      <c r="Y328">
        <v>1</v>
      </c>
      <c r="Z328" s="15">
        <v>0.16366055269533469</v>
      </c>
      <c r="AA328" t="str">
        <f t="shared" si="15"/>
        <v>1-CT</v>
      </c>
      <c r="AB328" s="9">
        <f t="shared" si="16"/>
        <v>220000</v>
      </c>
      <c r="AC328" s="9">
        <f t="shared" si="17"/>
        <v>327321.10539066937</v>
      </c>
    </row>
    <row r="329" spans="1:29" x14ac:dyDescent="0.25">
      <c r="A329" t="s">
        <v>29</v>
      </c>
      <c r="B329">
        <v>30012</v>
      </c>
      <c r="C329" s="8">
        <v>45603</v>
      </c>
      <c r="D329" s="9">
        <v>311500</v>
      </c>
      <c r="E329" s="10">
        <v>2</v>
      </c>
      <c r="F329" t="s">
        <v>180</v>
      </c>
      <c r="G329" s="11">
        <v>6</v>
      </c>
      <c r="H329" t="s">
        <v>31</v>
      </c>
      <c r="J329" s="12">
        <v>0</v>
      </c>
      <c r="L329" t="s">
        <v>176</v>
      </c>
      <c r="M329" s="13">
        <v>12000000</v>
      </c>
      <c r="N329" s="14">
        <v>60</v>
      </c>
      <c r="P329" s="14">
        <v>1</v>
      </c>
      <c r="Q329" s="15">
        <v>0.1305</v>
      </c>
      <c r="R329" s="12">
        <v>360000</v>
      </c>
      <c r="S329" s="12">
        <v>1</v>
      </c>
      <c r="T329" s="12">
        <v>360200</v>
      </c>
      <c r="U329" s="12">
        <v>127800</v>
      </c>
      <c r="V329" s="12">
        <v>1</v>
      </c>
      <c r="W329" s="12">
        <v>273344.12072517554</v>
      </c>
      <c r="X329">
        <v>1</v>
      </c>
      <c r="Y329">
        <v>1</v>
      </c>
      <c r="Z329" s="15">
        <v>0.16361912730595946</v>
      </c>
      <c r="AA329" t="str">
        <f t="shared" si="15"/>
        <v>2-MT</v>
      </c>
      <c r="AB329" s="9">
        <f t="shared" si="16"/>
        <v>1566000</v>
      </c>
      <c r="AC329" s="9">
        <f t="shared" si="17"/>
        <v>1963429.5276715134</v>
      </c>
    </row>
    <row r="330" spans="1:29" x14ac:dyDescent="0.25">
      <c r="A330" t="s">
        <v>29</v>
      </c>
      <c r="B330">
        <v>30012</v>
      </c>
      <c r="C330" s="8">
        <v>45590</v>
      </c>
      <c r="D330" s="9">
        <v>311500</v>
      </c>
      <c r="E330" s="10">
        <v>2</v>
      </c>
      <c r="F330" t="s">
        <v>95</v>
      </c>
      <c r="G330" s="11">
        <v>6</v>
      </c>
      <c r="H330" t="s">
        <v>31</v>
      </c>
      <c r="J330" s="12">
        <v>0</v>
      </c>
      <c r="L330" t="s">
        <v>32</v>
      </c>
      <c r="M330" s="13">
        <v>6500000</v>
      </c>
      <c r="N330" s="14">
        <v>65</v>
      </c>
      <c r="P330" s="14">
        <v>1</v>
      </c>
      <c r="Q330" s="15">
        <v>0.13800000000000001</v>
      </c>
      <c r="R330" s="12">
        <v>195000</v>
      </c>
      <c r="S330" s="12">
        <v>1</v>
      </c>
      <c r="T330" s="12">
        <v>111221</v>
      </c>
      <c r="U330" s="12">
        <v>72800</v>
      </c>
      <c r="V330" s="12">
        <v>1</v>
      </c>
      <c r="W330" s="12">
        <v>142536.56482523971</v>
      </c>
      <c r="X330">
        <v>1</v>
      </c>
      <c r="Y330">
        <v>1</v>
      </c>
      <c r="Z330" s="15">
        <v>0.16347710212165747</v>
      </c>
      <c r="AA330" t="str">
        <f t="shared" si="15"/>
        <v>3-LT</v>
      </c>
      <c r="AB330" s="9">
        <f t="shared" si="16"/>
        <v>897000.00000000012</v>
      </c>
      <c r="AC330" s="9">
        <f t="shared" si="17"/>
        <v>1062601.1637907736</v>
      </c>
    </row>
    <row r="331" spans="1:29" x14ac:dyDescent="0.25">
      <c r="A331" t="s">
        <v>29</v>
      </c>
      <c r="B331">
        <v>30012</v>
      </c>
      <c r="C331" s="8">
        <v>45582</v>
      </c>
      <c r="D331" s="9">
        <v>311500</v>
      </c>
      <c r="E331" s="10">
        <v>2</v>
      </c>
      <c r="F331" t="s">
        <v>33</v>
      </c>
      <c r="G331" s="11">
        <v>6</v>
      </c>
      <c r="H331" t="s">
        <v>31</v>
      </c>
      <c r="J331" s="12">
        <v>0</v>
      </c>
      <c r="L331" t="s">
        <v>34</v>
      </c>
      <c r="M331" s="13">
        <v>2181000</v>
      </c>
      <c r="N331" s="14">
        <v>60</v>
      </c>
      <c r="P331" s="14">
        <v>1</v>
      </c>
      <c r="Q331" s="15">
        <v>0.13500000000000001</v>
      </c>
      <c r="R331" s="12">
        <v>65430</v>
      </c>
      <c r="S331" s="12">
        <v>1</v>
      </c>
      <c r="T331" s="12">
        <v>37279</v>
      </c>
      <c r="U331" s="12">
        <v>29610</v>
      </c>
      <c r="V331" s="12">
        <v>1</v>
      </c>
      <c r="W331" s="12">
        <v>50184.474162830615</v>
      </c>
      <c r="X331">
        <v>1</v>
      </c>
      <c r="Y331">
        <v>1</v>
      </c>
      <c r="Z331" s="15">
        <v>0.16334213833506489</v>
      </c>
      <c r="AA331" t="str">
        <f t="shared" si="15"/>
        <v>2-MT</v>
      </c>
      <c r="AB331" s="9">
        <f t="shared" si="16"/>
        <v>294435</v>
      </c>
      <c r="AC331" s="9">
        <f t="shared" si="17"/>
        <v>356249.20370877651</v>
      </c>
    </row>
    <row r="332" spans="1:29" x14ac:dyDescent="0.25">
      <c r="A332" t="s">
        <v>29</v>
      </c>
      <c r="B332">
        <v>30012</v>
      </c>
      <c r="C332" s="8">
        <v>45602</v>
      </c>
      <c r="D332" s="9">
        <v>311500</v>
      </c>
      <c r="E332" s="10">
        <v>2</v>
      </c>
      <c r="F332" t="s">
        <v>190</v>
      </c>
      <c r="G332" s="11">
        <v>6</v>
      </c>
      <c r="H332" t="s">
        <v>31</v>
      </c>
      <c r="J332" s="12">
        <v>0</v>
      </c>
      <c r="L332" t="s">
        <v>32</v>
      </c>
      <c r="M332" s="13">
        <v>3690000</v>
      </c>
      <c r="N332" s="14">
        <v>48</v>
      </c>
      <c r="P332" s="14">
        <v>1</v>
      </c>
      <c r="Q332" s="15">
        <v>0.128</v>
      </c>
      <c r="R332" s="12">
        <v>92250</v>
      </c>
      <c r="S332" s="12">
        <v>1</v>
      </c>
      <c r="T332" s="12">
        <v>89870</v>
      </c>
      <c r="U332" s="12">
        <v>44700</v>
      </c>
      <c r="V332" s="12">
        <v>1</v>
      </c>
      <c r="W332" s="12">
        <v>98627.564595829841</v>
      </c>
      <c r="X332">
        <v>1</v>
      </c>
      <c r="Y332">
        <v>1</v>
      </c>
      <c r="Z332" s="15">
        <v>0.16270291621325988</v>
      </c>
      <c r="AA332" t="str">
        <f t="shared" si="15"/>
        <v>2-MT</v>
      </c>
      <c r="AB332" s="9">
        <f t="shared" si="16"/>
        <v>472320</v>
      </c>
      <c r="AC332" s="9">
        <f t="shared" si="17"/>
        <v>600373.76082692901</v>
      </c>
    </row>
    <row r="333" spans="1:29" x14ac:dyDescent="0.25">
      <c r="A333" t="s">
        <v>29</v>
      </c>
      <c r="B333">
        <v>30012</v>
      </c>
      <c r="C333" s="8">
        <v>45575</v>
      </c>
      <c r="D333" s="9">
        <v>311500</v>
      </c>
      <c r="E333" s="10">
        <v>2</v>
      </c>
      <c r="F333" t="s">
        <v>115</v>
      </c>
      <c r="G333" s="11">
        <v>6</v>
      </c>
      <c r="H333" t="s">
        <v>31</v>
      </c>
      <c r="J333" s="12">
        <v>0</v>
      </c>
      <c r="L333" t="s">
        <v>32</v>
      </c>
      <c r="M333" s="13">
        <v>4100000</v>
      </c>
      <c r="N333" s="14">
        <v>48</v>
      </c>
      <c r="P333" s="14">
        <v>1</v>
      </c>
      <c r="Q333" s="15">
        <v>0.128</v>
      </c>
      <c r="R333" s="12">
        <v>102500</v>
      </c>
      <c r="S333" s="12">
        <v>1</v>
      </c>
      <c r="T333" s="12">
        <v>99300</v>
      </c>
      <c r="U333" s="12">
        <v>48800</v>
      </c>
      <c r="V333" s="12">
        <v>1</v>
      </c>
      <c r="W333" s="12">
        <v>109586.18288425538</v>
      </c>
      <c r="X333">
        <v>1</v>
      </c>
      <c r="Y333">
        <v>1</v>
      </c>
      <c r="Z333" s="15">
        <v>0.16249801345871598</v>
      </c>
      <c r="AA333" t="str">
        <f t="shared" si="15"/>
        <v>2-MT</v>
      </c>
      <c r="AB333" s="9">
        <f t="shared" si="16"/>
        <v>524800</v>
      </c>
      <c r="AC333" s="9">
        <f t="shared" si="17"/>
        <v>666241.85518073547</v>
      </c>
    </row>
    <row r="334" spans="1:29" x14ac:dyDescent="0.25">
      <c r="A334" t="s">
        <v>29</v>
      </c>
      <c r="B334">
        <v>30012</v>
      </c>
      <c r="C334" s="8">
        <v>45579</v>
      </c>
      <c r="D334" s="9">
        <v>311500</v>
      </c>
      <c r="E334" s="10">
        <v>2</v>
      </c>
      <c r="F334" t="s">
        <v>122</v>
      </c>
      <c r="G334" s="11">
        <v>6</v>
      </c>
      <c r="H334" t="s">
        <v>31</v>
      </c>
      <c r="J334" s="12">
        <v>0</v>
      </c>
      <c r="L334" t="s">
        <v>123</v>
      </c>
      <c r="M334" s="13">
        <v>3350000</v>
      </c>
      <c r="N334" s="14">
        <v>60</v>
      </c>
      <c r="P334" s="14">
        <v>1</v>
      </c>
      <c r="Q334" s="15">
        <v>0.13500000000000001</v>
      </c>
      <c r="R334" s="12">
        <v>100500</v>
      </c>
      <c r="S334" s="12">
        <v>1</v>
      </c>
      <c r="T334" s="12">
        <v>54580</v>
      </c>
      <c r="U334" s="12">
        <v>41300</v>
      </c>
      <c r="V334" s="12">
        <v>1</v>
      </c>
      <c r="W334" s="12">
        <v>77082.984156571561</v>
      </c>
      <c r="X334">
        <v>1</v>
      </c>
      <c r="Y334">
        <v>1</v>
      </c>
      <c r="Z334" s="15">
        <v>0.16234253635383045</v>
      </c>
      <c r="AA334" t="str">
        <f t="shared" si="15"/>
        <v>2-MT</v>
      </c>
      <c r="AB334" s="9">
        <f t="shared" si="16"/>
        <v>452250.00000000006</v>
      </c>
      <c r="AC334" s="9">
        <f t="shared" si="17"/>
        <v>543847.49678533198</v>
      </c>
    </row>
    <row r="335" spans="1:29" x14ac:dyDescent="0.25">
      <c r="A335" t="s">
        <v>29</v>
      </c>
      <c r="B335">
        <v>30012</v>
      </c>
      <c r="C335" s="8">
        <v>45610</v>
      </c>
      <c r="D335" s="9">
        <v>311500</v>
      </c>
      <c r="E335" s="10">
        <v>2</v>
      </c>
      <c r="F335" t="s">
        <v>185</v>
      </c>
      <c r="G335" s="11">
        <v>6</v>
      </c>
      <c r="H335" t="s">
        <v>31</v>
      </c>
      <c r="J335" s="12">
        <v>0</v>
      </c>
      <c r="L335" t="s">
        <v>36</v>
      </c>
      <c r="M335" s="13">
        <v>6380000</v>
      </c>
      <c r="N335" s="14">
        <v>72</v>
      </c>
      <c r="P335" s="14">
        <v>1</v>
      </c>
      <c r="Q335" s="15">
        <v>0.13800000000000001</v>
      </c>
      <c r="R335" s="12">
        <v>191400</v>
      </c>
      <c r="S335" s="12">
        <v>1</v>
      </c>
      <c r="T335" s="12">
        <v>123030</v>
      </c>
      <c r="U335" s="12">
        <v>71600</v>
      </c>
      <c r="V335" s="12">
        <v>1</v>
      </c>
      <c r="W335" s="12">
        <v>130782.33619006585</v>
      </c>
      <c r="X335">
        <v>1</v>
      </c>
      <c r="Y335">
        <v>1</v>
      </c>
      <c r="Z335" s="15">
        <v>0.16230568916953236</v>
      </c>
      <c r="AA335" t="str">
        <f t="shared" si="15"/>
        <v>3-LT</v>
      </c>
      <c r="AB335" s="9">
        <f t="shared" si="16"/>
        <v>880440.00000000012</v>
      </c>
      <c r="AC335" s="9">
        <f t="shared" si="17"/>
        <v>1035510.2969016165</v>
      </c>
    </row>
    <row r="336" spans="1:29" x14ac:dyDescent="0.25">
      <c r="A336" t="s">
        <v>29</v>
      </c>
      <c r="B336">
        <v>30012</v>
      </c>
      <c r="C336" s="8">
        <v>45566</v>
      </c>
      <c r="D336" s="9">
        <v>311500</v>
      </c>
      <c r="E336" s="10">
        <v>2</v>
      </c>
      <c r="F336" t="s">
        <v>67</v>
      </c>
      <c r="G336" s="11">
        <v>6</v>
      </c>
      <c r="H336" t="s">
        <v>31</v>
      </c>
      <c r="J336" s="12">
        <v>0</v>
      </c>
      <c r="L336" t="s">
        <v>40</v>
      </c>
      <c r="M336" s="13">
        <v>7000000</v>
      </c>
      <c r="N336" s="14">
        <v>48</v>
      </c>
      <c r="P336" s="14">
        <v>1</v>
      </c>
      <c r="Q336" s="15">
        <v>0.128</v>
      </c>
      <c r="R336" s="12">
        <v>175000</v>
      </c>
      <c r="S336" s="12">
        <v>1</v>
      </c>
      <c r="T336" s="12">
        <v>166000</v>
      </c>
      <c r="U336" s="12">
        <v>77800</v>
      </c>
      <c r="V336" s="12">
        <v>1</v>
      </c>
      <c r="W336" s="12">
        <v>187098.36102189944</v>
      </c>
      <c r="X336">
        <v>1</v>
      </c>
      <c r="Y336">
        <v>1</v>
      </c>
      <c r="Z336" s="15">
        <v>0.16173497629834266</v>
      </c>
      <c r="AA336" t="str">
        <f t="shared" si="15"/>
        <v>2-MT</v>
      </c>
      <c r="AB336" s="9">
        <f t="shared" si="16"/>
        <v>896000</v>
      </c>
      <c r="AC336" s="9">
        <f t="shared" si="17"/>
        <v>1132144.8340883986</v>
      </c>
    </row>
    <row r="337" spans="1:29" x14ac:dyDescent="0.25">
      <c r="A337" t="s">
        <v>29</v>
      </c>
      <c r="B337">
        <v>30012</v>
      </c>
      <c r="C337" s="8">
        <v>45652</v>
      </c>
      <c r="D337" s="9">
        <v>321620</v>
      </c>
      <c r="E337" s="10">
        <v>2</v>
      </c>
      <c r="F337" t="s">
        <v>193</v>
      </c>
      <c r="G337" s="11">
        <v>6</v>
      </c>
      <c r="H337" t="s">
        <v>31</v>
      </c>
      <c r="J337" s="12">
        <v>0</v>
      </c>
      <c r="L337" t="s">
        <v>40</v>
      </c>
      <c r="M337" s="13">
        <v>1150000</v>
      </c>
      <c r="N337" s="14">
        <v>4</v>
      </c>
      <c r="P337" s="14">
        <v>2</v>
      </c>
      <c r="Q337" s="15">
        <v>0.11</v>
      </c>
      <c r="R337" s="12">
        <v>27500</v>
      </c>
      <c r="S337" s="12">
        <v>1</v>
      </c>
      <c r="T337" s="12">
        <v>0</v>
      </c>
      <c r="U337" s="12">
        <v>31540</v>
      </c>
      <c r="V337" s="12">
        <v>1</v>
      </c>
      <c r="W337" s="12">
        <v>300796.76818052022</v>
      </c>
      <c r="X337">
        <v>1</v>
      </c>
      <c r="Y337">
        <v>1</v>
      </c>
      <c r="Z337" s="15">
        <v>0.16140113027718395</v>
      </c>
      <c r="AA337" t="str">
        <f t="shared" si="15"/>
        <v>1-CT</v>
      </c>
      <c r="AB337" s="9">
        <f t="shared" si="16"/>
        <v>126500</v>
      </c>
      <c r="AC337" s="9">
        <f t="shared" si="17"/>
        <v>185611.29981876153</v>
      </c>
    </row>
    <row r="338" spans="1:29" x14ac:dyDescent="0.25">
      <c r="A338" t="s">
        <v>29</v>
      </c>
      <c r="B338">
        <v>30012</v>
      </c>
      <c r="C338" s="8">
        <v>45579</v>
      </c>
      <c r="D338" s="9">
        <v>321600</v>
      </c>
      <c r="E338" s="10">
        <v>9</v>
      </c>
      <c r="F338" t="s">
        <v>110</v>
      </c>
      <c r="G338" s="11">
        <v>6</v>
      </c>
      <c r="H338" t="s">
        <v>31</v>
      </c>
      <c r="J338" s="12">
        <v>0</v>
      </c>
      <c r="L338" t="s">
        <v>38</v>
      </c>
      <c r="M338" s="13">
        <v>1800000</v>
      </c>
      <c r="N338" s="14">
        <v>11</v>
      </c>
      <c r="P338" s="14">
        <v>1</v>
      </c>
      <c r="Q338" s="15">
        <v>0.11</v>
      </c>
      <c r="R338" s="12">
        <v>0</v>
      </c>
      <c r="S338" s="12">
        <v>1</v>
      </c>
      <c r="T338" s="12">
        <v>0</v>
      </c>
      <c r="U338" s="12">
        <v>42980</v>
      </c>
      <c r="V338" s="12">
        <v>1</v>
      </c>
      <c r="W338" s="12">
        <v>172773.21408541477</v>
      </c>
      <c r="X338">
        <v>1</v>
      </c>
      <c r="Y338">
        <v>1</v>
      </c>
      <c r="Z338" s="15">
        <v>0.1598058165751419</v>
      </c>
      <c r="AA338" t="str">
        <f t="shared" si="15"/>
        <v>1-CT</v>
      </c>
      <c r="AB338" s="9">
        <f t="shared" si="16"/>
        <v>198000</v>
      </c>
      <c r="AC338" s="9">
        <f t="shared" si="17"/>
        <v>287650.46983525541</v>
      </c>
    </row>
    <row r="339" spans="1:29" x14ac:dyDescent="0.25">
      <c r="A339" t="s">
        <v>29</v>
      </c>
      <c r="B339">
        <v>30012</v>
      </c>
      <c r="C339" s="8">
        <v>45616</v>
      </c>
      <c r="D339" s="9">
        <v>311500</v>
      </c>
      <c r="E339" s="10">
        <v>2</v>
      </c>
      <c r="F339" t="s">
        <v>53</v>
      </c>
      <c r="G339" s="11">
        <v>6</v>
      </c>
      <c r="H339" t="s">
        <v>31</v>
      </c>
      <c r="J339" s="12">
        <v>0</v>
      </c>
      <c r="L339" t="s">
        <v>54</v>
      </c>
      <c r="M339" s="13">
        <v>5500000</v>
      </c>
      <c r="N339" s="14">
        <v>36</v>
      </c>
      <c r="P339" s="14">
        <v>1</v>
      </c>
      <c r="Q339" s="15">
        <v>0.10099999999999999</v>
      </c>
      <c r="R339" s="12">
        <v>110000</v>
      </c>
      <c r="S339" s="12">
        <v>1</v>
      </c>
      <c r="T339" s="12">
        <v>267900</v>
      </c>
      <c r="U339" s="12">
        <v>62800</v>
      </c>
      <c r="V339" s="12">
        <v>1</v>
      </c>
      <c r="W339" s="12">
        <v>177727.86348121561</v>
      </c>
      <c r="X339">
        <v>1</v>
      </c>
      <c r="Y339">
        <v>1</v>
      </c>
      <c r="Z339" s="15">
        <v>0.15943091056319891</v>
      </c>
      <c r="AA339" t="str">
        <f t="shared" si="15"/>
        <v>2-MT</v>
      </c>
      <c r="AB339" s="9">
        <f t="shared" si="16"/>
        <v>555500</v>
      </c>
      <c r="AC339" s="9">
        <f t="shared" si="17"/>
        <v>876870.00809759402</v>
      </c>
    </row>
    <row r="340" spans="1:29" x14ac:dyDescent="0.25">
      <c r="A340" t="s">
        <v>29</v>
      </c>
      <c r="B340">
        <v>30012</v>
      </c>
      <c r="C340" s="8">
        <v>45596</v>
      </c>
      <c r="D340" s="9">
        <v>311500</v>
      </c>
      <c r="E340" s="10">
        <v>2</v>
      </c>
      <c r="F340" t="s">
        <v>191</v>
      </c>
      <c r="G340" s="11">
        <v>6</v>
      </c>
      <c r="H340" t="s">
        <v>31</v>
      </c>
      <c r="J340" s="12">
        <v>0</v>
      </c>
      <c r="L340" t="s">
        <v>38</v>
      </c>
      <c r="M340" s="13">
        <v>4520000</v>
      </c>
      <c r="N340" s="14">
        <v>60</v>
      </c>
      <c r="P340" s="14">
        <v>1</v>
      </c>
      <c r="Q340" s="15">
        <v>0.1305</v>
      </c>
      <c r="R340" s="12">
        <v>135600</v>
      </c>
      <c r="S340" s="12">
        <v>1</v>
      </c>
      <c r="T340" s="12">
        <v>79000</v>
      </c>
      <c r="U340" s="12">
        <v>53000</v>
      </c>
      <c r="V340" s="12">
        <v>1</v>
      </c>
      <c r="W340" s="12">
        <v>102959.6188064828</v>
      </c>
      <c r="X340">
        <v>1</v>
      </c>
      <c r="Y340">
        <v>1</v>
      </c>
      <c r="Z340" s="15">
        <v>0.15800379935440684</v>
      </c>
      <c r="AA340" t="str">
        <f t="shared" si="15"/>
        <v>2-MT</v>
      </c>
      <c r="AB340" s="9">
        <f t="shared" si="16"/>
        <v>589860</v>
      </c>
      <c r="AC340" s="9">
        <f t="shared" si="17"/>
        <v>714177.17308191885</v>
      </c>
    </row>
    <row r="341" spans="1:29" x14ac:dyDescent="0.25">
      <c r="A341" t="s">
        <v>29</v>
      </c>
      <c r="B341">
        <v>30012</v>
      </c>
      <c r="C341" s="8">
        <v>45644</v>
      </c>
      <c r="D341" s="9">
        <v>311500</v>
      </c>
      <c r="E341" s="10">
        <v>2</v>
      </c>
      <c r="F341" t="s">
        <v>98</v>
      </c>
      <c r="G341" s="11">
        <v>6</v>
      </c>
      <c r="H341" t="s">
        <v>31</v>
      </c>
      <c r="J341" s="12">
        <v>0</v>
      </c>
      <c r="L341" t="s">
        <v>40</v>
      </c>
      <c r="M341" s="13">
        <v>4650000</v>
      </c>
      <c r="N341" s="14">
        <v>48</v>
      </c>
      <c r="P341" s="14">
        <v>1</v>
      </c>
      <c r="Q341" s="15">
        <v>0.128</v>
      </c>
      <c r="R341" s="12">
        <v>69750</v>
      </c>
      <c r="S341" s="12">
        <v>1</v>
      </c>
      <c r="T341" s="12">
        <v>123400</v>
      </c>
      <c r="U341" s="12">
        <v>54300</v>
      </c>
      <c r="V341" s="12">
        <v>1</v>
      </c>
      <c r="W341" s="12">
        <v>124286.76839311891</v>
      </c>
      <c r="X341">
        <v>1</v>
      </c>
      <c r="Y341">
        <v>1</v>
      </c>
      <c r="Z341" s="15">
        <v>0.15785671077824909</v>
      </c>
      <c r="AA341" t="str">
        <f t="shared" si="15"/>
        <v>2-MT</v>
      </c>
      <c r="AB341" s="9">
        <f t="shared" si="16"/>
        <v>595200</v>
      </c>
      <c r="AC341" s="9">
        <f t="shared" si="17"/>
        <v>734033.70511885826</v>
      </c>
    </row>
    <row r="342" spans="1:29" x14ac:dyDescent="0.25">
      <c r="A342" t="s">
        <v>29</v>
      </c>
      <c r="B342">
        <v>30012</v>
      </c>
      <c r="C342" s="8">
        <v>45596</v>
      </c>
      <c r="D342" s="9">
        <v>311500</v>
      </c>
      <c r="E342" s="10">
        <v>2</v>
      </c>
      <c r="F342" t="s">
        <v>175</v>
      </c>
      <c r="G342" s="11">
        <v>6</v>
      </c>
      <c r="H342" t="s">
        <v>31</v>
      </c>
      <c r="J342" s="12">
        <v>0</v>
      </c>
      <c r="L342" t="s">
        <v>40</v>
      </c>
      <c r="M342" s="13">
        <v>2890000</v>
      </c>
      <c r="N342" s="14">
        <v>60</v>
      </c>
      <c r="P342" s="14">
        <v>1</v>
      </c>
      <c r="Q342" s="15">
        <v>0.13800000000000001</v>
      </c>
      <c r="R342" s="12">
        <v>86700</v>
      </c>
      <c r="S342" s="12">
        <v>1</v>
      </c>
      <c r="T342" s="12">
        <v>0</v>
      </c>
      <c r="U342" s="12">
        <v>36700</v>
      </c>
      <c r="V342" s="12">
        <v>1</v>
      </c>
      <c r="W342" s="12">
        <v>66945.964223661722</v>
      </c>
      <c r="X342">
        <v>1</v>
      </c>
      <c r="Y342">
        <v>1</v>
      </c>
      <c r="Z342" s="15">
        <v>0.15773585216155389</v>
      </c>
      <c r="AA342" t="str">
        <f t="shared" si="15"/>
        <v>2-MT</v>
      </c>
      <c r="AB342" s="9">
        <f t="shared" si="16"/>
        <v>398820.00000000006</v>
      </c>
      <c r="AC342" s="9">
        <f t="shared" si="17"/>
        <v>455856.61274689075</v>
      </c>
    </row>
    <row r="343" spans="1:29" x14ac:dyDescent="0.25">
      <c r="A343" t="s">
        <v>29</v>
      </c>
      <c r="B343">
        <v>30012</v>
      </c>
      <c r="C343" s="8">
        <v>45631</v>
      </c>
      <c r="D343" s="9">
        <v>321600</v>
      </c>
      <c r="E343" s="10">
        <v>2</v>
      </c>
      <c r="F343" t="s">
        <v>115</v>
      </c>
      <c r="G343" s="11">
        <v>6</v>
      </c>
      <c r="H343" t="s">
        <v>31</v>
      </c>
      <c r="J343" s="12">
        <v>0</v>
      </c>
      <c r="L343" t="s">
        <v>32</v>
      </c>
      <c r="M343" s="13">
        <v>1100000</v>
      </c>
      <c r="N343" s="14">
        <v>24</v>
      </c>
      <c r="P343" s="14">
        <v>1</v>
      </c>
      <c r="Q343" s="15">
        <v>9.3000000000000013E-2</v>
      </c>
      <c r="R343" s="12">
        <v>25000</v>
      </c>
      <c r="S343" s="12">
        <v>1</v>
      </c>
      <c r="T343" s="12">
        <v>24300</v>
      </c>
      <c r="U343" s="12">
        <v>18800</v>
      </c>
      <c r="V343" s="12">
        <v>1</v>
      </c>
      <c r="W343" s="12">
        <v>50404.761825428141</v>
      </c>
      <c r="X343">
        <v>1</v>
      </c>
      <c r="Y343">
        <v>1</v>
      </c>
      <c r="Z343" s="15">
        <v>0.1575589825804338</v>
      </c>
      <c r="AA343" t="str">
        <f t="shared" si="15"/>
        <v>1-CT</v>
      </c>
      <c r="AB343" s="9">
        <f t="shared" si="16"/>
        <v>102300.00000000001</v>
      </c>
      <c r="AC343" s="9">
        <f t="shared" si="17"/>
        <v>173314.88083847717</v>
      </c>
    </row>
    <row r="344" spans="1:29" x14ac:dyDescent="0.25">
      <c r="A344" t="s">
        <v>29</v>
      </c>
      <c r="B344">
        <v>30012</v>
      </c>
      <c r="C344" s="8">
        <v>45594</v>
      </c>
      <c r="D344" s="9">
        <v>311500</v>
      </c>
      <c r="E344" s="10">
        <v>2</v>
      </c>
      <c r="F344" t="s">
        <v>185</v>
      </c>
      <c r="G344" s="11">
        <v>6</v>
      </c>
      <c r="H344" t="s">
        <v>31</v>
      </c>
      <c r="J344" s="12">
        <v>0</v>
      </c>
      <c r="M344" s="13">
        <v>4000000</v>
      </c>
      <c r="N344" s="14">
        <v>60</v>
      </c>
      <c r="P344" s="14">
        <v>1</v>
      </c>
      <c r="Q344" s="15">
        <v>0.13800000000000001</v>
      </c>
      <c r="R344" s="12">
        <v>120000</v>
      </c>
      <c r="S344" s="12">
        <v>1</v>
      </c>
      <c r="T344" s="12">
        <v>0</v>
      </c>
      <c r="U344" s="12">
        <v>47800</v>
      </c>
      <c r="V344" s="12">
        <v>1</v>
      </c>
      <c r="W344" s="12">
        <v>92658.774011988557</v>
      </c>
      <c r="X344">
        <v>1</v>
      </c>
      <c r="Y344">
        <v>1</v>
      </c>
      <c r="Z344" s="15">
        <v>0.15737877444366641</v>
      </c>
      <c r="AA344" t="str">
        <f t="shared" si="15"/>
        <v>2-MT</v>
      </c>
      <c r="AB344" s="9">
        <f t="shared" si="16"/>
        <v>552000</v>
      </c>
      <c r="AC344" s="9">
        <f t="shared" si="17"/>
        <v>629515.09777466569</v>
      </c>
    </row>
    <row r="345" spans="1:29" x14ac:dyDescent="0.25">
      <c r="A345" t="s">
        <v>29</v>
      </c>
      <c r="B345">
        <v>30012</v>
      </c>
      <c r="C345" s="8">
        <v>45636</v>
      </c>
      <c r="D345" s="9">
        <v>311500</v>
      </c>
      <c r="E345" s="10">
        <v>2</v>
      </c>
      <c r="F345" t="s">
        <v>30</v>
      </c>
      <c r="G345" s="11">
        <v>6</v>
      </c>
      <c r="H345" t="s">
        <v>31</v>
      </c>
      <c r="J345" s="12">
        <v>0</v>
      </c>
      <c r="L345" t="s">
        <v>38</v>
      </c>
      <c r="M345" s="13">
        <v>4265000</v>
      </c>
      <c r="N345" s="14">
        <v>60</v>
      </c>
      <c r="P345" s="14">
        <v>1</v>
      </c>
      <c r="Q345" s="15">
        <v>0.1305</v>
      </c>
      <c r="R345" s="12">
        <v>127950</v>
      </c>
      <c r="S345" s="12">
        <v>1</v>
      </c>
      <c r="T345" s="12">
        <v>68122</v>
      </c>
      <c r="U345" s="12">
        <v>50450</v>
      </c>
      <c r="V345" s="12">
        <v>1</v>
      </c>
      <c r="W345" s="12">
        <v>97151.056241072816</v>
      </c>
      <c r="X345">
        <v>1</v>
      </c>
      <c r="Y345">
        <v>1</v>
      </c>
      <c r="Z345" s="15">
        <v>0.15732364203370736</v>
      </c>
      <c r="AA345" t="str">
        <f t="shared" si="15"/>
        <v>2-MT</v>
      </c>
      <c r="AB345" s="9">
        <f t="shared" si="16"/>
        <v>556582.5</v>
      </c>
      <c r="AC345" s="9">
        <f t="shared" si="17"/>
        <v>670985.33327376191</v>
      </c>
    </row>
    <row r="346" spans="1:29" x14ac:dyDescent="0.25">
      <c r="A346" t="s">
        <v>29</v>
      </c>
      <c r="B346">
        <v>30012</v>
      </c>
      <c r="C346" s="8">
        <v>45596</v>
      </c>
      <c r="D346" s="9">
        <v>311500</v>
      </c>
      <c r="E346" s="10">
        <v>2</v>
      </c>
      <c r="F346" t="s">
        <v>77</v>
      </c>
      <c r="G346" s="11">
        <v>6</v>
      </c>
      <c r="H346" t="s">
        <v>31</v>
      </c>
      <c r="J346" s="12">
        <v>0</v>
      </c>
      <c r="L346" t="s">
        <v>54</v>
      </c>
      <c r="M346" s="13">
        <v>5000000</v>
      </c>
      <c r="N346" s="14">
        <v>60</v>
      </c>
      <c r="P346" s="14">
        <v>1</v>
      </c>
      <c r="Q346" s="15">
        <v>0.13800000000000001</v>
      </c>
      <c r="R346" s="12">
        <v>150000</v>
      </c>
      <c r="S346" s="12">
        <v>1</v>
      </c>
      <c r="T346" s="12">
        <v>0</v>
      </c>
      <c r="U346" s="12">
        <v>57800</v>
      </c>
      <c r="V346" s="12">
        <v>1</v>
      </c>
      <c r="W346" s="12">
        <v>115823.46751498569</v>
      </c>
      <c r="X346">
        <v>1</v>
      </c>
      <c r="Y346">
        <v>1</v>
      </c>
      <c r="Z346" s="15">
        <v>0.15719299665724237</v>
      </c>
      <c r="AA346" t="str">
        <f t="shared" si="15"/>
        <v>2-MT</v>
      </c>
      <c r="AB346" s="9">
        <f t="shared" si="16"/>
        <v>690000</v>
      </c>
      <c r="AC346" s="9">
        <f t="shared" si="17"/>
        <v>785964.98328621185</v>
      </c>
    </row>
    <row r="347" spans="1:29" x14ac:dyDescent="0.25">
      <c r="A347" t="s">
        <v>29</v>
      </c>
      <c r="B347">
        <v>30012</v>
      </c>
      <c r="C347" s="8">
        <v>45632</v>
      </c>
      <c r="D347" s="9">
        <v>311500</v>
      </c>
      <c r="E347" s="10">
        <v>2</v>
      </c>
      <c r="F347" t="s">
        <v>110</v>
      </c>
      <c r="G347" s="11">
        <v>6</v>
      </c>
      <c r="H347" t="s">
        <v>31</v>
      </c>
      <c r="J347" s="12">
        <v>0</v>
      </c>
      <c r="L347" t="s">
        <v>32</v>
      </c>
      <c r="M347" s="13">
        <v>4650000</v>
      </c>
      <c r="N347" s="14">
        <v>60</v>
      </c>
      <c r="P347" s="14">
        <v>1</v>
      </c>
      <c r="Q347" s="15">
        <v>0.13800000000000001</v>
      </c>
      <c r="R347" s="12">
        <v>93000</v>
      </c>
      <c r="S347" s="12">
        <v>1</v>
      </c>
      <c r="T347" s="12">
        <v>0</v>
      </c>
      <c r="U347" s="12">
        <v>99640</v>
      </c>
      <c r="V347" s="12">
        <v>1</v>
      </c>
      <c r="W347" s="12">
        <v>107715.82478893669</v>
      </c>
      <c r="X347">
        <v>1</v>
      </c>
      <c r="Y347">
        <v>1</v>
      </c>
      <c r="Z347" s="15">
        <v>0.15713012233094797</v>
      </c>
      <c r="AA347" t="str">
        <f t="shared" si="15"/>
        <v>2-MT</v>
      </c>
      <c r="AB347" s="9">
        <f t="shared" si="16"/>
        <v>641700</v>
      </c>
      <c r="AC347" s="9">
        <f t="shared" si="17"/>
        <v>730655.0688389081</v>
      </c>
    </row>
    <row r="348" spans="1:29" x14ac:dyDescent="0.25">
      <c r="A348" t="s">
        <v>29</v>
      </c>
      <c r="B348">
        <v>30012</v>
      </c>
      <c r="C348" s="8">
        <v>45581</v>
      </c>
      <c r="D348" s="9">
        <v>311500</v>
      </c>
      <c r="E348" s="10">
        <v>2</v>
      </c>
      <c r="F348" t="s">
        <v>57</v>
      </c>
      <c r="G348" s="11">
        <v>6</v>
      </c>
      <c r="H348" t="s">
        <v>31</v>
      </c>
      <c r="J348" s="12">
        <v>0</v>
      </c>
      <c r="L348" t="s">
        <v>36</v>
      </c>
      <c r="M348" s="13">
        <v>5000000</v>
      </c>
      <c r="N348" s="14">
        <v>60</v>
      </c>
      <c r="P348" s="14">
        <v>1</v>
      </c>
      <c r="Q348" s="15">
        <v>0.1305</v>
      </c>
      <c r="R348" s="12">
        <v>150000</v>
      </c>
      <c r="S348" s="12">
        <v>1</v>
      </c>
      <c r="T348" s="12">
        <v>79000</v>
      </c>
      <c r="U348" s="12">
        <v>57800</v>
      </c>
      <c r="V348" s="12">
        <v>1</v>
      </c>
      <c r="W348" s="12">
        <v>113893.38363548981</v>
      </c>
      <c r="X348">
        <v>1</v>
      </c>
      <c r="Y348">
        <v>1</v>
      </c>
      <c r="Z348" s="15">
        <v>0.15710997360387985</v>
      </c>
      <c r="AA348" t="str">
        <f t="shared" si="15"/>
        <v>2-MT</v>
      </c>
      <c r="AB348" s="9">
        <f t="shared" si="16"/>
        <v>652500</v>
      </c>
      <c r="AC348" s="9">
        <f t="shared" si="17"/>
        <v>785549.86801939923</v>
      </c>
    </row>
    <row r="349" spans="1:29" x14ac:dyDescent="0.25">
      <c r="A349" t="s">
        <v>29</v>
      </c>
      <c r="B349">
        <v>30012</v>
      </c>
      <c r="C349" s="8">
        <v>45588</v>
      </c>
      <c r="D349" s="9">
        <v>311500</v>
      </c>
      <c r="E349" s="10">
        <v>2</v>
      </c>
      <c r="F349" t="s">
        <v>199</v>
      </c>
      <c r="G349" s="11">
        <v>6</v>
      </c>
      <c r="H349" t="s">
        <v>31</v>
      </c>
      <c r="J349" s="12">
        <v>0</v>
      </c>
      <c r="L349" t="s">
        <v>40</v>
      </c>
      <c r="M349" s="13">
        <v>6000000</v>
      </c>
      <c r="N349" s="14">
        <v>60</v>
      </c>
      <c r="P349" s="14">
        <v>1</v>
      </c>
      <c r="Q349" s="15">
        <v>0.13800000000000001</v>
      </c>
      <c r="R349" s="12">
        <v>180000</v>
      </c>
      <c r="S349" s="12">
        <v>1</v>
      </c>
      <c r="T349" s="12">
        <v>0</v>
      </c>
      <c r="U349" s="12">
        <v>67800</v>
      </c>
      <c r="V349" s="12">
        <v>1</v>
      </c>
      <c r="W349" s="12">
        <v>138988.16101798284</v>
      </c>
      <c r="X349">
        <v>1</v>
      </c>
      <c r="Y349">
        <v>1</v>
      </c>
      <c r="Z349" s="15">
        <v>0.15706920558801007</v>
      </c>
      <c r="AA349" t="str">
        <f t="shared" si="15"/>
        <v>2-MT</v>
      </c>
      <c r="AB349" s="9">
        <f t="shared" si="16"/>
        <v>828000.00000000012</v>
      </c>
      <c r="AC349" s="9">
        <f t="shared" si="17"/>
        <v>942415.23352806049</v>
      </c>
    </row>
    <row r="350" spans="1:29" x14ac:dyDescent="0.25">
      <c r="A350" t="s">
        <v>29</v>
      </c>
      <c r="B350">
        <v>30012</v>
      </c>
      <c r="C350" s="8">
        <v>45576</v>
      </c>
      <c r="D350" s="9">
        <v>311500</v>
      </c>
      <c r="E350" s="10">
        <v>2</v>
      </c>
      <c r="F350" t="s">
        <v>114</v>
      </c>
      <c r="G350" s="11">
        <v>6</v>
      </c>
      <c r="H350" t="s">
        <v>31</v>
      </c>
      <c r="J350" s="12">
        <v>0</v>
      </c>
      <c r="L350" t="s">
        <v>38</v>
      </c>
      <c r="M350" s="13">
        <v>6230000</v>
      </c>
      <c r="N350" s="14">
        <v>60</v>
      </c>
      <c r="P350" s="14">
        <v>1</v>
      </c>
      <c r="Q350" s="15">
        <v>0.1305</v>
      </c>
      <c r="R350" s="12">
        <v>186900</v>
      </c>
      <c r="S350" s="12">
        <v>1</v>
      </c>
      <c r="T350" s="12">
        <v>97204</v>
      </c>
      <c r="U350" s="12">
        <v>70100</v>
      </c>
      <c r="V350" s="12">
        <v>1</v>
      </c>
      <c r="W350" s="12">
        <v>141911.15600982029</v>
      </c>
      <c r="X350">
        <v>1</v>
      </c>
      <c r="Y350">
        <v>1</v>
      </c>
      <c r="Z350" s="15">
        <v>0.15686536402485912</v>
      </c>
      <c r="AA350" t="str">
        <f t="shared" si="15"/>
        <v>2-MT</v>
      </c>
      <c r="AB350" s="9">
        <f t="shared" si="16"/>
        <v>813015</v>
      </c>
      <c r="AC350" s="9">
        <f t="shared" si="17"/>
        <v>977271.21787487238</v>
      </c>
    </row>
    <row r="351" spans="1:29" x14ac:dyDescent="0.25">
      <c r="A351" t="s">
        <v>29</v>
      </c>
      <c r="B351">
        <v>30012</v>
      </c>
      <c r="C351" s="8">
        <v>45568</v>
      </c>
      <c r="D351" s="9">
        <v>311500</v>
      </c>
      <c r="E351" s="10">
        <v>2</v>
      </c>
      <c r="F351" t="s">
        <v>92</v>
      </c>
      <c r="G351" s="11">
        <v>6</v>
      </c>
      <c r="H351" t="s">
        <v>31</v>
      </c>
      <c r="J351" s="12">
        <v>0</v>
      </c>
      <c r="L351" t="s">
        <v>32</v>
      </c>
      <c r="M351" s="13">
        <v>2500000</v>
      </c>
      <c r="N351" s="14">
        <v>48</v>
      </c>
      <c r="P351" s="14">
        <v>1</v>
      </c>
      <c r="Q351" s="15">
        <v>0.128</v>
      </c>
      <c r="R351" s="12">
        <v>62500</v>
      </c>
      <c r="S351" s="12">
        <v>1</v>
      </c>
      <c r="T351" s="12">
        <v>33250</v>
      </c>
      <c r="U351" s="12">
        <v>32800</v>
      </c>
      <c r="V351" s="12">
        <v>1</v>
      </c>
      <c r="W351" s="12">
        <v>66820.843222106938</v>
      </c>
      <c r="X351">
        <v>1</v>
      </c>
      <c r="Y351">
        <v>1</v>
      </c>
      <c r="Z351" s="15">
        <v>0.15681076368632874</v>
      </c>
      <c r="AA351" t="str">
        <f t="shared" si="15"/>
        <v>2-MT</v>
      </c>
      <c r="AB351" s="9">
        <f t="shared" si="16"/>
        <v>320000</v>
      </c>
      <c r="AC351" s="9">
        <f t="shared" si="17"/>
        <v>392026.90921582183</v>
      </c>
    </row>
    <row r="352" spans="1:29" x14ac:dyDescent="0.25">
      <c r="A352" t="s">
        <v>29</v>
      </c>
      <c r="B352">
        <v>30012</v>
      </c>
      <c r="C352" s="8">
        <v>45632</v>
      </c>
      <c r="D352" s="9">
        <v>311500</v>
      </c>
      <c r="E352" s="10">
        <v>2</v>
      </c>
      <c r="F352" t="s">
        <v>179</v>
      </c>
      <c r="G352" s="11">
        <v>6</v>
      </c>
      <c r="H352" t="s">
        <v>31</v>
      </c>
      <c r="J352" s="12">
        <v>0</v>
      </c>
      <c r="L352" t="s">
        <v>38</v>
      </c>
      <c r="M352" s="13">
        <v>70000000</v>
      </c>
      <c r="N352" s="14">
        <v>96</v>
      </c>
      <c r="P352" s="14">
        <v>1</v>
      </c>
      <c r="Q352" s="15">
        <v>0.1305</v>
      </c>
      <c r="R352" s="12">
        <v>2100000</v>
      </c>
      <c r="S352" s="12">
        <v>1</v>
      </c>
      <c r="T352" s="12">
        <v>3624000</v>
      </c>
      <c r="U352" s="12">
        <v>0</v>
      </c>
      <c r="V352" s="12">
        <v>1</v>
      </c>
      <c r="W352" s="12">
        <v>1178466.468116859</v>
      </c>
      <c r="X352">
        <v>1</v>
      </c>
      <c r="Y352">
        <v>1</v>
      </c>
      <c r="Z352" s="15">
        <v>0.15668695524016851</v>
      </c>
      <c r="AA352" t="str">
        <f t="shared" si="15"/>
        <v>3-LT</v>
      </c>
      <c r="AB352" s="9">
        <f t="shared" si="16"/>
        <v>9135000</v>
      </c>
      <c r="AC352" s="9">
        <f t="shared" si="17"/>
        <v>10968086.866811795</v>
      </c>
    </row>
    <row r="353" spans="1:29" x14ac:dyDescent="0.25">
      <c r="A353" t="s">
        <v>29</v>
      </c>
      <c r="B353">
        <v>30012</v>
      </c>
      <c r="C353" s="8">
        <v>45643</v>
      </c>
      <c r="D353" s="9">
        <v>311500</v>
      </c>
      <c r="E353" s="10">
        <v>2</v>
      </c>
      <c r="F353" t="s">
        <v>138</v>
      </c>
      <c r="G353" s="11">
        <v>6</v>
      </c>
      <c r="H353" t="s">
        <v>31</v>
      </c>
      <c r="J353" s="12">
        <v>0</v>
      </c>
      <c r="L353" t="s">
        <v>32</v>
      </c>
      <c r="M353" s="13">
        <v>4000000</v>
      </c>
      <c r="N353" s="14">
        <v>48</v>
      </c>
      <c r="P353" s="14">
        <v>1</v>
      </c>
      <c r="Q353" s="15">
        <v>0.128</v>
      </c>
      <c r="R353" s="12">
        <v>60000</v>
      </c>
      <c r="S353" s="12">
        <v>1</v>
      </c>
      <c r="T353" s="12">
        <v>97000</v>
      </c>
      <c r="U353" s="12">
        <v>47800</v>
      </c>
      <c r="V353" s="12">
        <v>1</v>
      </c>
      <c r="W353" s="12">
        <v>106913.34915537111</v>
      </c>
      <c r="X353">
        <v>1</v>
      </c>
      <c r="Y353">
        <v>1</v>
      </c>
      <c r="Z353" s="15">
        <v>0.15668276864904049</v>
      </c>
      <c r="AA353" t="str">
        <f t="shared" si="15"/>
        <v>2-MT</v>
      </c>
      <c r="AB353" s="9">
        <f t="shared" si="16"/>
        <v>512000</v>
      </c>
      <c r="AC353" s="9">
        <f t="shared" si="17"/>
        <v>626731.07459616195</v>
      </c>
    </row>
    <row r="354" spans="1:29" x14ac:dyDescent="0.25">
      <c r="A354" t="s">
        <v>29</v>
      </c>
      <c r="B354">
        <v>30012</v>
      </c>
      <c r="C354" s="8">
        <v>45638</v>
      </c>
      <c r="D354" s="9">
        <v>311500</v>
      </c>
      <c r="E354" s="10">
        <v>2</v>
      </c>
      <c r="F354" t="s">
        <v>181</v>
      </c>
      <c r="G354" s="11">
        <v>6</v>
      </c>
      <c r="H354" t="s">
        <v>31</v>
      </c>
      <c r="J354" s="12">
        <v>0</v>
      </c>
      <c r="L354" t="s">
        <v>182</v>
      </c>
      <c r="M354" s="13">
        <v>10000000</v>
      </c>
      <c r="N354" s="14">
        <v>36</v>
      </c>
      <c r="P354" s="14">
        <v>1</v>
      </c>
      <c r="Q354" s="15">
        <v>0.125</v>
      </c>
      <c r="R354" s="12">
        <v>150000</v>
      </c>
      <c r="S354" s="12">
        <v>1</v>
      </c>
      <c r="T354" s="12">
        <v>173000</v>
      </c>
      <c r="U354" s="12">
        <v>107800</v>
      </c>
      <c r="V354" s="12">
        <v>1</v>
      </c>
      <c r="W354" s="12">
        <v>334536.25576716522</v>
      </c>
      <c r="X354">
        <v>1</v>
      </c>
      <c r="Y354">
        <v>1</v>
      </c>
      <c r="Z354" s="15">
        <v>0.15599629041055793</v>
      </c>
      <c r="AA354" t="str">
        <f t="shared" si="15"/>
        <v>2-MT</v>
      </c>
      <c r="AB354" s="9">
        <f t="shared" si="16"/>
        <v>1250000</v>
      </c>
      <c r="AC354" s="9">
        <f t="shared" si="17"/>
        <v>1559962.9041055792</v>
      </c>
    </row>
    <row r="355" spans="1:29" x14ac:dyDescent="0.25">
      <c r="A355" t="s">
        <v>29</v>
      </c>
      <c r="B355">
        <v>30012</v>
      </c>
      <c r="C355" s="8">
        <v>45622</v>
      </c>
      <c r="D355" s="9">
        <v>321300</v>
      </c>
      <c r="E355" s="10">
        <v>9</v>
      </c>
      <c r="F355" t="s">
        <v>200</v>
      </c>
      <c r="G355" s="11" t="s">
        <v>201</v>
      </c>
      <c r="H355" t="s">
        <v>31</v>
      </c>
      <c r="I355" t="s">
        <v>202</v>
      </c>
      <c r="J355" s="12">
        <v>4328736000</v>
      </c>
      <c r="L355" t="s">
        <v>109</v>
      </c>
      <c r="M355" s="13">
        <v>200000000</v>
      </c>
      <c r="N355" s="14">
        <v>6</v>
      </c>
      <c r="P355" s="14">
        <v>1</v>
      </c>
      <c r="Q355" s="15">
        <v>0.09</v>
      </c>
      <c r="R355" s="12">
        <v>3720000</v>
      </c>
      <c r="S355" s="12">
        <v>1</v>
      </c>
      <c r="T355" s="12">
        <v>0</v>
      </c>
      <c r="U355" s="12">
        <v>0</v>
      </c>
      <c r="V355" s="12">
        <v>1</v>
      </c>
      <c r="W355" s="12">
        <v>34213781.489913836</v>
      </c>
      <c r="X355">
        <v>1</v>
      </c>
      <c r="Y355">
        <v>1</v>
      </c>
      <c r="Z355" s="15">
        <v>0.15558670501972538</v>
      </c>
      <c r="AA355" t="str">
        <f t="shared" si="15"/>
        <v>1-CT</v>
      </c>
      <c r="AB355" s="9">
        <f t="shared" si="16"/>
        <v>18000000</v>
      </c>
      <c r="AC355" s="9">
        <f t="shared" si="17"/>
        <v>31117341.003945075</v>
      </c>
    </row>
    <row r="356" spans="1:29" x14ac:dyDescent="0.25">
      <c r="A356" t="s">
        <v>29</v>
      </c>
      <c r="B356">
        <v>30012</v>
      </c>
      <c r="C356" s="8">
        <v>45644</v>
      </c>
      <c r="D356" s="9">
        <v>311500</v>
      </c>
      <c r="E356" s="10">
        <v>2</v>
      </c>
      <c r="F356" t="s">
        <v>199</v>
      </c>
      <c r="G356" s="11">
        <v>6</v>
      </c>
      <c r="H356" t="s">
        <v>31</v>
      </c>
      <c r="J356" s="12">
        <v>0</v>
      </c>
      <c r="L356" t="s">
        <v>187</v>
      </c>
      <c r="M356" s="13">
        <v>15000000</v>
      </c>
      <c r="N356" s="14">
        <v>36</v>
      </c>
      <c r="P356" s="14">
        <v>1</v>
      </c>
      <c r="Q356" s="15">
        <v>0.12050000000000001</v>
      </c>
      <c r="R356" s="12">
        <v>225000</v>
      </c>
      <c r="S356" s="12">
        <v>1</v>
      </c>
      <c r="T356" s="12">
        <v>322500</v>
      </c>
      <c r="U356" s="12">
        <v>157800</v>
      </c>
      <c r="V356" s="12">
        <v>1</v>
      </c>
      <c r="W356" s="12">
        <v>498572.9379006761</v>
      </c>
      <c r="X356">
        <v>1</v>
      </c>
      <c r="Y356">
        <v>1</v>
      </c>
      <c r="Z356" s="15">
        <v>0.15433857761721492</v>
      </c>
      <c r="AA356" t="str">
        <f t="shared" si="15"/>
        <v>2-MT</v>
      </c>
      <c r="AB356" s="9">
        <f t="shared" si="16"/>
        <v>1807500.0000000002</v>
      </c>
      <c r="AC356" s="9">
        <f t="shared" si="17"/>
        <v>2315078.664258224</v>
      </c>
    </row>
    <row r="357" spans="1:29" x14ac:dyDescent="0.25">
      <c r="A357" t="s">
        <v>29</v>
      </c>
      <c r="B357">
        <v>30012</v>
      </c>
      <c r="C357" s="8">
        <v>45649</v>
      </c>
      <c r="D357" s="9">
        <v>311500</v>
      </c>
      <c r="E357" s="10">
        <v>2</v>
      </c>
      <c r="F357" t="s">
        <v>167</v>
      </c>
      <c r="G357" s="11">
        <v>6</v>
      </c>
      <c r="H357" t="s">
        <v>31</v>
      </c>
      <c r="J357" s="12">
        <v>0</v>
      </c>
      <c r="L357" t="s">
        <v>32</v>
      </c>
      <c r="M357" s="13">
        <v>5000000</v>
      </c>
      <c r="N357" s="14">
        <v>60</v>
      </c>
      <c r="P357" s="14">
        <v>1</v>
      </c>
      <c r="Q357" s="15">
        <v>0.13800000000000001</v>
      </c>
      <c r="R357" s="12">
        <v>100000</v>
      </c>
      <c r="S357" s="12">
        <v>1</v>
      </c>
      <c r="T357" s="12">
        <v>15300</v>
      </c>
      <c r="U357" s="12">
        <v>57800</v>
      </c>
      <c r="V357" s="12">
        <v>1</v>
      </c>
      <c r="W357" s="12">
        <v>115823.46751498569</v>
      </c>
      <c r="X357">
        <v>1</v>
      </c>
      <c r="Y357">
        <v>1</v>
      </c>
      <c r="Z357" s="15">
        <v>0.15390529096284067</v>
      </c>
      <c r="AA357" t="str">
        <f t="shared" si="15"/>
        <v>2-MT</v>
      </c>
      <c r="AB357" s="9">
        <f t="shared" si="16"/>
        <v>690000</v>
      </c>
      <c r="AC357" s="9">
        <f t="shared" si="17"/>
        <v>769526.45481420332</v>
      </c>
    </row>
    <row r="358" spans="1:29" x14ac:dyDescent="0.25">
      <c r="A358" t="s">
        <v>29</v>
      </c>
      <c r="B358">
        <v>30012</v>
      </c>
      <c r="C358" s="8">
        <v>45589</v>
      </c>
      <c r="D358" s="9">
        <v>311500</v>
      </c>
      <c r="E358" s="10">
        <v>2</v>
      </c>
      <c r="F358" t="s">
        <v>106</v>
      </c>
      <c r="G358" s="11">
        <v>6</v>
      </c>
      <c r="H358" t="s">
        <v>31</v>
      </c>
      <c r="J358" s="12">
        <v>0</v>
      </c>
      <c r="L358" t="s">
        <v>38</v>
      </c>
      <c r="M358" s="13">
        <v>8700000</v>
      </c>
      <c r="N358" s="14">
        <v>48</v>
      </c>
      <c r="P358" s="14">
        <v>1</v>
      </c>
      <c r="Q358" s="15">
        <v>0.12050000000000001</v>
      </c>
      <c r="R358" s="12">
        <v>217500</v>
      </c>
      <c r="S358" s="12">
        <v>1</v>
      </c>
      <c r="T358" s="12">
        <v>205100</v>
      </c>
      <c r="U358" s="12">
        <v>94800</v>
      </c>
      <c r="V358" s="12">
        <v>1</v>
      </c>
      <c r="W358" s="12">
        <v>229318.00753876771</v>
      </c>
      <c r="X358">
        <v>1</v>
      </c>
      <c r="Y358">
        <v>1</v>
      </c>
      <c r="Z358" s="15">
        <v>0.15382605404867344</v>
      </c>
      <c r="AA358" t="str">
        <f t="shared" si="15"/>
        <v>2-MT</v>
      </c>
      <c r="AB358" s="9">
        <f t="shared" si="16"/>
        <v>1048350.0000000001</v>
      </c>
      <c r="AC358" s="9">
        <f t="shared" si="17"/>
        <v>1338286.6702234589</v>
      </c>
    </row>
    <row r="359" spans="1:29" x14ac:dyDescent="0.25">
      <c r="A359" t="s">
        <v>29</v>
      </c>
      <c r="B359">
        <v>30012</v>
      </c>
      <c r="C359" s="8">
        <v>45574</v>
      </c>
      <c r="D359" s="9">
        <v>321600</v>
      </c>
      <c r="E359" s="10">
        <v>2</v>
      </c>
      <c r="F359" t="s">
        <v>159</v>
      </c>
      <c r="G359" s="11">
        <v>6</v>
      </c>
      <c r="H359" t="s">
        <v>31</v>
      </c>
      <c r="J359" s="12">
        <v>0</v>
      </c>
      <c r="L359" t="s">
        <v>40</v>
      </c>
      <c r="M359" s="13">
        <v>1400000</v>
      </c>
      <c r="N359" s="14">
        <v>24</v>
      </c>
      <c r="P359" s="14">
        <v>1</v>
      </c>
      <c r="Q359" s="15">
        <v>9.3000000000000013E-2</v>
      </c>
      <c r="R359" s="12">
        <v>60000</v>
      </c>
      <c r="S359" s="12">
        <v>1</v>
      </c>
      <c r="T359" s="12">
        <v>0</v>
      </c>
      <c r="U359" s="12">
        <v>21800</v>
      </c>
      <c r="V359" s="12">
        <v>1</v>
      </c>
      <c r="W359" s="12">
        <v>64151.515050544906</v>
      </c>
      <c r="X359">
        <v>1</v>
      </c>
      <c r="Y359">
        <v>1</v>
      </c>
      <c r="Z359" s="15">
        <v>0.15377078528757254</v>
      </c>
      <c r="AA359" t="str">
        <f t="shared" si="15"/>
        <v>1-CT</v>
      </c>
      <c r="AB359" s="9">
        <f t="shared" si="16"/>
        <v>130200.00000000001</v>
      </c>
      <c r="AC359" s="9">
        <f t="shared" si="17"/>
        <v>215279.09940260157</v>
      </c>
    </row>
    <row r="360" spans="1:29" x14ac:dyDescent="0.25">
      <c r="A360" t="s">
        <v>29</v>
      </c>
      <c r="B360">
        <v>30012</v>
      </c>
      <c r="C360" s="8">
        <v>45639</v>
      </c>
      <c r="D360" s="9">
        <v>311500</v>
      </c>
      <c r="E360" s="10">
        <v>2</v>
      </c>
      <c r="F360" t="s">
        <v>203</v>
      </c>
      <c r="G360" s="11">
        <v>6</v>
      </c>
      <c r="H360" t="s">
        <v>31</v>
      </c>
      <c r="J360" s="12">
        <v>0</v>
      </c>
      <c r="L360" t="s">
        <v>40</v>
      </c>
      <c r="M360" s="13">
        <v>2000000</v>
      </c>
      <c r="N360" s="14">
        <v>40</v>
      </c>
      <c r="P360" s="14">
        <v>1</v>
      </c>
      <c r="Q360" s="15">
        <v>0.128</v>
      </c>
      <c r="R360" s="12">
        <v>50000</v>
      </c>
      <c r="S360" s="12">
        <v>1</v>
      </c>
      <c r="T360" s="12">
        <v>0</v>
      </c>
      <c r="U360" s="12">
        <v>27800</v>
      </c>
      <c r="V360" s="12">
        <v>1</v>
      </c>
      <c r="W360" s="12">
        <v>61685.108034726545</v>
      </c>
      <c r="X360">
        <v>1</v>
      </c>
      <c r="Y360">
        <v>1</v>
      </c>
      <c r="Z360" s="15">
        <v>0.15341659433571164</v>
      </c>
      <c r="AA360" t="str">
        <f t="shared" si="15"/>
        <v>2-MT</v>
      </c>
      <c r="AB360" s="9">
        <f t="shared" si="16"/>
        <v>256000</v>
      </c>
      <c r="AC360" s="9">
        <f t="shared" si="17"/>
        <v>306833.1886714233</v>
      </c>
    </row>
    <row r="361" spans="1:29" x14ac:dyDescent="0.25">
      <c r="A361" t="s">
        <v>29</v>
      </c>
      <c r="B361">
        <v>30012</v>
      </c>
      <c r="C361" s="8">
        <v>45649</v>
      </c>
      <c r="D361" s="9">
        <v>311500</v>
      </c>
      <c r="E361" s="10">
        <v>2</v>
      </c>
      <c r="F361" t="s">
        <v>195</v>
      </c>
      <c r="G361" s="11">
        <v>6</v>
      </c>
      <c r="H361" t="s">
        <v>31</v>
      </c>
      <c r="J361" s="12">
        <v>0</v>
      </c>
      <c r="L361" t="s">
        <v>38</v>
      </c>
      <c r="M361" s="13">
        <v>3300000</v>
      </c>
      <c r="N361" s="14">
        <v>60</v>
      </c>
      <c r="P361" s="14">
        <v>1</v>
      </c>
      <c r="Q361" s="15">
        <v>0.1305</v>
      </c>
      <c r="R361" s="12">
        <v>66000</v>
      </c>
      <c r="S361" s="12">
        <v>1</v>
      </c>
      <c r="T361" s="12">
        <v>54284</v>
      </c>
      <c r="U361" s="12">
        <v>40800</v>
      </c>
      <c r="V361" s="12">
        <v>1</v>
      </c>
      <c r="W361" s="12">
        <v>75169.63319942329</v>
      </c>
      <c r="X361">
        <v>1</v>
      </c>
      <c r="Y361">
        <v>1</v>
      </c>
      <c r="Z361" s="15">
        <v>0.15299899819248852</v>
      </c>
      <c r="AA361" t="str">
        <f t="shared" si="15"/>
        <v>2-MT</v>
      </c>
      <c r="AB361" s="9">
        <f t="shared" si="16"/>
        <v>430650</v>
      </c>
      <c r="AC361" s="9">
        <f t="shared" si="17"/>
        <v>504896.6940352121</v>
      </c>
    </row>
    <row r="362" spans="1:29" x14ac:dyDescent="0.25">
      <c r="A362" t="s">
        <v>29</v>
      </c>
      <c r="B362">
        <v>30012</v>
      </c>
      <c r="C362" s="8">
        <v>45567</v>
      </c>
      <c r="D362" s="9">
        <v>311500</v>
      </c>
      <c r="E362" s="10">
        <v>2</v>
      </c>
      <c r="F362" t="s">
        <v>127</v>
      </c>
      <c r="G362" s="11">
        <v>6</v>
      </c>
      <c r="H362" t="s">
        <v>31</v>
      </c>
      <c r="J362" s="12">
        <v>0</v>
      </c>
      <c r="L362" t="s">
        <v>40</v>
      </c>
      <c r="M362" s="13">
        <v>3650000</v>
      </c>
      <c r="N362" s="14">
        <v>16</v>
      </c>
      <c r="P362" s="14">
        <v>2</v>
      </c>
      <c r="Q362" s="15">
        <v>0.13800000000000001</v>
      </c>
      <c r="R362" s="12">
        <v>109500</v>
      </c>
      <c r="S362" s="12">
        <v>1</v>
      </c>
      <c r="T362" s="12">
        <v>245535</v>
      </c>
      <c r="U362" s="12">
        <v>44300</v>
      </c>
      <c r="V362" s="12">
        <v>1</v>
      </c>
      <c r="W362" s="12">
        <v>275253.20367494342</v>
      </c>
      <c r="X362">
        <v>1</v>
      </c>
      <c r="Y362">
        <v>1</v>
      </c>
      <c r="Z362" s="15">
        <v>0.15274666442875304</v>
      </c>
      <c r="AA362" t="str">
        <f t="shared" si="15"/>
        <v>1-CT</v>
      </c>
      <c r="AB362" s="9">
        <f t="shared" si="16"/>
        <v>503700.00000000006</v>
      </c>
      <c r="AC362" s="9">
        <f t="shared" si="17"/>
        <v>557525.32516494859</v>
      </c>
    </row>
    <row r="363" spans="1:29" x14ac:dyDescent="0.25">
      <c r="A363" t="s">
        <v>29</v>
      </c>
      <c r="B363">
        <v>30012</v>
      </c>
      <c r="C363" s="8">
        <v>45646</v>
      </c>
      <c r="D363" s="9">
        <v>311500</v>
      </c>
      <c r="E363" s="10">
        <v>2</v>
      </c>
      <c r="F363" t="s">
        <v>146</v>
      </c>
      <c r="G363" s="11">
        <v>6</v>
      </c>
      <c r="H363" t="s">
        <v>31</v>
      </c>
      <c r="J363" s="12">
        <v>0</v>
      </c>
      <c r="L363" t="s">
        <v>40</v>
      </c>
      <c r="M363" s="13">
        <v>5350000</v>
      </c>
      <c r="N363" s="14">
        <v>60</v>
      </c>
      <c r="P363" s="14">
        <v>1</v>
      </c>
      <c r="Q363" s="15">
        <v>0.13800000000000001</v>
      </c>
      <c r="R363" s="12">
        <v>107000</v>
      </c>
      <c r="S363" s="12">
        <v>1</v>
      </c>
      <c r="T363" s="12">
        <v>0</v>
      </c>
      <c r="U363" s="12">
        <v>61300</v>
      </c>
      <c r="V363" s="12">
        <v>1</v>
      </c>
      <c r="W363" s="12">
        <v>123931.11024103469</v>
      </c>
      <c r="X363">
        <v>1</v>
      </c>
      <c r="Y363">
        <v>1</v>
      </c>
      <c r="Z363" s="15">
        <v>0.15241863208694176</v>
      </c>
      <c r="AA363" t="str">
        <f t="shared" si="15"/>
        <v>2-MT</v>
      </c>
      <c r="AB363" s="9">
        <f t="shared" si="16"/>
        <v>738300.00000000012</v>
      </c>
      <c r="AC363" s="9">
        <f t="shared" si="17"/>
        <v>815439.68166513846</v>
      </c>
    </row>
    <row r="364" spans="1:29" x14ac:dyDescent="0.25">
      <c r="A364" t="s">
        <v>29</v>
      </c>
      <c r="B364">
        <v>30012</v>
      </c>
      <c r="C364" s="8">
        <v>45657</v>
      </c>
      <c r="D364" s="9">
        <v>311500</v>
      </c>
      <c r="E364" s="10">
        <v>2</v>
      </c>
      <c r="F364" t="s">
        <v>115</v>
      </c>
      <c r="G364" s="11">
        <v>6</v>
      </c>
      <c r="H364" t="s">
        <v>31</v>
      </c>
      <c r="J364" s="12">
        <v>0</v>
      </c>
      <c r="L364" t="s">
        <v>40</v>
      </c>
      <c r="M364" s="13">
        <v>9700000</v>
      </c>
      <c r="N364" s="14">
        <v>60</v>
      </c>
      <c r="P364" s="14">
        <v>1</v>
      </c>
      <c r="Q364" s="15">
        <v>0.13800000000000001</v>
      </c>
      <c r="R364" s="12">
        <v>194000</v>
      </c>
      <c r="S364" s="12">
        <v>1</v>
      </c>
      <c r="T364" s="12">
        <v>0</v>
      </c>
      <c r="U364" s="12">
        <v>104800</v>
      </c>
      <c r="V364" s="12">
        <v>1</v>
      </c>
      <c r="W364" s="12">
        <v>224697.52697907222</v>
      </c>
      <c r="X364">
        <v>1</v>
      </c>
      <c r="Y364">
        <v>1</v>
      </c>
      <c r="Z364" s="15">
        <v>0.15211210954005602</v>
      </c>
      <c r="AA364" t="str">
        <f t="shared" si="15"/>
        <v>2-MT</v>
      </c>
      <c r="AB364" s="9">
        <f t="shared" si="16"/>
        <v>1338600</v>
      </c>
      <c r="AC364" s="9">
        <f t="shared" si="17"/>
        <v>1475487.4625385434</v>
      </c>
    </row>
    <row r="365" spans="1:29" x14ac:dyDescent="0.25">
      <c r="A365" t="s">
        <v>29</v>
      </c>
      <c r="B365">
        <v>30012</v>
      </c>
      <c r="C365" s="8">
        <v>45653</v>
      </c>
      <c r="D365" s="9">
        <v>311500</v>
      </c>
      <c r="E365" s="10">
        <v>2</v>
      </c>
      <c r="F365" t="s">
        <v>164</v>
      </c>
      <c r="G365" s="11">
        <v>6</v>
      </c>
      <c r="H365" t="s">
        <v>31</v>
      </c>
      <c r="J365" s="12">
        <v>0</v>
      </c>
      <c r="L365" t="s">
        <v>165</v>
      </c>
      <c r="M365" s="13">
        <v>5220000</v>
      </c>
      <c r="N365" s="14">
        <v>36</v>
      </c>
      <c r="P365" s="14">
        <v>1</v>
      </c>
      <c r="Q365" s="15">
        <v>9.3000000000000013E-2</v>
      </c>
      <c r="R365" s="12">
        <v>104400</v>
      </c>
      <c r="S365" s="12">
        <v>1</v>
      </c>
      <c r="T365" s="12">
        <v>254516</v>
      </c>
      <c r="U365" s="12">
        <v>60000</v>
      </c>
      <c r="V365" s="12">
        <v>1</v>
      </c>
      <c r="W365" s="12">
        <v>166724.40078561616</v>
      </c>
      <c r="X365">
        <v>1</v>
      </c>
      <c r="Y365">
        <v>1</v>
      </c>
      <c r="Z365" s="15">
        <v>0.15124663324563789</v>
      </c>
      <c r="AA365" t="str">
        <f t="shared" si="15"/>
        <v>2-MT</v>
      </c>
      <c r="AB365" s="9">
        <f t="shared" si="16"/>
        <v>485460.00000000006</v>
      </c>
      <c r="AC365" s="9">
        <f t="shared" si="17"/>
        <v>789507.42554222979</v>
      </c>
    </row>
    <row r="366" spans="1:29" x14ac:dyDescent="0.25">
      <c r="A366" t="s">
        <v>29</v>
      </c>
      <c r="B366">
        <v>30012</v>
      </c>
      <c r="C366" s="8">
        <v>45580</v>
      </c>
      <c r="D366" s="9">
        <v>321600</v>
      </c>
      <c r="E366" s="10">
        <v>2</v>
      </c>
      <c r="F366" t="s">
        <v>63</v>
      </c>
      <c r="G366" s="11">
        <v>6</v>
      </c>
      <c r="H366" t="s">
        <v>31</v>
      </c>
      <c r="J366" s="12">
        <v>0</v>
      </c>
      <c r="L366" t="s">
        <v>40</v>
      </c>
      <c r="M366" s="13">
        <v>1500000</v>
      </c>
      <c r="N366" s="14">
        <v>24</v>
      </c>
      <c r="P366" s="14">
        <v>1</v>
      </c>
      <c r="Q366" s="15">
        <v>9.3000000000000013E-2</v>
      </c>
      <c r="R366" s="12">
        <v>30000</v>
      </c>
      <c r="S366" s="12">
        <v>1</v>
      </c>
      <c r="T366" s="12">
        <v>29000</v>
      </c>
      <c r="U366" s="12">
        <v>22800</v>
      </c>
      <c r="V366" s="12">
        <v>1</v>
      </c>
      <c r="W366" s="12">
        <v>68733.766125583832</v>
      </c>
      <c r="X366">
        <v>1</v>
      </c>
      <c r="Y366">
        <v>1</v>
      </c>
      <c r="Z366" s="15">
        <v>0.14955474049647455</v>
      </c>
      <c r="AA366" t="str">
        <f t="shared" si="15"/>
        <v>1-CT</v>
      </c>
      <c r="AB366" s="9">
        <f t="shared" si="16"/>
        <v>139500.00000000003</v>
      </c>
      <c r="AC366" s="9">
        <f t="shared" si="17"/>
        <v>224332.11074471183</v>
      </c>
    </row>
    <row r="367" spans="1:29" x14ac:dyDescent="0.25">
      <c r="A367" t="s">
        <v>29</v>
      </c>
      <c r="B367">
        <v>30012</v>
      </c>
      <c r="C367" s="8">
        <v>45594</v>
      </c>
      <c r="D367" s="9">
        <v>311500</v>
      </c>
      <c r="E367" s="10">
        <v>2</v>
      </c>
      <c r="F367" t="s">
        <v>197</v>
      </c>
      <c r="G367" s="11">
        <v>6</v>
      </c>
      <c r="H367" t="s">
        <v>31</v>
      </c>
      <c r="J367" s="12">
        <v>0</v>
      </c>
      <c r="L367" t="s">
        <v>38</v>
      </c>
      <c r="M367" s="13">
        <v>2500000</v>
      </c>
      <c r="N367" s="14">
        <v>48</v>
      </c>
      <c r="P367" s="14">
        <v>1</v>
      </c>
      <c r="Q367" s="15">
        <v>0.128</v>
      </c>
      <c r="R367" s="12">
        <v>62500</v>
      </c>
      <c r="S367" s="12">
        <v>1</v>
      </c>
      <c r="T367" s="12">
        <v>0</v>
      </c>
      <c r="U367" s="12">
        <v>32800</v>
      </c>
      <c r="V367" s="12">
        <v>1</v>
      </c>
      <c r="W367" s="12">
        <v>66820.843222106938</v>
      </c>
      <c r="X367">
        <v>1</v>
      </c>
      <c r="Y367">
        <v>1</v>
      </c>
      <c r="Z367" s="15">
        <v>0.14914842976518658</v>
      </c>
      <c r="AA367" t="str">
        <f t="shared" si="15"/>
        <v>2-MT</v>
      </c>
      <c r="AB367" s="9">
        <f t="shared" si="16"/>
        <v>320000</v>
      </c>
      <c r="AC367" s="9">
        <f t="shared" si="17"/>
        <v>372871.07441296644</v>
      </c>
    </row>
    <row r="368" spans="1:29" x14ac:dyDescent="0.25">
      <c r="A368" t="s">
        <v>29</v>
      </c>
      <c r="B368">
        <v>30012</v>
      </c>
      <c r="C368" s="8">
        <v>45576</v>
      </c>
      <c r="D368" s="9">
        <v>311500</v>
      </c>
      <c r="E368" s="10">
        <v>2</v>
      </c>
      <c r="F368" t="s">
        <v>83</v>
      </c>
      <c r="G368" s="11">
        <v>6</v>
      </c>
      <c r="H368" t="s">
        <v>31</v>
      </c>
      <c r="J368" s="12">
        <v>0</v>
      </c>
      <c r="L368" t="s">
        <v>40</v>
      </c>
      <c r="M368" s="13">
        <v>2500000</v>
      </c>
      <c r="N368" s="14">
        <v>48</v>
      </c>
      <c r="P368" s="14">
        <v>1</v>
      </c>
      <c r="Q368" s="15">
        <v>0.128</v>
      </c>
      <c r="R368" s="12">
        <v>62500</v>
      </c>
      <c r="S368" s="12">
        <v>1</v>
      </c>
      <c r="T368" s="12">
        <v>0</v>
      </c>
      <c r="U368" s="12">
        <v>32800</v>
      </c>
      <c r="V368" s="12">
        <v>1</v>
      </c>
      <c r="W368" s="12">
        <v>66820.843222106938</v>
      </c>
      <c r="X368">
        <v>1</v>
      </c>
      <c r="Y368">
        <v>1</v>
      </c>
      <c r="Z368" s="15">
        <v>0.14914842976518658</v>
      </c>
      <c r="AA368" t="str">
        <f t="shared" si="15"/>
        <v>2-MT</v>
      </c>
      <c r="AB368" s="9">
        <f t="shared" si="16"/>
        <v>320000</v>
      </c>
      <c r="AC368" s="9">
        <f t="shared" si="17"/>
        <v>372871.07441296644</v>
      </c>
    </row>
    <row r="369" spans="1:29" x14ac:dyDescent="0.25">
      <c r="A369" t="s">
        <v>29</v>
      </c>
      <c r="B369">
        <v>30012</v>
      </c>
      <c r="C369" s="8">
        <v>45602</v>
      </c>
      <c r="D369" s="9">
        <v>311500</v>
      </c>
      <c r="E369" s="10">
        <v>2</v>
      </c>
      <c r="F369" t="s">
        <v>77</v>
      </c>
      <c r="G369" s="11">
        <v>6</v>
      </c>
      <c r="H369" t="s">
        <v>31</v>
      </c>
      <c r="J369" s="12">
        <v>0</v>
      </c>
      <c r="L369" t="s">
        <v>40</v>
      </c>
      <c r="M369" s="13">
        <v>3033000</v>
      </c>
      <c r="N369" s="14">
        <v>48</v>
      </c>
      <c r="P369" s="14">
        <v>1</v>
      </c>
      <c r="Q369" s="15">
        <v>0.128</v>
      </c>
      <c r="R369" s="12">
        <v>75825</v>
      </c>
      <c r="S369" s="12">
        <v>1</v>
      </c>
      <c r="T369" s="12">
        <v>0</v>
      </c>
      <c r="U369" s="12">
        <v>38130</v>
      </c>
      <c r="V369" s="12">
        <v>1</v>
      </c>
      <c r="W369" s="12">
        <v>81067.046997060141</v>
      </c>
      <c r="X369">
        <v>1</v>
      </c>
      <c r="Y369">
        <v>1</v>
      </c>
      <c r="Z369" s="15">
        <v>0.1488358087740245</v>
      </c>
      <c r="AA369" t="str">
        <f t="shared" si="15"/>
        <v>2-MT</v>
      </c>
      <c r="AB369" s="9">
        <f t="shared" si="16"/>
        <v>388224</v>
      </c>
      <c r="AC369" s="9">
        <f t="shared" si="17"/>
        <v>451419.0080116163</v>
      </c>
    </row>
    <row r="370" spans="1:29" x14ac:dyDescent="0.25">
      <c r="A370" t="s">
        <v>29</v>
      </c>
      <c r="B370">
        <v>30012</v>
      </c>
      <c r="C370" s="8">
        <v>45568</v>
      </c>
      <c r="D370" s="9">
        <v>311500</v>
      </c>
      <c r="E370" s="10">
        <v>2</v>
      </c>
      <c r="F370" t="s">
        <v>82</v>
      </c>
      <c r="G370" s="11">
        <v>6</v>
      </c>
      <c r="H370" t="s">
        <v>31</v>
      </c>
      <c r="J370" s="12">
        <v>0</v>
      </c>
      <c r="L370" t="s">
        <v>40</v>
      </c>
      <c r="M370" s="13">
        <v>4480000</v>
      </c>
      <c r="N370" s="14">
        <v>48</v>
      </c>
      <c r="P370" s="14">
        <v>1</v>
      </c>
      <c r="Q370" s="15">
        <v>0.128</v>
      </c>
      <c r="R370" s="12">
        <v>112000</v>
      </c>
      <c r="S370" s="12">
        <v>1</v>
      </c>
      <c r="T370" s="12">
        <v>0</v>
      </c>
      <c r="U370" s="12">
        <v>52600</v>
      </c>
      <c r="V370" s="12">
        <v>1</v>
      </c>
      <c r="W370" s="12">
        <v>119742.95105401563</v>
      </c>
      <c r="X370">
        <v>1</v>
      </c>
      <c r="Y370">
        <v>1</v>
      </c>
      <c r="Z370" s="15">
        <v>0.1483626828642533</v>
      </c>
      <c r="AA370" t="str">
        <f t="shared" si="15"/>
        <v>2-MT</v>
      </c>
      <c r="AB370" s="9">
        <f t="shared" si="16"/>
        <v>573440</v>
      </c>
      <c r="AC370" s="9">
        <f t="shared" si="17"/>
        <v>664664.81923185475</v>
      </c>
    </row>
    <row r="371" spans="1:29" x14ac:dyDescent="0.25">
      <c r="A371" t="s">
        <v>29</v>
      </c>
      <c r="B371">
        <v>30012</v>
      </c>
      <c r="C371" s="8">
        <v>45594</v>
      </c>
      <c r="D371" s="9">
        <v>311500</v>
      </c>
      <c r="E371" s="10">
        <v>2</v>
      </c>
      <c r="F371" t="s">
        <v>115</v>
      </c>
      <c r="G371" s="11">
        <v>6</v>
      </c>
      <c r="H371" t="s">
        <v>31</v>
      </c>
      <c r="J371" s="12">
        <v>0</v>
      </c>
      <c r="M371" s="13">
        <v>7500000</v>
      </c>
      <c r="N371" s="14">
        <v>48</v>
      </c>
      <c r="P371" s="14">
        <v>1</v>
      </c>
      <c r="Q371" s="15">
        <v>0.128</v>
      </c>
      <c r="R371" s="12">
        <v>187500</v>
      </c>
      <c r="S371" s="12">
        <v>1</v>
      </c>
      <c r="T371" s="12">
        <v>0</v>
      </c>
      <c r="U371" s="12">
        <v>82800</v>
      </c>
      <c r="V371" s="12">
        <v>1</v>
      </c>
      <c r="W371" s="12">
        <v>200462.52966632083</v>
      </c>
      <c r="X371">
        <v>1</v>
      </c>
      <c r="Y371">
        <v>1</v>
      </c>
      <c r="Z371" s="15">
        <v>0.14796381165289799</v>
      </c>
      <c r="AA371" t="str">
        <f t="shared" si="15"/>
        <v>2-MT</v>
      </c>
      <c r="AB371" s="9">
        <f t="shared" si="16"/>
        <v>960000</v>
      </c>
      <c r="AC371" s="9">
        <f t="shared" si="17"/>
        <v>1109728.5873967349</v>
      </c>
    </row>
    <row r="372" spans="1:29" x14ac:dyDescent="0.25">
      <c r="A372" t="s">
        <v>29</v>
      </c>
      <c r="B372">
        <v>30012</v>
      </c>
      <c r="C372" s="8">
        <v>45652</v>
      </c>
      <c r="D372" s="9">
        <v>321620</v>
      </c>
      <c r="E372" s="10">
        <v>2</v>
      </c>
      <c r="F372" t="s">
        <v>35</v>
      </c>
      <c r="G372" s="11">
        <v>6</v>
      </c>
      <c r="H372" t="s">
        <v>31</v>
      </c>
      <c r="J372" s="12">
        <v>0</v>
      </c>
      <c r="L372" t="s">
        <v>40</v>
      </c>
      <c r="M372" s="13">
        <v>1500000</v>
      </c>
      <c r="N372" s="14">
        <v>4</v>
      </c>
      <c r="P372" s="14">
        <v>2</v>
      </c>
      <c r="Q372" s="15">
        <v>0.105</v>
      </c>
      <c r="R372" s="12">
        <v>30000</v>
      </c>
      <c r="S372" s="12">
        <v>1</v>
      </c>
      <c r="T372" s="12">
        <v>0</v>
      </c>
      <c r="U372" s="12">
        <v>37700</v>
      </c>
      <c r="V372" s="12">
        <v>1</v>
      </c>
      <c r="W372" s="12">
        <v>391548.55091430171</v>
      </c>
      <c r="X372">
        <v>1</v>
      </c>
      <c r="Y372">
        <v>1</v>
      </c>
      <c r="Z372" s="15">
        <v>0.14692221037294872</v>
      </c>
      <c r="AA372" t="str">
        <f t="shared" si="15"/>
        <v>1-CT</v>
      </c>
      <c r="AB372" s="9">
        <f t="shared" si="16"/>
        <v>157500</v>
      </c>
      <c r="AC372" s="9">
        <f t="shared" si="17"/>
        <v>220383.31555942309</v>
      </c>
    </row>
    <row r="373" spans="1:29" x14ac:dyDescent="0.25">
      <c r="A373" t="s">
        <v>29</v>
      </c>
      <c r="B373">
        <v>30012</v>
      </c>
      <c r="C373" s="8">
        <v>45583</v>
      </c>
      <c r="D373" s="9">
        <v>321600</v>
      </c>
      <c r="E373" s="10">
        <v>2</v>
      </c>
      <c r="F373" t="s">
        <v>186</v>
      </c>
      <c r="G373" s="11">
        <v>6</v>
      </c>
      <c r="H373" t="s">
        <v>31</v>
      </c>
      <c r="J373" s="12">
        <v>0</v>
      </c>
      <c r="L373" t="s">
        <v>40</v>
      </c>
      <c r="M373" s="13">
        <v>2050000</v>
      </c>
      <c r="N373" s="14">
        <v>24</v>
      </c>
      <c r="P373" s="14">
        <v>1</v>
      </c>
      <c r="Q373" s="15">
        <v>9.3000000000000013E-2</v>
      </c>
      <c r="R373" s="12">
        <v>41000</v>
      </c>
      <c r="S373" s="12">
        <v>1</v>
      </c>
      <c r="T373" s="12">
        <v>33700</v>
      </c>
      <c r="U373" s="12">
        <v>28300</v>
      </c>
      <c r="V373" s="12">
        <v>1</v>
      </c>
      <c r="W373" s="12">
        <v>93936.147038297902</v>
      </c>
      <c r="X373">
        <v>1</v>
      </c>
      <c r="Y373">
        <v>1</v>
      </c>
      <c r="Z373" s="15">
        <v>0.14494048862751133</v>
      </c>
      <c r="AA373" t="str">
        <f t="shared" si="15"/>
        <v>1-CT</v>
      </c>
      <c r="AB373" s="9">
        <f t="shared" si="16"/>
        <v>190650.00000000003</v>
      </c>
      <c r="AC373" s="9">
        <f t="shared" si="17"/>
        <v>297128.00168639823</v>
      </c>
    </row>
    <row r="374" spans="1:29" x14ac:dyDescent="0.25">
      <c r="A374" t="s">
        <v>29</v>
      </c>
      <c r="B374">
        <v>30012</v>
      </c>
      <c r="C374" s="8">
        <v>45628</v>
      </c>
      <c r="D374" s="9">
        <v>321300</v>
      </c>
      <c r="E374" s="10">
        <v>9</v>
      </c>
      <c r="F374" t="s">
        <v>204</v>
      </c>
      <c r="G374" s="11" t="s">
        <v>205</v>
      </c>
      <c r="H374" t="s">
        <v>31</v>
      </c>
      <c r="I374" t="s">
        <v>206</v>
      </c>
      <c r="J374" s="12">
        <v>3344573000</v>
      </c>
      <c r="L374" t="s">
        <v>109</v>
      </c>
      <c r="M374" s="13">
        <v>20000000</v>
      </c>
      <c r="N374" s="14">
        <v>6</v>
      </c>
      <c r="P374" s="14">
        <v>1</v>
      </c>
      <c r="Q374" s="15">
        <v>0.08</v>
      </c>
      <c r="R374" s="12">
        <v>150000</v>
      </c>
      <c r="S374" s="12">
        <v>1</v>
      </c>
      <c r="T374" s="12">
        <v>0</v>
      </c>
      <c r="U374" s="12">
        <v>215600</v>
      </c>
      <c r="V374" s="12">
        <v>1</v>
      </c>
      <c r="W374" s="12">
        <v>3411541.7641921998</v>
      </c>
      <c r="X374">
        <v>1</v>
      </c>
      <c r="Y374">
        <v>1</v>
      </c>
      <c r="Z374" s="15">
        <v>0.14434401194055066</v>
      </c>
      <c r="AA374" t="str">
        <f t="shared" si="15"/>
        <v>1-CT</v>
      </c>
      <c r="AB374" s="9">
        <f t="shared" si="16"/>
        <v>1600000</v>
      </c>
      <c r="AC374" s="9">
        <f t="shared" si="17"/>
        <v>2886880.2388110133</v>
      </c>
    </row>
    <row r="375" spans="1:29" x14ac:dyDescent="0.25">
      <c r="A375" t="s">
        <v>29</v>
      </c>
      <c r="B375">
        <v>30012</v>
      </c>
      <c r="C375" s="8">
        <v>45653</v>
      </c>
      <c r="D375" s="9">
        <v>311500</v>
      </c>
      <c r="E375" s="10">
        <v>2</v>
      </c>
      <c r="F375" t="s">
        <v>119</v>
      </c>
      <c r="G375" s="11">
        <v>6</v>
      </c>
      <c r="H375" t="s">
        <v>31</v>
      </c>
      <c r="J375" s="12">
        <v>0</v>
      </c>
      <c r="L375" t="s">
        <v>61</v>
      </c>
      <c r="M375" s="13">
        <v>12000000</v>
      </c>
      <c r="N375" s="14">
        <v>36</v>
      </c>
      <c r="P375" s="14">
        <v>1</v>
      </c>
      <c r="Q375" s="15">
        <v>9.8000000000000004E-2</v>
      </c>
      <c r="R375" s="12">
        <v>360000</v>
      </c>
      <c r="S375" s="12">
        <v>1</v>
      </c>
      <c r="T375" s="12">
        <v>285000</v>
      </c>
      <c r="U375" s="12">
        <v>127800</v>
      </c>
      <c r="V375" s="12">
        <v>1</v>
      </c>
      <c r="W375" s="12">
        <v>386080.43836716836</v>
      </c>
      <c r="X375">
        <v>1</v>
      </c>
      <c r="Y375">
        <v>1</v>
      </c>
      <c r="Z375" s="15">
        <v>0.14432268642251575</v>
      </c>
      <c r="AA375" t="str">
        <f t="shared" si="15"/>
        <v>2-MT</v>
      </c>
      <c r="AB375" s="9">
        <f t="shared" si="16"/>
        <v>1176000</v>
      </c>
      <c r="AC375" s="9">
        <f t="shared" si="17"/>
        <v>1731872.2370701891</v>
      </c>
    </row>
    <row r="376" spans="1:29" x14ac:dyDescent="0.25">
      <c r="A376" t="s">
        <v>29</v>
      </c>
      <c r="B376">
        <v>30012</v>
      </c>
      <c r="C376" s="8">
        <v>45657</v>
      </c>
      <c r="D376" s="9">
        <v>321620</v>
      </c>
      <c r="E376" s="10">
        <v>2</v>
      </c>
      <c r="F376" t="s">
        <v>174</v>
      </c>
      <c r="G376" s="11">
        <v>6</v>
      </c>
      <c r="H376" t="s">
        <v>31</v>
      </c>
      <c r="J376" s="12">
        <v>0</v>
      </c>
      <c r="L376" t="s">
        <v>165</v>
      </c>
      <c r="M376" s="13">
        <v>2000000</v>
      </c>
      <c r="N376" s="14">
        <v>4</v>
      </c>
      <c r="P376" s="14">
        <v>2</v>
      </c>
      <c r="Q376" s="15">
        <v>0.105</v>
      </c>
      <c r="R376" s="12">
        <v>40000</v>
      </c>
      <c r="S376" s="12">
        <v>1</v>
      </c>
      <c r="T376" s="12">
        <v>0</v>
      </c>
      <c r="U376" s="12">
        <v>46500</v>
      </c>
      <c r="V376" s="12">
        <v>1</v>
      </c>
      <c r="W376" s="12">
        <v>522064.73455240234</v>
      </c>
      <c r="X376">
        <v>1</v>
      </c>
      <c r="Y376">
        <v>1</v>
      </c>
      <c r="Z376" s="15">
        <v>0.14359576002684271</v>
      </c>
      <c r="AA376" t="str">
        <f t="shared" si="15"/>
        <v>1-CT</v>
      </c>
      <c r="AB376" s="9">
        <f t="shared" si="16"/>
        <v>210000</v>
      </c>
      <c r="AC376" s="9">
        <f t="shared" si="17"/>
        <v>287191.52005368541</v>
      </c>
    </row>
    <row r="377" spans="1:29" x14ac:dyDescent="0.25">
      <c r="A377" t="s">
        <v>29</v>
      </c>
      <c r="B377">
        <v>30012</v>
      </c>
      <c r="C377" s="8">
        <v>45639</v>
      </c>
      <c r="D377" s="9">
        <v>311500</v>
      </c>
      <c r="E377" s="10">
        <v>2</v>
      </c>
      <c r="F377" t="s">
        <v>56</v>
      </c>
      <c r="G377" s="11">
        <v>6</v>
      </c>
      <c r="H377" t="s">
        <v>31</v>
      </c>
      <c r="J377" s="12">
        <v>0</v>
      </c>
      <c r="L377" t="s">
        <v>38</v>
      </c>
      <c r="M377" s="13">
        <v>6000000</v>
      </c>
      <c r="N377" s="14">
        <v>36</v>
      </c>
      <c r="P377" s="14">
        <v>1</v>
      </c>
      <c r="Q377" s="15">
        <v>0.10099999999999999</v>
      </c>
      <c r="R377" s="12">
        <v>180000</v>
      </c>
      <c r="S377" s="12">
        <v>1</v>
      </c>
      <c r="T377" s="12">
        <v>105800</v>
      </c>
      <c r="U377" s="12">
        <v>67800</v>
      </c>
      <c r="V377" s="12">
        <v>1</v>
      </c>
      <c r="W377" s="12">
        <v>193884.94197950794</v>
      </c>
      <c r="X377">
        <v>1</v>
      </c>
      <c r="Y377">
        <v>1</v>
      </c>
      <c r="Z377" s="15">
        <v>0.14329325132892537</v>
      </c>
      <c r="AA377" t="str">
        <f t="shared" si="15"/>
        <v>2-MT</v>
      </c>
      <c r="AB377" s="9">
        <f t="shared" si="16"/>
        <v>606000</v>
      </c>
      <c r="AC377" s="9">
        <f t="shared" si="17"/>
        <v>859759.50797355222</v>
      </c>
    </row>
    <row r="378" spans="1:29" x14ac:dyDescent="0.25">
      <c r="A378" t="s">
        <v>29</v>
      </c>
      <c r="B378">
        <v>30012</v>
      </c>
      <c r="C378" s="8">
        <v>45580</v>
      </c>
      <c r="D378" s="9">
        <v>311500</v>
      </c>
      <c r="E378" s="10">
        <v>2</v>
      </c>
      <c r="F378" t="s">
        <v>113</v>
      </c>
      <c r="G378" s="11">
        <v>6</v>
      </c>
      <c r="H378" t="s">
        <v>31</v>
      </c>
      <c r="J378" s="12">
        <v>0</v>
      </c>
      <c r="L378" t="s">
        <v>32</v>
      </c>
      <c r="M378" s="13">
        <v>2100000</v>
      </c>
      <c r="N378" s="14">
        <v>36</v>
      </c>
      <c r="P378" s="14">
        <v>1</v>
      </c>
      <c r="Q378" s="15">
        <v>0.10099999999999999</v>
      </c>
      <c r="R378" s="12">
        <v>42000</v>
      </c>
      <c r="S378" s="12">
        <v>1</v>
      </c>
      <c r="T378" s="12">
        <v>50950</v>
      </c>
      <c r="U378" s="12">
        <v>28800</v>
      </c>
      <c r="V378" s="12">
        <v>1</v>
      </c>
      <c r="W378" s="12">
        <v>67859.729692827779</v>
      </c>
      <c r="X378">
        <v>1</v>
      </c>
      <c r="Y378">
        <v>1</v>
      </c>
      <c r="Z378" s="15">
        <v>0.1425766558044462</v>
      </c>
      <c r="AA378" t="str">
        <f t="shared" si="15"/>
        <v>2-MT</v>
      </c>
      <c r="AB378" s="9">
        <f t="shared" si="16"/>
        <v>212099.99999999997</v>
      </c>
      <c r="AC378" s="9">
        <f t="shared" si="17"/>
        <v>299410.97718933702</v>
      </c>
    </row>
    <row r="379" spans="1:29" x14ac:dyDescent="0.25">
      <c r="A379" t="s">
        <v>29</v>
      </c>
      <c r="B379">
        <v>30012</v>
      </c>
      <c r="C379" s="8">
        <v>45574</v>
      </c>
      <c r="D379" s="9">
        <v>311500</v>
      </c>
      <c r="E379" s="10">
        <v>2</v>
      </c>
      <c r="F379" t="s">
        <v>149</v>
      </c>
      <c r="G379" s="11">
        <v>6</v>
      </c>
      <c r="H379" t="s">
        <v>31</v>
      </c>
      <c r="J379" s="12">
        <v>0</v>
      </c>
      <c r="L379" t="s">
        <v>32</v>
      </c>
      <c r="M379" s="13">
        <v>3050000</v>
      </c>
      <c r="N379" s="14">
        <v>36</v>
      </c>
      <c r="P379" s="14">
        <v>1</v>
      </c>
      <c r="Q379" s="15">
        <v>0.10099999999999999</v>
      </c>
      <c r="R379" s="12">
        <v>61000</v>
      </c>
      <c r="S379" s="12">
        <v>1</v>
      </c>
      <c r="T379" s="12">
        <v>73625</v>
      </c>
      <c r="U379" s="12">
        <v>38300</v>
      </c>
      <c r="V379" s="12">
        <v>1</v>
      </c>
      <c r="W379" s="12">
        <v>98558.178839583197</v>
      </c>
      <c r="X379">
        <v>1</v>
      </c>
      <c r="Y379">
        <v>1</v>
      </c>
      <c r="Z379" s="15">
        <v>0.1416203516475269</v>
      </c>
      <c r="AA379" t="str">
        <f t="shared" si="15"/>
        <v>2-MT</v>
      </c>
      <c r="AB379" s="9">
        <f t="shared" si="16"/>
        <v>308050</v>
      </c>
      <c r="AC379" s="9">
        <f t="shared" si="17"/>
        <v>431942.07252495707</v>
      </c>
    </row>
    <row r="380" spans="1:29" x14ac:dyDescent="0.25">
      <c r="A380" t="s">
        <v>29</v>
      </c>
      <c r="B380">
        <v>30012</v>
      </c>
      <c r="C380" s="8">
        <v>45630</v>
      </c>
      <c r="D380" s="9">
        <v>321620</v>
      </c>
      <c r="E380" s="10">
        <v>2</v>
      </c>
      <c r="F380" t="s">
        <v>207</v>
      </c>
      <c r="G380" s="11">
        <v>6</v>
      </c>
      <c r="H380" t="s">
        <v>31</v>
      </c>
      <c r="J380" s="12">
        <v>0</v>
      </c>
      <c r="L380" t="s">
        <v>40</v>
      </c>
      <c r="M380" s="13">
        <v>2500000</v>
      </c>
      <c r="N380" s="14">
        <v>4</v>
      </c>
      <c r="P380" s="14">
        <v>2</v>
      </c>
      <c r="Q380" s="15">
        <v>0.105</v>
      </c>
      <c r="R380" s="12">
        <v>50000</v>
      </c>
      <c r="S380" s="12">
        <v>1</v>
      </c>
      <c r="T380" s="12">
        <v>0</v>
      </c>
      <c r="U380" s="12">
        <v>55300</v>
      </c>
      <c r="V380" s="12">
        <v>1</v>
      </c>
      <c r="W380" s="12">
        <v>652580.91819050291</v>
      </c>
      <c r="X380">
        <v>1</v>
      </c>
      <c r="Y380">
        <v>1</v>
      </c>
      <c r="Z380" s="15">
        <v>0.14160495889363756</v>
      </c>
      <c r="AA380" t="str">
        <f t="shared" si="15"/>
        <v>1-CT</v>
      </c>
      <c r="AB380" s="9">
        <f t="shared" si="16"/>
        <v>262500</v>
      </c>
      <c r="AC380" s="9">
        <f t="shared" si="17"/>
        <v>354012.39723409386</v>
      </c>
    </row>
    <row r="381" spans="1:29" x14ac:dyDescent="0.25">
      <c r="A381" t="s">
        <v>29</v>
      </c>
      <c r="B381">
        <v>30012</v>
      </c>
      <c r="C381" s="8">
        <v>45604</v>
      </c>
      <c r="D381" s="9">
        <v>321600</v>
      </c>
      <c r="E381" s="10">
        <v>2</v>
      </c>
      <c r="F381" t="s">
        <v>160</v>
      </c>
      <c r="G381" s="11">
        <v>6</v>
      </c>
      <c r="H381" t="s">
        <v>31</v>
      </c>
      <c r="J381" s="12">
        <v>0</v>
      </c>
      <c r="L381" t="s">
        <v>156</v>
      </c>
      <c r="M381" s="13">
        <v>1600000</v>
      </c>
      <c r="N381" s="14">
        <v>24</v>
      </c>
      <c r="P381" s="14">
        <v>1</v>
      </c>
      <c r="Q381" s="15">
        <v>8.5500000000000007E-2</v>
      </c>
      <c r="R381" s="12">
        <v>32000</v>
      </c>
      <c r="S381" s="12">
        <v>1</v>
      </c>
      <c r="T381" s="12">
        <v>30800</v>
      </c>
      <c r="U381" s="12">
        <v>23800</v>
      </c>
      <c r="V381" s="12">
        <v>1</v>
      </c>
      <c r="W381" s="12">
        <v>72765.681365120588</v>
      </c>
      <c r="X381">
        <v>1</v>
      </c>
      <c r="Y381">
        <v>1</v>
      </c>
      <c r="Z381" s="15">
        <v>0.14143983865411192</v>
      </c>
      <c r="AA381" t="str">
        <f t="shared" si="15"/>
        <v>1-CT</v>
      </c>
      <c r="AB381" s="9">
        <f t="shared" si="16"/>
        <v>136800</v>
      </c>
      <c r="AC381" s="9">
        <f t="shared" si="17"/>
        <v>226303.74184657907</v>
      </c>
    </row>
    <row r="382" spans="1:29" x14ac:dyDescent="0.25">
      <c r="A382" t="s">
        <v>29</v>
      </c>
      <c r="B382">
        <v>30012</v>
      </c>
      <c r="C382" s="8">
        <v>45576</v>
      </c>
      <c r="D382" s="9">
        <v>321600</v>
      </c>
      <c r="E382" s="10">
        <v>9</v>
      </c>
      <c r="F382" t="s">
        <v>45</v>
      </c>
      <c r="G382" s="11">
        <v>6</v>
      </c>
      <c r="H382" t="s">
        <v>31</v>
      </c>
      <c r="J382" s="12">
        <v>0</v>
      </c>
      <c r="L382" t="s">
        <v>32</v>
      </c>
      <c r="M382" s="13">
        <v>5000000</v>
      </c>
      <c r="N382" s="14">
        <v>4</v>
      </c>
      <c r="P382" s="14">
        <v>2</v>
      </c>
      <c r="Q382" s="15">
        <v>0.11</v>
      </c>
      <c r="R382" s="12">
        <v>100000</v>
      </c>
      <c r="S382" s="12">
        <v>1</v>
      </c>
      <c r="T382" s="12">
        <v>0</v>
      </c>
      <c r="U382" s="12">
        <v>99300</v>
      </c>
      <c r="V382" s="12">
        <v>1</v>
      </c>
      <c r="W382" s="12">
        <v>1307812.035567479</v>
      </c>
      <c r="X382">
        <v>1</v>
      </c>
      <c r="Y382">
        <v>1</v>
      </c>
      <c r="Z382" s="15">
        <v>0.14105184388033565</v>
      </c>
      <c r="AA382" t="str">
        <f t="shared" si="15"/>
        <v>1-CT</v>
      </c>
      <c r="AB382" s="9">
        <f t="shared" si="16"/>
        <v>550000</v>
      </c>
      <c r="AC382" s="9">
        <f t="shared" si="17"/>
        <v>705259.21940167819</v>
      </c>
    </row>
    <row r="383" spans="1:29" x14ac:dyDescent="0.25">
      <c r="A383" t="s">
        <v>29</v>
      </c>
      <c r="B383">
        <v>30012</v>
      </c>
      <c r="C383" s="8">
        <v>45580</v>
      </c>
      <c r="D383" s="9">
        <v>311500</v>
      </c>
      <c r="E383" s="10">
        <v>2</v>
      </c>
      <c r="F383" t="s">
        <v>196</v>
      </c>
      <c r="G383" s="11">
        <v>6</v>
      </c>
      <c r="H383" t="s">
        <v>31</v>
      </c>
      <c r="J383" s="12">
        <v>0</v>
      </c>
      <c r="L383" t="s">
        <v>32</v>
      </c>
      <c r="M383" s="13">
        <v>2730000</v>
      </c>
      <c r="N383" s="14">
        <v>24</v>
      </c>
      <c r="P383" s="14">
        <v>1</v>
      </c>
      <c r="Q383" s="15">
        <v>9.3000000000000013E-2</v>
      </c>
      <c r="R383" s="12">
        <v>54600</v>
      </c>
      <c r="S383" s="12">
        <v>1</v>
      </c>
      <c r="T383" s="12">
        <v>34757</v>
      </c>
      <c r="U383" s="12">
        <v>35100</v>
      </c>
      <c r="V383" s="12">
        <v>1</v>
      </c>
      <c r="W383" s="12">
        <v>125095.45434856256</v>
      </c>
      <c r="X383">
        <v>1</v>
      </c>
      <c r="Y383">
        <v>1</v>
      </c>
      <c r="Z383" s="15">
        <v>0.13996606043773938</v>
      </c>
      <c r="AA383" t="str">
        <f t="shared" si="15"/>
        <v>1-CT</v>
      </c>
      <c r="AB383" s="9">
        <f t="shared" si="16"/>
        <v>253890.00000000003</v>
      </c>
      <c r="AC383" s="9">
        <f t="shared" si="17"/>
        <v>382107.34499502851</v>
      </c>
    </row>
    <row r="384" spans="1:29" x14ac:dyDescent="0.25">
      <c r="A384" t="s">
        <v>29</v>
      </c>
      <c r="B384">
        <v>30012</v>
      </c>
      <c r="C384" s="8">
        <v>45569</v>
      </c>
      <c r="D384" s="9">
        <v>311500</v>
      </c>
      <c r="E384" s="10">
        <v>2</v>
      </c>
      <c r="F384" t="s">
        <v>152</v>
      </c>
      <c r="G384" s="11">
        <v>6</v>
      </c>
      <c r="H384" t="s">
        <v>31</v>
      </c>
      <c r="J384" s="12">
        <v>0</v>
      </c>
      <c r="L384" t="s">
        <v>40</v>
      </c>
      <c r="M384" s="13">
        <v>4000000</v>
      </c>
      <c r="N384" s="14">
        <v>36</v>
      </c>
      <c r="P384" s="14">
        <v>1</v>
      </c>
      <c r="Q384" s="15">
        <v>0.10099999999999999</v>
      </c>
      <c r="R384" s="12">
        <v>80000</v>
      </c>
      <c r="S384" s="12">
        <v>1</v>
      </c>
      <c r="T384" s="12">
        <v>89000</v>
      </c>
      <c r="U384" s="12">
        <v>47800</v>
      </c>
      <c r="V384" s="12">
        <v>1</v>
      </c>
      <c r="W384" s="12">
        <v>129256.62798633863</v>
      </c>
      <c r="X384">
        <v>1</v>
      </c>
      <c r="Y384">
        <v>1</v>
      </c>
      <c r="Z384" s="15">
        <v>0.13975953115638859</v>
      </c>
      <c r="AA384" t="str">
        <f t="shared" si="15"/>
        <v>2-MT</v>
      </c>
      <c r="AB384" s="9">
        <f t="shared" si="16"/>
        <v>403999.99999999994</v>
      </c>
      <c r="AC384" s="9">
        <f t="shared" si="17"/>
        <v>559038.12462555431</v>
      </c>
    </row>
    <row r="385" spans="1:29" x14ac:dyDescent="0.25">
      <c r="A385" t="s">
        <v>29</v>
      </c>
      <c r="B385">
        <v>30012</v>
      </c>
      <c r="C385" s="8">
        <v>45596</v>
      </c>
      <c r="D385" s="9">
        <v>311500</v>
      </c>
      <c r="E385" s="10">
        <v>2</v>
      </c>
      <c r="F385" t="s">
        <v>208</v>
      </c>
      <c r="G385" s="11">
        <v>6</v>
      </c>
      <c r="H385" t="s">
        <v>31</v>
      </c>
      <c r="J385" s="12">
        <v>0</v>
      </c>
      <c r="L385" t="s">
        <v>32</v>
      </c>
      <c r="M385" s="13">
        <v>4315000</v>
      </c>
      <c r="N385" s="14">
        <v>36</v>
      </c>
      <c r="P385" s="14">
        <v>1</v>
      </c>
      <c r="Q385" s="15">
        <v>0.10099999999999999</v>
      </c>
      <c r="R385" s="12">
        <v>86300</v>
      </c>
      <c r="S385" s="12">
        <v>1</v>
      </c>
      <c r="T385" s="12">
        <v>94143</v>
      </c>
      <c r="U385" s="12">
        <v>50950</v>
      </c>
      <c r="V385" s="12">
        <v>1</v>
      </c>
      <c r="W385" s="12">
        <v>139435.58744026278</v>
      </c>
      <c r="X385">
        <v>1</v>
      </c>
      <c r="Y385">
        <v>1</v>
      </c>
      <c r="Z385" s="15">
        <v>0.13933216041746013</v>
      </c>
      <c r="AA385" t="str">
        <f t="shared" si="15"/>
        <v>2-MT</v>
      </c>
      <c r="AB385" s="9">
        <f t="shared" si="16"/>
        <v>435814.99999999994</v>
      </c>
      <c r="AC385" s="9">
        <f t="shared" si="17"/>
        <v>601218.27220134053</v>
      </c>
    </row>
    <row r="386" spans="1:29" x14ac:dyDescent="0.25">
      <c r="A386" t="s">
        <v>29</v>
      </c>
      <c r="B386">
        <v>30012</v>
      </c>
      <c r="C386" s="8">
        <v>45576</v>
      </c>
      <c r="D386" s="9">
        <v>311500</v>
      </c>
      <c r="E386" s="10">
        <v>2</v>
      </c>
      <c r="F386" t="s">
        <v>163</v>
      </c>
      <c r="G386" s="11">
        <v>6</v>
      </c>
      <c r="H386" t="s">
        <v>31</v>
      </c>
      <c r="J386" s="12">
        <v>0</v>
      </c>
      <c r="L386" t="s">
        <v>32</v>
      </c>
      <c r="M386" s="13">
        <v>5000000</v>
      </c>
      <c r="N386" s="14">
        <v>36</v>
      </c>
      <c r="P386" s="14">
        <v>1</v>
      </c>
      <c r="Q386" s="15">
        <v>0.10099999999999999</v>
      </c>
      <c r="R386" s="12">
        <v>100000</v>
      </c>
      <c r="S386" s="12">
        <v>1</v>
      </c>
      <c r="T386" s="12">
        <v>107500</v>
      </c>
      <c r="U386" s="12">
        <v>57800</v>
      </c>
      <c r="V386" s="12">
        <v>1</v>
      </c>
      <c r="W386" s="12">
        <v>161570.78498292327</v>
      </c>
      <c r="X386">
        <v>1</v>
      </c>
      <c r="Y386">
        <v>1</v>
      </c>
      <c r="Z386" s="15">
        <v>0.13891219647000205</v>
      </c>
      <c r="AA386" t="str">
        <f t="shared" si="15"/>
        <v>2-MT</v>
      </c>
      <c r="AB386" s="9">
        <f t="shared" si="16"/>
        <v>504999.99999999994</v>
      </c>
      <c r="AC386" s="9">
        <f t="shared" si="17"/>
        <v>694560.98235001031</v>
      </c>
    </row>
    <row r="387" spans="1:29" x14ac:dyDescent="0.25">
      <c r="A387" t="s">
        <v>29</v>
      </c>
      <c r="B387">
        <v>30012</v>
      </c>
      <c r="C387" s="8">
        <v>45632</v>
      </c>
      <c r="D387" s="9">
        <v>321600</v>
      </c>
      <c r="E387" s="10">
        <v>2</v>
      </c>
      <c r="F387" t="s">
        <v>35</v>
      </c>
      <c r="G387" s="11">
        <v>6</v>
      </c>
      <c r="H387" t="s">
        <v>31</v>
      </c>
      <c r="J387" s="12">
        <v>0</v>
      </c>
      <c r="L387" t="s">
        <v>32</v>
      </c>
      <c r="M387" s="13">
        <v>2000000</v>
      </c>
      <c r="N387" s="14">
        <v>24</v>
      </c>
      <c r="P387" s="14">
        <v>1</v>
      </c>
      <c r="Q387" s="15">
        <v>9.3000000000000013E-2</v>
      </c>
      <c r="R387" s="12">
        <v>25000</v>
      </c>
      <c r="S387" s="12">
        <v>1</v>
      </c>
      <c r="T387" s="12">
        <v>36000</v>
      </c>
      <c r="U387" s="12">
        <v>27800</v>
      </c>
      <c r="V387" s="12">
        <v>1</v>
      </c>
      <c r="W387" s="12">
        <v>91645.021500778428</v>
      </c>
      <c r="X387">
        <v>1</v>
      </c>
      <c r="Y387">
        <v>1</v>
      </c>
      <c r="Z387" s="15">
        <v>0.13870143383908873</v>
      </c>
      <c r="AA387" t="str">
        <f t="shared" ref="AA387:AA450" si="18">IF(N387&lt;=24,"1-CT",IF(N387&gt;60,"3-LT","2-MT"))</f>
        <v>1-CT</v>
      </c>
      <c r="AB387" s="9">
        <f t="shared" ref="AB387:AB450" si="19">Q387*M387</f>
        <v>186000.00000000003</v>
      </c>
      <c r="AC387" s="9">
        <f t="shared" ref="AC387:AC450" si="20">Z387*M387</f>
        <v>277402.86767817748</v>
      </c>
    </row>
    <row r="388" spans="1:29" x14ac:dyDescent="0.25">
      <c r="A388" t="s">
        <v>29</v>
      </c>
      <c r="B388">
        <v>30012</v>
      </c>
      <c r="C388" s="8">
        <v>45589</v>
      </c>
      <c r="D388" s="9">
        <v>311500</v>
      </c>
      <c r="E388" s="10">
        <v>2</v>
      </c>
      <c r="F388" t="s">
        <v>208</v>
      </c>
      <c r="G388" s="11">
        <v>6</v>
      </c>
      <c r="H388" t="s">
        <v>31</v>
      </c>
      <c r="J388" s="12">
        <v>0</v>
      </c>
      <c r="L388" t="s">
        <v>38</v>
      </c>
      <c r="M388" s="13">
        <v>2250000</v>
      </c>
      <c r="N388" s="14">
        <v>36</v>
      </c>
      <c r="P388" s="14">
        <v>1</v>
      </c>
      <c r="Q388" s="15">
        <v>0.10099999999999999</v>
      </c>
      <c r="R388" s="12">
        <v>45000</v>
      </c>
      <c r="S388" s="12">
        <v>1</v>
      </c>
      <c r="T388" s="12">
        <v>42800</v>
      </c>
      <c r="U388" s="12">
        <v>30300</v>
      </c>
      <c r="V388" s="12">
        <v>1</v>
      </c>
      <c r="W388" s="12">
        <v>72706.853242315483</v>
      </c>
      <c r="X388">
        <v>1</v>
      </c>
      <c r="Y388">
        <v>1</v>
      </c>
      <c r="Z388" s="15">
        <v>0.13848824655283554</v>
      </c>
      <c r="AA388" t="str">
        <f t="shared" si="18"/>
        <v>2-MT</v>
      </c>
      <c r="AB388" s="9">
        <f t="shared" si="19"/>
        <v>227249.99999999997</v>
      </c>
      <c r="AC388" s="9">
        <f t="shared" si="20"/>
        <v>311598.55474387994</v>
      </c>
    </row>
    <row r="389" spans="1:29" x14ac:dyDescent="0.25">
      <c r="A389" t="s">
        <v>29</v>
      </c>
      <c r="B389">
        <v>30012</v>
      </c>
      <c r="C389" s="8">
        <v>45588</v>
      </c>
      <c r="D389" s="9">
        <v>311500</v>
      </c>
      <c r="E389" s="10">
        <v>2</v>
      </c>
      <c r="F389" t="s">
        <v>203</v>
      </c>
      <c r="G389" s="11">
        <v>6</v>
      </c>
      <c r="H389" t="s">
        <v>31</v>
      </c>
      <c r="J389" s="12">
        <v>0</v>
      </c>
      <c r="L389" t="s">
        <v>38</v>
      </c>
      <c r="M389" s="13">
        <v>1390000</v>
      </c>
      <c r="N389" s="14">
        <v>36</v>
      </c>
      <c r="P389" s="14">
        <v>1</v>
      </c>
      <c r="Q389" s="15">
        <v>9.35E-2</v>
      </c>
      <c r="R389" s="12">
        <v>27800</v>
      </c>
      <c r="S389" s="12">
        <v>1</v>
      </c>
      <c r="T389" s="12">
        <v>37105</v>
      </c>
      <c r="U389" s="12">
        <v>21700</v>
      </c>
      <c r="V389" s="12">
        <v>1</v>
      </c>
      <c r="W389" s="12">
        <v>44428.399599402059</v>
      </c>
      <c r="X389">
        <v>1</v>
      </c>
      <c r="Y389">
        <v>1</v>
      </c>
      <c r="Z389" s="15">
        <v>0.13812582271819124</v>
      </c>
      <c r="AA389" t="str">
        <f t="shared" si="18"/>
        <v>2-MT</v>
      </c>
      <c r="AB389" s="9">
        <f t="shared" si="19"/>
        <v>129965</v>
      </c>
      <c r="AC389" s="9">
        <f t="shared" si="20"/>
        <v>191994.89357828582</v>
      </c>
    </row>
    <row r="390" spans="1:29" x14ac:dyDescent="0.25">
      <c r="A390" t="s">
        <v>29</v>
      </c>
      <c r="B390">
        <v>30012</v>
      </c>
      <c r="C390" s="8">
        <v>45629</v>
      </c>
      <c r="D390" s="9">
        <v>311500</v>
      </c>
      <c r="E390" s="10">
        <v>2</v>
      </c>
      <c r="F390" t="s">
        <v>155</v>
      </c>
      <c r="G390" s="11">
        <v>6</v>
      </c>
      <c r="H390" t="s">
        <v>31</v>
      </c>
      <c r="J390" s="12">
        <v>0</v>
      </c>
      <c r="L390" t="s">
        <v>38</v>
      </c>
      <c r="M390" s="13">
        <v>1500000</v>
      </c>
      <c r="N390" s="14">
        <v>36</v>
      </c>
      <c r="P390" s="14">
        <v>1</v>
      </c>
      <c r="Q390" s="15">
        <v>0.10099999999999999</v>
      </c>
      <c r="R390" s="12">
        <v>25000</v>
      </c>
      <c r="S390" s="12">
        <v>1</v>
      </c>
      <c r="T390" s="12">
        <v>30200</v>
      </c>
      <c r="U390" s="12">
        <v>22800</v>
      </c>
      <c r="V390" s="12">
        <v>1</v>
      </c>
      <c r="W390" s="12">
        <v>48471.235494876986</v>
      </c>
      <c r="X390">
        <v>1</v>
      </c>
      <c r="Y390">
        <v>1</v>
      </c>
      <c r="Z390" s="15">
        <v>0.13812561975200821</v>
      </c>
      <c r="AA390" t="str">
        <f t="shared" si="18"/>
        <v>2-MT</v>
      </c>
      <c r="AB390" s="9">
        <f t="shared" si="19"/>
        <v>151500</v>
      </c>
      <c r="AC390" s="9">
        <f t="shared" si="20"/>
        <v>207188.42962801232</v>
      </c>
    </row>
    <row r="391" spans="1:29" x14ac:dyDescent="0.25">
      <c r="A391" t="s">
        <v>29</v>
      </c>
      <c r="B391">
        <v>30012</v>
      </c>
      <c r="C391" s="8">
        <v>45586</v>
      </c>
      <c r="D391" s="9">
        <v>311500</v>
      </c>
      <c r="E391" s="10">
        <v>2</v>
      </c>
      <c r="F391" t="s">
        <v>188</v>
      </c>
      <c r="G391" s="11">
        <v>6</v>
      </c>
      <c r="H391" t="s">
        <v>31</v>
      </c>
      <c r="J391" s="12">
        <v>0</v>
      </c>
      <c r="L391" t="s">
        <v>36</v>
      </c>
      <c r="M391" s="13">
        <v>4000000</v>
      </c>
      <c r="N391" s="14">
        <v>36</v>
      </c>
      <c r="P391" s="14">
        <v>1</v>
      </c>
      <c r="Q391" s="15">
        <v>0.10099999999999999</v>
      </c>
      <c r="R391" s="12">
        <v>80000</v>
      </c>
      <c r="S391" s="12">
        <v>1</v>
      </c>
      <c r="T391" s="12">
        <v>72200</v>
      </c>
      <c r="U391" s="12">
        <v>47800</v>
      </c>
      <c r="V391" s="12">
        <v>1</v>
      </c>
      <c r="W391" s="12">
        <v>129256.62798633863</v>
      </c>
      <c r="X391">
        <v>1</v>
      </c>
      <c r="Y391">
        <v>1</v>
      </c>
      <c r="Z391" s="15">
        <v>0.13664490060867071</v>
      </c>
      <c r="AA391" t="str">
        <f t="shared" si="18"/>
        <v>2-MT</v>
      </c>
      <c r="AB391" s="9">
        <f t="shared" si="19"/>
        <v>403999.99999999994</v>
      </c>
      <c r="AC391" s="9">
        <f t="shared" si="20"/>
        <v>546579.60243468289</v>
      </c>
    </row>
    <row r="392" spans="1:29" x14ac:dyDescent="0.25">
      <c r="A392" t="s">
        <v>29</v>
      </c>
      <c r="B392">
        <v>30012</v>
      </c>
      <c r="C392" s="8">
        <v>45576</v>
      </c>
      <c r="D392" s="9">
        <v>311500</v>
      </c>
      <c r="E392" s="10">
        <v>2</v>
      </c>
      <c r="F392" t="s">
        <v>39</v>
      </c>
      <c r="G392" s="11">
        <v>6</v>
      </c>
      <c r="H392" t="s">
        <v>31</v>
      </c>
      <c r="J392" s="12">
        <v>0</v>
      </c>
      <c r="L392" t="s">
        <v>40</v>
      </c>
      <c r="M392" s="13">
        <v>1650000</v>
      </c>
      <c r="N392" s="14">
        <v>24</v>
      </c>
      <c r="P392" s="14">
        <v>1</v>
      </c>
      <c r="Q392" s="15">
        <v>0.10099999999999999</v>
      </c>
      <c r="R392" s="12">
        <v>33000</v>
      </c>
      <c r="S392" s="12">
        <v>1</v>
      </c>
      <c r="T392" s="12">
        <v>0</v>
      </c>
      <c r="U392" s="12">
        <v>24300</v>
      </c>
      <c r="V392" s="12">
        <v>1</v>
      </c>
      <c r="W392" s="12">
        <v>76215.306525242369</v>
      </c>
      <c r="X392">
        <v>1</v>
      </c>
      <c r="Y392">
        <v>1</v>
      </c>
      <c r="Z392" s="15">
        <v>0.13661010596875692</v>
      </c>
      <c r="AA392" t="str">
        <f t="shared" si="18"/>
        <v>1-CT</v>
      </c>
      <c r="AB392" s="9">
        <f t="shared" si="19"/>
        <v>166650</v>
      </c>
      <c r="AC392" s="9">
        <f t="shared" si="20"/>
        <v>225406.67484844892</v>
      </c>
    </row>
    <row r="393" spans="1:29" x14ac:dyDescent="0.25">
      <c r="A393" t="s">
        <v>29</v>
      </c>
      <c r="B393">
        <v>30012</v>
      </c>
      <c r="C393" s="8">
        <v>45581</v>
      </c>
      <c r="D393" s="9">
        <v>311500</v>
      </c>
      <c r="E393" s="10">
        <v>2</v>
      </c>
      <c r="F393" t="s">
        <v>209</v>
      </c>
      <c r="G393" s="11">
        <v>6</v>
      </c>
      <c r="H393" t="s">
        <v>31</v>
      </c>
      <c r="J393" s="12">
        <v>0</v>
      </c>
      <c r="L393" t="s">
        <v>165</v>
      </c>
      <c r="M393" s="13">
        <v>4100000</v>
      </c>
      <c r="N393" s="14">
        <v>36</v>
      </c>
      <c r="P393" s="14">
        <v>1</v>
      </c>
      <c r="Q393" s="15">
        <v>0.10099999999999999</v>
      </c>
      <c r="R393" s="12">
        <v>82000</v>
      </c>
      <c r="S393" s="12">
        <v>1</v>
      </c>
      <c r="T393" s="12">
        <v>73880</v>
      </c>
      <c r="U393" s="12">
        <v>48800</v>
      </c>
      <c r="V393" s="12">
        <v>1</v>
      </c>
      <c r="W393" s="12">
        <v>132488.04368599708</v>
      </c>
      <c r="X393">
        <v>1</v>
      </c>
      <c r="Y393">
        <v>1</v>
      </c>
      <c r="Z393" s="15">
        <v>0.13658720597446636</v>
      </c>
      <c r="AA393" t="str">
        <f t="shared" si="18"/>
        <v>2-MT</v>
      </c>
      <c r="AB393" s="9">
        <f t="shared" si="19"/>
        <v>414099.99999999994</v>
      </c>
      <c r="AC393" s="9">
        <f t="shared" si="20"/>
        <v>560007.54449531203</v>
      </c>
    </row>
    <row r="394" spans="1:29" x14ac:dyDescent="0.25">
      <c r="A394" t="s">
        <v>29</v>
      </c>
      <c r="B394">
        <v>30012</v>
      </c>
      <c r="C394" s="8">
        <v>45650</v>
      </c>
      <c r="D394" s="9">
        <v>311500</v>
      </c>
      <c r="E394" s="10">
        <v>2</v>
      </c>
      <c r="F394" t="s">
        <v>135</v>
      </c>
      <c r="G394" s="11">
        <v>6</v>
      </c>
      <c r="H394" t="s">
        <v>31</v>
      </c>
      <c r="J394" s="12">
        <v>0</v>
      </c>
      <c r="L394" t="s">
        <v>38</v>
      </c>
      <c r="M394" s="13">
        <v>3900000</v>
      </c>
      <c r="N394" s="14">
        <v>36</v>
      </c>
      <c r="P394" s="14">
        <v>1</v>
      </c>
      <c r="Q394" s="15">
        <v>0.10099999999999999</v>
      </c>
      <c r="R394" s="12">
        <v>58500</v>
      </c>
      <c r="S394" s="12">
        <v>1</v>
      </c>
      <c r="T394" s="12">
        <v>86050</v>
      </c>
      <c r="U394" s="12">
        <v>46800</v>
      </c>
      <c r="V394" s="12">
        <v>1</v>
      </c>
      <c r="W394" s="12">
        <v>126025.21228668017</v>
      </c>
      <c r="X394">
        <v>1</v>
      </c>
      <c r="Y394">
        <v>1</v>
      </c>
      <c r="Z394" s="15">
        <v>0.13595351551593815</v>
      </c>
      <c r="AA394" t="str">
        <f t="shared" si="18"/>
        <v>2-MT</v>
      </c>
      <c r="AB394" s="9">
        <f t="shared" si="19"/>
        <v>393900</v>
      </c>
      <c r="AC394" s="9">
        <f t="shared" si="20"/>
        <v>530218.71051215881</v>
      </c>
    </row>
    <row r="395" spans="1:29" x14ac:dyDescent="0.25">
      <c r="A395" t="s">
        <v>29</v>
      </c>
      <c r="B395">
        <v>30012</v>
      </c>
      <c r="C395" s="8">
        <v>45588</v>
      </c>
      <c r="D395" s="9">
        <v>321600</v>
      </c>
      <c r="E395" s="10">
        <v>9</v>
      </c>
      <c r="F395" t="s">
        <v>209</v>
      </c>
      <c r="G395" s="11">
        <v>6</v>
      </c>
      <c r="H395" t="s">
        <v>31</v>
      </c>
      <c r="J395" s="12">
        <v>0</v>
      </c>
      <c r="L395" t="s">
        <v>165</v>
      </c>
      <c r="M395" s="13">
        <v>1100000</v>
      </c>
      <c r="N395" s="14">
        <v>11</v>
      </c>
      <c r="P395" s="14">
        <v>2</v>
      </c>
      <c r="Q395" s="15">
        <v>0.11</v>
      </c>
      <c r="R395" s="12">
        <v>60000</v>
      </c>
      <c r="S395" s="12">
        <v>1</v>
      </c>
      <c r="T395" s="12">
        <v>0</v>
      </c>
      <c r="U395" s="12">
        <v>30660</v>
      </c>
      <c r="V395" s="12">
        <v>1</v>
      </c>
      <c r="W395" s="12">
        <v>111332.8439289134</v>
      </c>
      <c r="X395">
        <v>1</v>
      </c>
      <c r="Y395">
        <v>1</v>
      </c>
      <c r="Z395" s="15">
        <v>0.13479034294491549</v>
      </c>
      <c r="AA395" t="str">
        <f t="shared" si="18"/>
        <v>1-CT</v>
      </c>
      <c r="AB395" s="9">
        <f t="shared" si="19"/>
        <v>121000</v>
      </c>
      <c r="AC395" s="9">
        <f t="shared" si="20"/>
        <v>148269.37723940704</v>
      </c>
    </row>
    <row r="396" spans="1:29" x14ac:dyDescent="0.25">
      <c r="A396" t="s">
        <v>29</v>
      </c>
      <c r="B396">
        <v>30012</v>
      </c>
      <c r="C396" s="8">
        <v>45622</v>
      </c>
      <c r="D396" s="9">
        <v>311500</v>
      </c>
      <c r="E396" s="10">
        <v>2</v>
      </c>
      <c r="F396" t="s">
        <v>175</v>
      </c>
      <c r="G396" s="11">
        <v>6</v>
      </c>
      <c r="H396" t="s">
        <v>31</v>
      </c>
      <c r="J396" s="12">
        <v>0</v>
      </c>
      <c r="L396" t="s">
        <v>38</v>
      </c>
      <c r="M396" s="13">
        <v>15000000</v>
      </c>
      <c r="N396" s="14">
        <v>36</v>
      </c>
      <c r="P396" s="14">
        <v>1</v>
      </c>
      <c r="Q396" s="15">
        <v>9.35E-2</v>
      </c>
      <c r="R396" s="12">
        <v>450000</v>
      </c>
      <c r="S396" s="12">
        <v>1</v>
      </c>
      <c r="T396" s="12">
        <v>257000</v>
      </c>
      <c r="U396" s="12">
        <v>157800</v>
      </c>
      <c r="V396" s="12">
        <v>1</v>
      </c>
      <c r="W396" s="12">
        <v>479443.16114462662</v>
      </c>
      <c r="X396">
        <v>1</v>
      </c>
      <c r="Y396">
        <v>1</v>
      </c>
      <c r="Z396" s="15">
        <v>0.13465050322389688</v>
      </c>
      <c r="AA396" t="str">
        <f t="shared" si="18"/>
        <v>2-MT</v>
      </c>
      <c r="AB396" s="9">
        <f t="shared" si="19"/>
        <v>1402500</v>
      </c>
      <c r="AC396" s="9">
        <f t="shared" si="20"/>
        <v>2019757.5483584532</v>
      </c>
    </row>
    <row r="397" spans="1:29" x14ac:dyDescent="0.25">
      <c r="A397" t="s">
        <v>29</v>
      </c>
      <c r="B397">
        <v>30012</v>
      </c>
      <c r="C397" s="8">
        <v>45590</v>
      </c>
      <c r="D397" s="9">
        <v>321600</v>
      </c>
      <c r="E397" s="10">
        <v>2</v>
      </c>
      <c r="F397" t="s">
        <v>90</v>
      </c>
      <c r="G397" s="11">
        <v>6</v>
      </c>
      <c r="H397" t="s">
        <v>31</v>
      </c>
      <c r="J397" s="12">
        <v>0</v>
      </c>
      <c r="L397" t="s">
        <v>40</v>
      </c>
      <c r="M397" s="13">
        <v>770000</v>
      </c>
      <c r="N397" s="14">
        <v>8</v>
      </c>
      <c r="P397" s="14">
        <v>2</v>
      </c>
      <c r="Q397" s="15">
        <v>9.3000000000000013E-2</v>
      </c>
      <c r="R397" s="12">
        <v>25000</v>
      </c>
      <c r="S397" s="12">
        <v>1</v>
      </c>
      <c r="T397" s="12">
        <v>16550</v>
      </c>
      <c r="U397" s="12">
        <v>15500</v>
      </c>
      <c r="V397" s="12">
        <v>1</v>
      </c>
      <c r="W397" s="12">
        <v>103083.8767138901</v>
      </c>
      <c r="X397">
        <v>1</v>
      </c>
      <c r="Y397">
        <v>1</v>
      </c>
      <c r="Z397" s="15">
        <v>0.13413545266134536</v>
      </c>
      <c r="AA397" t="str">
        <f t="shared" si="18"/>
        <v>1-CT</v>
      </c>
      <c r="AB397" s="9">
        <f t="shared" si="19"/>
        <v>71610.000000000015</v>
      </c>
      <c r="AC397" s="9">
        <f t="shared" si="20"/>
        <v>103284.29854923593</v>
      </c>
    </row>
    <row r="398" spans="1:29" x14ac:dyDescent="0.25">
      <c r="A398" t="s">
        <v>29</v>
      </c>
      <c r="B398">
        <v>30012</v>
      </c>
      <c r="C398" s="8">
        <v>45615</v>
      </c>
      <c r="D398" s="9">
        <v>321600</v>
      </c>
      <c r="E398" s="10">
        <v>2</v>
      </c>
      <c r="F398" t="s">
        <v>136</v>
      </c>
      <c r="G398" s="11">
        <v>6</v>
      </c>
      <c r="H398" t="s">
        <v>31</v>
      </c>
      <c r="J398" s="12">
        <v>0</v>
      </c>
      <c r="L398" t="s">
        <v>40</v>
      </c>
      <c r="M398" s="13">
        <v>1150000</v>
      </c>
      <c r="N398" s="14">
        <v>8</v>
      </c>
      <c r="P398" s="14">
        <v>2</v>
      </c>
      <c r="Q398" s="15">
        <v>9.3000000000000013E-2</v>
      </c>
      <c r="R398" s="12">
        <v>25000</v>
      </c>
      <c r="S398" s="12">
        <v>1</v>
      </c>
      <c r="T398" s="12">
        <v>40650</v>
      </c>
      <c r="U398" s="12">
        <v>19300</v>
      </c>
      <c r="V398" s="12">
        <v>1</v>
      </c>
      <c r="W398" s="12">
        <v>153956.43924801768</v>
      </c>
      <c r="X398">
        <v>1</v>
      </c>
      <c r="Y398">
        <v>1</v>
      </c>
      <c r="Z398" s="15">
        <v>0.13390709546509411</v>
      </c>
      <c r="AA398" t="str">
        <f t="shared" si="18"/>
        <v>1-CT</v>
      </c>
      <c r="AB398" s="9">
        <f t="shared" si="19"/>
        <v>106950.00000000001</v>
      </c>
      <c r="AC398" s="9">
        <f t="shared" si="20"/>
        <v>153993.15978485823</v>
      </c>
    </row>
    <row r="399" spans="1:29" x14ac:dyDescent="0.25">
      <c r="A399" t="s">
        <v>29</v>
      </c>
      <c r="B399">
        <v>30012</v>
      </c>
      <c r="C399" s="8">
        <v>45642</v>
      </c>
      <c r="D399" s="9">
        <v>311500</v>
      </c>
      <c r="E399" s="10">
        <v>2</v>
      </c>
      <c r="F399" t="s">
        <v>191</v>
      </c>
      <c r="G399" s="11">
        <v>6</v>
      </c>
      <c r="H399" t="s">
        <v>31</v>
      </c>
      <c r="J399" s="12">
        <v>0</v>
      </c>
      <c r="L399" t="s">
        <v>32</v>
      </c>
      <c r="M399" s="13">
        <v>3200000</v>
      </c>
      <c r="N399" s="14">
        <v>36</v>
      </c>
      <c r="P399" s="14">
        <v>1</v>
      </c>
      <c r="Q399" s="15">
        <v>0.10099999999999999</v>
      </c>
      <c r="R399" s="12">
        <v>48000</v>
      </c>
      <c r="S399" s="12">
        <v>1</v>
      </c>
      <c r="T399" s="12">
        <v>58760</v>
      </c>
      <c r="U399" s="12">
        <v>39800</v>
      </c>
      <c r="V399" s="12">
        <v>1</v>
      </c>
      <c r="W399" s="12">
        <v>103405.3023890709</v>
      </c>
      <c r="X399">
        <v>1</v>
      </c>
      <c r="Y399">
        <v>1</v>
      </c>
      <c r="Z399" s="15">
        <v>0.13354971068933932</v>
      </c>
      <c r="AA399" t="str">
        <f t="shared" si="18"/>
        <v>2-MT</v>
      </c>
      <c r="AB399" s="9">
        <f t="shared" si="19"/>
        <v>323200</v>
      </c>
      <c r="AC399" s="9">
        <f t="shared" si="20"/>
        <v>427359.07420588582</v>
      </c>
    </row>
    <row r="400" spans="1:29" x14ac:dyDescent="0.25">
      <c r="A400" t="s">
        <v>29</v>
      </c>
      <c r="B400">
        <v>30012</v>
      </c>
      <c r="C400" s="8">
        <v>45650</v>
      </c>
      <c r="D400" s="9">
        <v>311500</v>
      </c>
      <c r="E400" s="10">
        <v>2</v>
      </c>
      <c r="F400" t="s">
        <v>64</v>
      </c>
      <c r="G400" s="11">
        <v>6</v>
      </c>
      <c r="H400" t="s">
        <v>31</v>
      </c>
      <c r="J400" s="12">
        <v>0</v>
      </c>
      <c r="L400" t="s">
        <v>171</v>
      </c>
      <c r="M400" s="13">
        <v>7500000</v>
      </c>
      <c r="N400" s="14">
        <v>34</v>
      </c>
      <c r="P400" s="14">
        <v>1</v>
      </c>
      <c r="Q400" s="15">
        <v>0.10099999999999999</v>
      </c>
      <c r="R400" s="12">
        <v>112500</v>
      </c>
      <c r="S400" s="12">
        <v>1</v>
      </c>
      <c r="T400" s="12">
        <v>123625</v>
      </c>
      <c r="U400" s="12">
        <v>82800</v>
      </c>
      <c r="V400" s="12">
        <v>1</v>
      </c>
      <c r="W400" s="12">
        <v>254574.77855255106</v>
      </c>
      <c r="X400">
        <v>1</v>
      </c>
      <c r="Y400">
        <v>1</v>
      </c>
      <c r="Z400" s="15">
        <v>0.13277819127063201</v>
      </c>
      <c r="AA400" t="str">
        <f t="shared" si="18"/>
        <v>2-MT</v>
      </c>
      <c r="AB400" s="9">
        <f t="shared" si="19"/>
        <v>757500</v>
      </c>
      <c r="AC400" s="9">
        <f t="shared" si="20"/>
        <v>995836.43452974001</v>
      </c>
    </row>
    <row r="401" spans="1:29" x14ac:dyDescent="0.25">
      <c r="A401" t="s">
        <v>29</v>
      </c>
      <c r="B401">
        <v>30012</v>
      </c>
      <c r="C401" s="8">
        <v>45567</v>
      </c>
      <c r="D401" s="9">
        <v>321600</v>
      </c>
      <c r="E401" s="10">
        <v>2</v>
      </c>
      <c r="F401" t="s">
        <v>110</v>
      </c>
      <c r="G401" s="11">
        <v>6</v>
      </c>
      <c r="H401" t="s">
        <v>31</v>
      </c>
      <c r="J401" s="12">
        <v>0</v>
      </c>
      <c r="L401" t="s">
        <v>61</v>
      </c>
      <c r="M401" s="13">
        <v>2000000</v>
      </c>
      <c r="N401" s="14">
        <v>24</v>
      </c>
      <c r="P401" s="14">
        <v>1</v>
      </c>
      <c r="Q401" s="15">
        <v>0.09</v>
      </c>
      <c r="R401" s="12">
        <v>40000</v>
      </c>
      <c r="S401" s="12">
        <v>1</v>
      </c>
      <c r="T401" s="12">
        <v>10200</v>
      </c>
      <c r="U401" s="12">
        <v>27800</v>
      </c>
      <c r="V401" s="12">
        <v>1</v>
      </c>
      <c r="W401" s="12">
        <v>91369.484558346187</v>
      </c>
      <c r="X401">
        <v>1</v>
      </c>
      <c r="Y401">
        <v>1</v>
      </c>
      <c r="Z401" s="15">
        <v>0.12993466188716157</v>
      </c>
      <c r="AA401" t="str">
        <f t="shared" si="18"/>
        <v>1-CT</v>
      </c>
      <c r="AB401" s="9">
        <f t="shared" si="19"/>
        <v>180000</v>
      </c>
      <c r="AC401" s="9">
        <f t="shared" si="20"/>
        <v>259869.32377432316</v>
      </c>
    </row>
    <row r="402" spans="1:29" x14ac:dyDescent="0.25">
      <c r="A402" t="s">
        <v>29</v>
      </c>
      <c r="B402">
        <v>30012</v>
      </c>
      <c r="C402" s="8">
        <v>45646</v>
      </c>
      <c r="D402" s="9">
        <v>321600</v>
      </c>
      <c r="E402" s="10">
        <v>2</v>
      </c>
      <c r="F402" t="s">
        <v>37</v>
      </c>
      <c r="G402" s="11">
        <v>6</v>
      </c>
      <c r="H402" t="s">
        <v>31</v>
      </c>
      <c r="J402" s="12">
        <v>0</v>
      </c>
      <c r="L402" t="s">
        <v>40</v>
      </c>
      <c r="M402" s="13">
        <v>2500000</v>
      </c>
      <c r="N402" s="14">
        <v>24</v>
      </c>
      <c r="P402" s="14">
        <v>1</v>
      </c>
      <c r="Q402" s="15">
        <v>9.3000000000000013E-2</v>
      </c>
      <c r="R402" s="12">
        <v>50000</v>
      </c>
      <c r="S402" s="12">
        <v>1</v>
      </c>
      <c r="T402" s="12">
        <v>0</v>
      </c>
      <c r="U402" s="12">
        <v>32800</v>
      </c>
      <c r="V402" s="12">
        <v>1</v>
      </c>
      <c r="W402" s="12">
        <v>114556.27687597305</v>
      </c>
      <c r="X402">
        <v>1</v>
      </c>
      <c r="Y402">
        <v>1</v>
      </c>
      <c r="Z402" s="15">
        <v>0.12681030364068013</v>
      </c>
      <c r="AA402" t="str">
        <f t="shared" si="18"/>
        <v>1-CT</v>
      </c>
      <c r="AB402" s="9">
        <f t="shared" si="19"/>
        <v>232500.00000000003</v>
      </c>
      <c r="AC402" s="9">
        <f t="shared" si="20"/>
        <v>317025.75910170033</v>
      </c>
    </row>
    <row r="403" spans="1:29" x14ac:dyDescent="0.25">
      <c r="A403" t="s">
        <v>29</v>
      </c>
      <c r="B403">
        <v>30012</v>
      </c>
      <c r="C403" s="8">
        <v>45589</v>
      </c>
      <c r="D403" s="9">
        <v>321600</v>
      </c>
      <c r="E403" s="10">
        <v>2</v>
      </c>
      <c r="F403" t="s">
        <v>162</v>
      </c>
      <c r="G403" s="11">
        <v>6</v>
      </c>
      <c r="H403" t="s">
        <v>31</v>
      </c>
      <c r="J403" s="12">
        <v>0</v>
      </c>
      <c r="L403" t="s">
        <v>32</v>
      </c>
      <c r="M403" s="13">
        <v>2500000</v>
      </c>
      <c r="N403" s="14">
        <v>24</v>
      </c>
      <c r="P403" s="14">
        <v>1</v>
      </c>
      <c r="Q403" s="15">
        <v>9.3000000000000013E-2</v>
      </c>
      <c r="R403" s="12">
        <v>50000</v>
      </c>
      <c r="S403" s="12">
        <v>1</v>
      </c>
      <c r="T403" s="12">
        <v>0</v>
      </c>
      <c r="U403" s="12">
        <v>32800</v>
      </c>
      <c r="V403" s="12">
        <v>1</v>
      </c>
      <c r="W403" s="12">
        <v>114556.27687597305</v>
      </c>
      <c r="X403">
        <v>1</v>
      </c>
      <c r="Y403">
        <v>1</v>
      </c>
      <c r="Z403" s="15">
        <v>0.12681030364068013</v>
      </c>
      <c r="AA403" t="str">
        <f t="shared" si="18"/>
        <v>1-CT</v>
      </c>
      <c r="AB403" s="9">
        <f t="shared" si="19"/>
        <v>232500.00000000003</v>
      </c>
      <c r="AC403" s="9">
        <f t="shared" si="20"/>
        <v>317025.75910170033</v>
      </c>
    </row>
    <row r="404" spans="1:29" x14ac:dyDescent="0.25">
      <c r="A404" t="s">
        <v>29</v>
      </c>
      <c r="B404">
        <v>30012</v>
      </c>
      <c r="C404" s="8">
        <v>45617</v>
      </c>
      <c r="D404" s="9">
        <v>311500</v>
      </c>
      <c r="E404" s="10">
        <v>2</v>
      </c>
      <c r="F404" t="s">
        <v>195</v>
      </c>
      <c r="G404" s="11">
        <v>6</v>
      </c>
      <c r="H404" t="s">
        <v>31</v>
      </c>
      <c r="J404" s="12">
        <v>0</v>
      </c>
      <c r="L404" t="s">
        <v>40</v>
      </c>
      <c r="M404" s="13">
        <v>3300000</v>
      </c>
      <c r="N404" s="14">
        <v>36</v>
      </c>
      <c r="P404" s="14">
        <v>1</v>
      </c>
      <c r="Q404" s="15">
        <v>0.10099999999999999</v>
      </c>
      <c r="R404" s="12">
        <v>66000</v>
      </c>
      <c r="S404" s="12">
        <v>1</v>
      </c>
      <c r="T404" s="12">
        <v>0</v>
      </c>
      <c r="U404" s="12">
        <v>40800</v>
      </c>
      <c r="V404" s="12">
        <v>1</v>
      </c>
      <c r="W404" s="12">
        <v>106636.71808872937</v>
      </c>
      <c r="X404">
        <v>1</v>
      </c>
      <c r="Y404">
        <v>1</v>
      </c>
      <c r="Z404" s="15">
        <v>0.12377581338601359</v>
      </c>
      <c r="AA404" t="str">
        <f t="shared" si="18"/>
        <v>2-MT</v>
      </c>
      <c r="AB404" s="9">
        <f t="shared" si="19"/>
        <v>333300</v>
      </c>
      <c r="AC404" s="9">
        <f t="shared" si="20"/>
        <v>408460.18417384487</v>
      </c>
    </row>
    <row r="405" spans="1:29" x14ac:dyDescent="0.25">
      <c r="A405" t="s">
        <v>29</v>
      </c>
      <c r="B405">
        <v>30012</v>
      </c>
      <c r="C405" s="8">
        <v>45632</v>
      </c>
      <c r="D405" s="9">
        <v>311500</v>
      </c>
      <c r="E405" s="10">
        <v>2</v>
      </c>
      <c r="F405" t="s">
        <v>138</v>
      </c>
      <c r="G405" s="11">
        <v>6</v>
      </c>
      <c r="H405" t="s">
        <v>31</v>
      </c>
      <c r="J405" s="12">
        <v>0</v>
      </c>
      <c r="L405" t="s">
        <v>40</v>
      </c>
      <c r="M405" s="13">
        <v>4000000</v>
      </c>
      <c r="N405" s="14">
        <v>36</v>
      </c>
      <c r="P405" s="14">
        <v>1</v>
      </c>
      <c r="Q405" s="15">
        <v>0.10099999999999999</v>
      </c>
      <c r="R405" s="12">
        <v>80000</v>
      </c>
      <c r="S405" s="12">
        <v>1</v>
      </c>
      <c r="T405" s="12">
        <v>0</v>
      </c>
      <c r="U405" s="12">
        <v>47800</v>
      </c>
      <c r="V405" s="12">
        <v>1</v>
      </c>
      <c r="W405" s="12">
        <v>129256.62798633863</v>
      </c>
      <c r="X405">
        <v>1</v>
      </c>
      <c r="Y405">
        <v>1</v>
      </c>
      <c r="Z405" s="15">
        <v>0.12347797086580163</v>
      </c>
      <c r="AA405" t="str">
        <f t="shared" si="18"/>
        <v>2-MT</v>
      </c>
      <c r="AB405" s="9">
        <f t="shared" si="19"/>
        <v>403999.99999999994</v>
      </c>
      <c r="AC405" s="9">
        <f t="shared" si="20"/>
        <v>493911.88346320653</v>
      </c>
    </row>
    <row r="406" spans="1:29" x14ac:dyDescent="0.25">
      <c r="A406" t="s">
        <v>29</v>
      </c>
      <c r="B406">
        <v>30012</v>
      </c>
      <c r="C406" s="8">
        <v>45582</v>
      </c>
      <c r="D406" s="9">
        <v>311500</v>
      </c>
      <c r="E406" s="10">
        <v>2</v>
      </c>
      <c r="F406" t="s">
        <v>30</v>
      </c>
      <c r="G406" s="11">
        <v>6</v>
      </c>
      <c r="H406" t="s">
        <v>31</v>
      </c>
      <c r="J406" s="12">
        <v>0</v>
      </c>
      <c r="L406" t="s">
        <v>40</v>
      </c>
      <c r="M406" s="13">
        <v>4335000</v>
      </c>
      <c r="N406" s="14">
        <v>36</v>
      </c>
      <c r="P406" s="14">
        <v>1</v>
      </c>
      <c r="Q406" s="15">
        <v>0.10099999999999999</v>
      </c>
      <c r="R406" s="12">
        <v>86700</v>
      </c>
      <c r="S406" s="12">
        <v>1</v>
      </c>
      <c r="T406" s="12">
        <v>0</v>
      </c>
      <c r="U406" s="12">
        <v>51150</v>
      </c>
      <c r="V406" s="12">
        <v>1</v>
      </c>
      <c r="W406" s="12">
        <v>140081.87058019449</v>
      </c>
      <c r="X406">
        <v>1</v>
      </c>
      <c r="Y406">
        <v>1</v>
      </c>
      <c r="Z406" s="15">
        <v>0.12336950837143718</v>
      </c>
      <c r="AA406" t="str">
        <f t="shared" si="18"/>
        <v>2-MT</v>
      </c>
      <c r="AB406" s="9">
        <f t="shared" si="19"/>
        <v>437834.99999999994</v>
      </c>
      <c r="AC406" s="9">
        <f t="shared" si="20"/>
        <v>534806.81879018014</v>
      </c>
    </row>
    <row r="407" spans="1:29" x14ac:dyDescent="0.25">
      <c r="A407" t="s">
        <v>29</v>
      </c>
      <c r="B407">
        <v>30012</v>
      </c>
      <c r="C407" s="8">
        <v>45632</v>
      </c>
      <c r="D407" s="9">
        <v>321620</v>
      </c>
      <c r="E407" s="10">
        <v>2</v>
      </c>
      <c r="F407" t="s">
        <v>85</v>
      </c>
      <c r="G407" s="11">
        <v>6</v>
      </c>
      <c r="H407" t="s">
        <v>31</v>
      </c>
      <c r="J407" s="12">
        <v>0</v>
      </c>
      <c r="L407" t="s">
        <v>40</v>
      </c>
      <c r="M407" s="13">
        <v>3500000</v>
      </c>
      <c r="N407" s="14">
        <v>4</v>
      </c>
      <c r="P407" s="14">
        <v>2</v>
      </c>
      <c r="Q407" s="15">
        <v>0.105</v>
      </c>
      <c r="R407" s="12">
        <v>70000</v>
      </c>
      <c r="S407" s="12">
        <v>1</v>
      </c>
      <c r="T407" s="12">
        <v>0</v>
      </c>
      <c r="U407" s="12">
        <v>36300</v>
      </c>
      <c r="V407" s="12">
        <v>1</v>
      </c>
      <c r="W407" s="12">
        <v>913613.28546670417</v>
      </c>
      <c r="X407">
        <v>1</v>
      </c>
      <c r="Y407">
        <v>1</v>
      </c>
      <c r="Z407" s="15">
        <v>0.12112880546022185</v>
      </c>
      <c r="AA407" t="str">
        <f t="shared" si="18"/>
        <v>1-CT</v>
      </c>
      <c r="AB407" s="9">
        <f t="shared" si="19"/>
        <v>367500</v>
      </c>
      <c r="AC407" s="9">
        <f t="shared" si="20"/>
        <v>423950.81911077647</v>
      </c>
    </row>
    <row r="408" spans="1:29" x14ac:dyDescent="0.25">
      <c r="A408" t="s">
        <v>29</v>
      </c>
      <c r="B408">
        <v>30012</v>
      </c>
      <c r="C408" s="8">
        <v>45628</v>
      </c>
      <c r="D408" s="9">
        <v>311500</v>
      </c>
      <c r="E408" s="10">
        <v>2</v>
      </c>
      <c r="F408" t="s">
        <v>198</v>
      </c>
      <c r="G408" s="11">
        <v>6</v>
      </c>
      <c r="H408" t="s">
        <v>31</v>
      </c>
      <c r="J408" s="12">
        <v>0</v>
      </c>
      <c r="L408" t="s">
        <v>32</v>
      </c>
      <c r="M408" s="13">
        <v>3500000</v>
      </c>
      <c r="N408" s="14">
        <v>36</v>
      </c>
      <c r="P408" s="14">
        <v>1</v>
      </c>
      <c r="Q408" s="15">
        <v>0.10099999999999999</v>
      </c>
      <c r="R408" s="12">
        <v>52500</v>
      </c>
      <c r="S408" s="12">
        <v>1</v>
      </c>
      <c r="T408" s="12">
        <v>0</v>
      </c>
      <c r="U408" s="12">
        <v>42800</v>
      </c>
      <c r="V408" s="12">
        <v>1</v>
      </c>
      <c r="W408" s="12">
        <v>113099.54948804629</v>
      </c>
      <c r="X408">
        <v>1</v>
      </c>
      <c r="Y408">
        <v>1</v>
      </c>
      <c r="Z408" s="15">
        <v>0.12009094045122413</v>
      </c>
      <c r="AA408" t="str">
        <f t="shared" si="18"/>
        <v>2-MT</v>
      </c>
      <c r="AB408" s="9">
        <f t="shared" si="19"/>
        <v>353500</v>
      </c>
      <c r="AC408" s="9">
        <f t="shared" si="20"/>
        <v>420318.29157928447</v>
      </c>
    </row>
    <row r="409" spans="1:29" x14ac:dyDescent="0.25">
      <c r="A409" t="s">
        <v>29</v>
      </c>
      <c r="B409">
        <v>30012</v>
      </c>
      <c r="C409" s="8">
        <v>45628</v>
      </c>
      <c r="D409" s="9">
        <v>311500</v>
      </c>
      <c r="E409" s="10">
        <v>2</v>
      </c>
      <c r="F409" t="s">
        <v>192</v>
      </c>
      <c r="G409" s="11">
        <v>6</v>
      </c>
      <c r="H409" t="s">
        <v>31</v>
      </c>
      <c r="J409" s="12">
        <v>0</v>
      </c>
      <c r="L409" t="s">
        <v>32</v>
      </c>
      <c r="M409" s="13">
        <v>20000000</v>
      </c>
      <c r="N409" s="14">
        <v>101</v>
      </c>
      <c r="P409" s="14">
        <v>1</v>
      </c>
      <c r="Q409" s="15">
        <v>0.10099999999999999</v>
      </c>
      <c r="R409" s="12">
        <v>600000</v>
      </c>
      <c r="S409" s="12">
        <v>1</v>
      </c>
      <c r="T409" s="12">
        <v>355000</v>
      </c>
      <c r="U409" s="12">
        <v>207800</v>
      </c>
      <c r="V409" s="12">
        <v>1</v>
      </c>
      <c r="W409" s="12">
        <v>294754.06483127485</v>
      </c>
      <c r="X409">
        <v>1</v>
      </c>
      <c r="Y409">
        <v>1</v>
      </c>
      <c r="Z409" s="15">
        <v>0.11771448909042798</v>
      </c>
      <c r="AA409" t="str">
        <f t="shared" si="18"/>
        <v>3-LT</v>
      </c>
      <c r="AB409" s="9">
        <f t="shared" si="19"/>
        <v>2019999.9999999998</v>
      </c>
      <c r="AC409" s="9">
        <f t="shared" si="20"/>
        <v>2354289.7818085593</v>
      </c>
    </row>
    <row r="410" spans="1:29" x14ac:dyDescent="0.25">
      <c r="A410" t="s">
        <v>29</v>
      </c>
      <c r="B410">
        <v>30012</v>
      </c>
      <c r="C410" s="8">
        <v>45628</v>
      </c>
      <c r="D410" s="9">
        <v>301300</v>
      </c>
      <c r="E410" s="10">
        <v>9</v>
      </c>
      <c r="F410" t="s">
        <v>200</v>
      </c>
      <c r="G410" s="11" t="s">
        <v>201</v>
      </c>
      <c r="H410" t="s">
        <v>31</v>
      </c>
      <c r="I410" t="s">
        <v>202</v>
      </c>
      <c r="J410" s="12">
        <v>4328736000</v>
      </c>
      <c r="L410" t="s">
        <v>109</v>
      </c>
      <c r="M410" s="13">
        <v>40000000</v>
      </c>
      <c r="N410" s="14">
        <v>36</v>
      </c>
      <c r="P410" s="14">
        <v>1</v>
      </c>
      <c r="Q410" s="15">
        <v>0.11749999999999999</v>
      </c>
      <c r="R410" s="12">
        <v>0</v>
      </c>
      <c r="S410" s="12">
        <v>1</v>
      </c>
      <c r="T410" s="12">
        <v>0</v>
      </c>
      <c r="U410" s="12">
        <v>0</v>
      </c>
      <c r="V410" s="12">
        <v>1</v>
      </c>
      <c r="W410" s="12">
        <v>1323801.2587550636</v>
      </c>
      <c r="X410">
        <v>1</v>
      </c>
      <c r="Y410">
        <v>1</v>
      </c>
      <c r="Z410" s="15">
        <v>0.1174999999999945</v>
      </c>
      <c r="AA410" t="str">
        <f t="shared" si="18"/>
        <v>2-MT</v>
      </c>
      <c r="AB410" s="9">
        <f t="shared" si="19"/>
        <v>4700000</v>
      </c>
      <c r="AC410" s="9">
        <f t="shared" si="20"/>
        <v>4699999.9999997802</v>
      </c>
    </row>
    <row r="411" spans="1:29" x14ac:dyDescent="0.25">
      <c r="A411" t="s">
        <v>29</v>
      </c>
      <c r="B411">
        <v>30012</v>
      </c>
      <c r="C411" s="8">
        <v>45616</v>
      </c>
      <c r="D411" s="9">
        <v>321600</v>
      </c>
      <c r="E411" s="10">
        <v>9</v>
      </c>
      <c r="F411" t="s">
        <v>168</v>
      </c>
      <c r="G411" s="11">
        <v>6</v>
      </c>
      <c r="H411" t="s">
        <v>31</v>
      </c>
      <c r="J411" s="12">
        <v>0</v>
      </c>
      <c r="L411" t="s">
        <v>169</v>
      </c>
      <c r="M411" s="13">
        <v>5500000</v>
      </c>
      <c r="N411" s="14">
        <v>305</v>
      </c>
      <c r="P411" s="14">
        <v>1</v>
      </c>
      <c r="Q411" s="15">
        <v>0.11</v>
      </c>
      <c r="R411" s="12">
        <v>130000</v>
      </c>
      <c r="S411" s="12">
        <v>1</v>
      </c>
      <c r="T411" s="12">
        <v>0</v>
      </c>
      <c r="U411" s="12">
        <v>108100</v>
      </c>
      <c r="V411" s="12">
        <v>1</v>
      </c>
      <c r="W411" s="12">
        <v>53740.327461927307</v>
      </c>
      <c r="X411">
        <v>1</v>
      </c>
      <c r="Y411">
        <v>1</v>
      </c>
      <c r="Z411" s="15">
        <v>0.11604820820888062</v>
      </c>
      <c r="AA411" t="str">
        <f t="shared" si="18"/>
        <v>3-LT</v>
      </c>
      <c r="AB411" s="9">
        <f t="shared" si="19"/>
        <v>605000</v>
      </c>
      <c r="AC411" s="9">
        <f t="shared" si="20"/>
        <v>638265.14514884341</v>
      </c>
    </row>
    <row r="412" spans="1:29" x14ac:dyDescent="0.25">
      <c r="A412" t="s">
        <v>29</v>
      </c>
      <c r="B412">
        <v>30012</v>
      </c>
      <c r="C412" s="8">
        <v>45576</v>
      </c>
      <c r="D412" s="9">
        <v>321300</v>
      </c>
      <c r="E412" s="10">
        <v>9</v>
      </c>
      <c r="F412" t="s">
        <v>200</v>
      </c>
      <c r="G412" s="11" t="s">
        <v>201</v>
      </c>
      <c r="H412" t="s">
        <v>31</v>
      </c>
      <c r="I412" t="s">
        <v>202</v>
      </c>
      <c r="J412" s="12">
        <v>4328736000</v>
      </c>
      <c r="L412" t="s">
        <v>109</v>
      </c>
      <c r="M412" s="13">
        <v>200000000</v>
      </c>
      <c r="N412" s="14">
        <v>1</v>
      </c>
      <c r="P412" s="14">
        <v>1</v>
      </c>
      <c r="Q412" s="15">
        <v>0.09</v>
      </c>
      <c r="R412" s="12">
        <v>350000</v>
      </c>
      <c r="S412" s="12">
        <v>1</v>
      </c>
      <c r="T412" s="12">
        <v>0</v>
      </c>
      <c r="U412" s="12">
        <v>0</v>
      </c>
      <c r="V412" s="12">
        <v>1</v>
      </c>
      <c r="W412" s="12">
        <v>201499999.99999997</v>
      </c>
      <c r="X412">
        <v>1</v>
      </c>
      <c r="Y412">
        <v>1</v>
      </c>
      <c r="Z412" s="15">
        <v>0.11119459053341982</v>
      </c>
      <c r="AA412" t="str">
        <f t="shared" si="18"/>
        <v>1-CT</v>
      </c>
      <c r="AB412" s="9">
        <f t="shared" si="19"/>
        <v>18000000</v>
      </c>
      <c r="AC412" s="9">
        <f t="shared" si="20"/>
        <v>22238918.106683962</v>
      </c>
    </row>
    <row r="413" spans="1:29" x14ac:dyDescent="0.25">
      <c r="A413" t="s">
        <v>29</v>
      </c>
      <c r="B413">
        <v>30012</v>
      </c>
      <c r="C413" s="8">
        <v>45623</v>
      </c>
      <c r="D413" s="9">
        <v>311500</v>
      </c>
      <c r="E413" s="10">
        <v>2</v>
      </c>
      <c r="F413" t="s">
        <v>207</v>
      </c>
      <c r="G413" s="11">
        <v>6</v>
      </c>
      <c r="H413" t="s">
        <v>31</v>
      </c>
      <c r="J413" s="12">
        <v>0</v>
      </c>
      <c r="L413" t="s">
        <v>40</v>
      </c>
      <c r="M413" s="13">
        <v>20000000</v>
      </c>
      <c r="N413" s="14">
        <v>20</v>
      </c>
      <c r="P413" s="14">
        <v>2</v>
      </c>
      <c r="Q413" s="15">
        <v>0.13800000000000001</v>
      </c>
      <c r="R413" s="12">
        <v>600000</v>
      </c>
      <c r="S413" s="12">
        <v>1</v>
      </c>
      <c r="T413" s="12">
        <v>0</v>
      </c>
      <c r="U413" s="12">
        <v>207800</v>
      </c>
      <c r="V413" s="12">
        <v>1</v>
      </c>
      <c r="W413" s="12">
        <v>1258830.2198456763</v>
      </c>
      <c r="X413">
        <v>1</v>
      </c>
      <c r="Y413">
        <v>1</v>
      </c>
      <c r="Z413" s="15">
        <v>0.10947183408792453</v>
      </c>
      <c r="AA413" t="str">
        <f t="shared" si="18"/>
        <v>1-CT</v>
      </c>
      <c r="AB413" s="9">
        <f t="shared" si="19"/>
        <v>2760000</v>
      </c>
      <c r="AC413" s="9">
        <f t="shared" si="20"/>
        <v>2189436.6817584909</v>
      </c>
    </row>
    <row r="414" spans="1:29" x14ac:dyDescent="0.25">
      <c r="A414" t="s">
        <v>29</v>
      </c>
      <c r="B414">
        <v>30012</v>
      </c>
      <c r="C414" s="8">
        <v>45615</v>
      </c>
      <c r="D414" s="9">
        <v>321300</v>
      </c>
      <c r="E414" s="10">
        <v>9</v>
      </c>
      <c r="F414" t="s">
        <v>204</v>
      </c>
      <c r="G414" s="11" t="s">
        <v>205</v>
      </c>
      <c r="H414" t="s">
        <v>31</v>
      </c>
      <c r="I414" t="s">
        <v>206</v>
      </c>
      <c r="J414" s="12">
        <v>3344573000</v>
      </c>
      <c r="L414" t="s">
        <v>109</v>
      </c>
      <c r="M414" s="13">
        <v>20000000</v>
      </c>
      <c r="N414" s="14">
        <v>6</v>
      </c>
      <c r="P414" s="14">
        <v>1</v>
      </c>
      <c r="Q414" s="15">
        <v>0.08</v>
      </c>
      <c r="R414" s="12">
        <v>150000</v>
      </c>
      <c r="S414" s="12">
        <v>1</v>
      </c>
      <c r="T414" s="12">
        <v>0</v>
      </c>
      <c r="U414" s="12">
        <v>0</v>
      </c>
      <c r="V414" s="12">
        <v>1</v>
      </c>
      <c r="W414" s="12">
        <v>3411541.7641921998</v>
      </c>
      <c r="X414">
        <v>1</v>
      </c>
      <c r="Y414">
        <v>1</v>
      </c>
      <c r="Z414" s="15">
        <v>0.10617998989779347</v>
      </c>
      <c r="AA414" t="str">
        <f t="shared" si="18"/>
        <v>1-CT</v>
      </c>
      <c r="AB414" s="9">
        <f t="shared" si="19"/>
        <v>1600000</v>
      </c>
      <c r="AC414" s="9">
        <f t="shared" si="20"/>
        <v>2123599.7979558692</v>
      </c>
    </row>
    <row r="415" spans="1:29" x14ac:dyDescent="0.25">
      <c r="A415" t="s">
        <v>29</v>
      </c>
      <c r="B415">
        <v>30012</v>
      </c>
      <c r="C415" s="8">
        <v>45638</v>
      </c>
      <c r="D415" s="9">
        <v>321620</v>
      </c>
      <c r="E415" s="10">
        <v>2</v>
      </c>
      <c r="F415" t="s">
        <v>105</v>
      </c>
      <c r="G415" s="11">
        <v>6</v>
      </c>
      <c r="H415" t="s">
        <v>31</v>
      </c>
      <c r="J415" s="12">
        <v>0</v>
      </c>
      <c r="L415" t="s">
        <v>34</v>
      </c>
      <c r="M415" s="13">
        <v>531000</v>
      </c>
      <c r="N415" s="14">
        <v>12</v>
      </c>
      <c r="P415" s="14">
        <v>1</v>
      </c>
      <c r="Q415" s="15">
        <v>0.105</v>
      </c>
      <c r="R415" s="12">
        <v>0</v>
      </c>
      <c r="S415" s="12">
        <v>1</v>
      </c>
      <c r="T415" s="12">
        <v>0</v>
      </c>
      <c r="U415" s="12">
        <v>0</v>
      </c>
      <c r="V415" s="12">
        <v>1</v>
      </c>
      <c r="W415" s="12">
        <v>46806.908136844628</v>
      </c>
      <c r="X415">
        <v>1</v>
      </c>
      <c r="Y415">
        <v>1</v>
      </c>
      <c r="Z415" s="15">
        <v>0.10500000000001167</v>
      </c>
      <c r="AA415" t="str">
        <f t="shared" si="18"/>
        <v>1-CT</v>
      </c>
      <c r="AB415" s="9">
        <f t="shared" si="19"/>
        <v>55755</v>
      </c>
      <c r="AC415" s="9">
        <f t="shared" si="20"/>
        <v>55755.000000006192</v>
      </c>
    </row>
    <row r="416" spans="1:29" x14ac:dyDescent="0.25">
      <c r="A416" t="s">
        <v>29</v>
      </c>
      <c r="B416">
        <v>30012</v>
      </c>
      <c r="C416" s="8">
        <v>45623</v>
      </c>
      <c r="D416" s="9">
        <v>311500</v>
      </c>
      <c r="E416" s="10">
        <v>2</v>
      </c>
      <c r="F416" t="s">
        <v>136</v>
      </c>
      <c r="G416" s="11">
        <v>6</v>
      </c>
      <c r="H416" t="s">
        <v>31</v>
      </c>
      <c r="J416" s="12">
        <v>0</v>
      </c>
      <c r="L416" t="s">
        <v>40</v>
      </c>
      <c r="M416" s="13">
        <v>5350000</v>
      </c>
      <c r="N416" s="14">
        <v>8</v>
      </c>
      <c r="P416" s="14">
        <v>2</v>
      </c>
      <c r="Q416" s="15">
        <v>9.3000000000000013E-2</v>
      </c>
      <c r="R416" s="12">
        <v>107000</v>
      </c>
      <c r="S416" s="12">
        <v>1</v>
      </c>
      <c r="T416" s="12">
        <v>0</v>
      </c>
      <c r="U416" s="12">
        <v>61300</v>
      </c>
      <c r="V416" s="12">
        <v>1</v>
      </c>
      <c r="W416" s="12">
        <v>716232.13041469082</v>
      </c>
      <c r="X416">
        <v>1</v>
      </c>
      <c r="Y416">
        <v>1</v>
      </c>
      <c r="Z416" s="15">
        <v>9.1613946999915777E-2</v>
      </c>
      <c r="AA416" t="str">
        <f t="shared" si="18"/>
        <v>1-CT</v>
      </c>
      <c r="AB416" s="9">
        <f t="shared" si="19"/>
        <v>497550.00000000006</v>
      </c>
      <c r="AC416" s="9">
        <f t="shared" si="20"/>
        <v>490134.61644954939</v>
      </c>
    </row>
    <row r="417" spans="1:29" x14ac:dyDescent="0.25">
      <c r="A417" t="s">
        <v>29</v>
      </c>
      <c r="B417">
        <v>30012</v>
      </c>
      <c r="C417" s="8">
        <v>45656</v>
      </c>
      <c r="D417" s="9">
        <v>311500</v>
      </c>
      <c r="E417" s="10">
        <v>2</v>
      </c>
      <c r="F417" t="s">
        <v>115</v>
      </c>
      <c r="G417" s="11">
        <v>6</v>
      </c>
      <c r="H417" t="s">
        <v>31</v>
      </c>
      <c r="J417" s="12">
        <v>0</v>
      </c>
      <c r="L417" t="s">
        <v>40</v>
      </c>
      <c r="M417" s="13">
        <v>2250000</v>
      </c>
      <c r="N417" s="14">
        <v>12</v>
      </c>
      <c r="P417" s="14">
        <v>2</v>
      </c>
      <c r="Q417" s="15">
        <v>0.10099999999999999</v>
      </c>
      <c r="R417" s="12">
        <v>45000</v>
      </c>
      <c r="S417" s="12">
        <v>1</v>
      </c>
      <c r="T417" s="12">
        <v>0</v>
      </c>
      <c r="U417" s="12">
        <v>30300</v>
      </c>
      <c r="V417" s="12">
        <v>1</v>
      </c>
      <c r="W417" s="12">
        <v>208643.06772931202</v>
      </c>
      <c r="X417">
        <v>1</v>
      </c>
      <c r="Y417">
        <v>1</v>
      </c>
      <c r="Z417" s="15">
        <v>8.9478490583282222E-2</v>
      </c>
      <c r="AA417" t="str">
        <f t="shared" si="18"/>
        <v>1-CT</v>
      </c>
      <c r="AB417" s="9">
        <f t="shared" si="19"/>
        <v>227249.99999999997</v>
      </c>
      <c r="AC417" s="9">
        <f t="shared" si="20"/>
        <v>201326.603812385</v>
      </c>
    </row>
    <row r="418" spans="1:29" x14ac:dyDescent="0.25">
      <c r="A418" t="s">
        <v>29</v>
      </c>
      <c r="B418">
        <v>30012</v>
      </c>
      <c r="C418" s="8">
        <v>45586</v>
      </c>
      <c r="D418" s="9">
        <v>311500</v>
      </c>
      <c r="E418" s="10">
        <v>2</v>
      </c>
      <c r="F418" t="s">
        <v>99</v>
      </c>
      <c r="G418" s="11">
        <v>6</v>
      </c>
      <c r="H418" t="s">
        <v>31</v>
      </c>
      <c r="J418" s="12">
        <v>0</v>
      </c>
      <c r="L418" t="s">
        <v>165</v>
      </c>
      <c r="M418" s="13">
        <v>2600000</v>
      </c>
      <c r="N418" s="14">
        <v>12</v>
      </c>
      <c r="P418" s="14">
        <v>2</v>
      </c>
      <c r="Q418" s="15">
        <v>0.10099999999999999</v>
      </c>
      <c r="R418" s="12">
        <v>52000</v>
      </c>
      <c r="S418" s="12">
        <v>1</v>
      </c>
      <c r="T418" s="12">
        <v>0</v>
      </c>
      <c r="U418" s="12">
        <v>33800</v>
      </c>
      <c r="V418" s="12">
        <v>1</v>
      </c>
      <c r="W418" s="12">
        <v>241098.65604276053</v>
      </c>
      <c r="X418">
        <v>1</v>
      </c>
      <c r="Y418">
        <v>1</v>
      </c>
      <c r="Z418" s="15">
        <v>8.9162007179492742E-2</v>
      </c>
      <c r="AA418" t="str">
        <f t="shared" si="18"/>
        <v>1-CT</v>
      </c>
      <c r="AB418" s="9">
        <f t="shared" si="19"/>
        <v>262600</v>
      </c>
      <c r="AC418" s="9">
        <f t="shared" si="20"/>
        <v>231821.21866668112</v>
      </c>
    </row>
    <row r="419" spans="1:29" x14ac:dyDescent="0.25">
      <c r="A419" t="s">
        <v>29</v>
      </c>
      <c r="B419">
        <v>30012</v>
      </c>
      <c r="C419" s="8">
        <v>45657</v>
      </c>
      <c r="D419" s="9">
        <v>311500</v>
      </c>
      <c r="E419" s="10">
        <v>2</v>
      </c>
      <c r="F419" t="s">
        <v>101</v>
      </c>
      <c r="G419" s="11">
        <v>6</v>
      </c>
      <c r="H419" t="s">
        <v>31</v>
      </c>
      <c r="J419" s="12">
        <v>0</v>
      </c>
      <c r="L419" t="s">
        <v>38</v>
      </c>
      <c r="M419" s="13">
        <v>5000000</v>
      </c>
      <c r="N419" s="14">
        <v>12</v>
      </c>
      <c r="P419" s="14">
        <v>2</v>
      </c>
      <c r="Q419" s="15">
        <v>0.10099999999999999</v>
      </c>
      <c r="R419" s="12">
        <v>100000</v>
      </c>
      <c r="S419" s="12">
        <v>1</v>
      </c>
      <c r="T419" s="12">
        <v>0</v>
      </c>
      <c r="U419" s="12">
        <v>57800</v>
      </c>
      <c r="V419" s="12">
        <v>1</v>
      </c>
      <c r="W419" s="12">
        <v>463651.26162069337</v>
      </c>
      <c r="X419">
        <v>1</v>
      </c>
      <c r="Y419">
        <v>1</v>
      </c>
      <c r="Z419" s="15">
        <v>8.8186839053966404E-2</v>
      </c>
      <c r="AA419" t="str">
        <f t="shared" si="18"/>
        <v>1-CT</v>
      </c>
      <c r="AB419" s="9">
        <f t="shared" si="19"/>
        <v>504999.99999999994</v>
      </c>
      <c r="AC419" s="9">
        <f t="shared" si="20"/>
        <v>440934.19526983204</v>
      </c>
    </row>
    <row r="420" spans="1:29" x14ac:dyDescent="0.25">
      <c r="A420" t="s">
        <v>29</v>
      </c>
      <c r="B420">
        <v>30012</v>
      </c>
      <c r="C420" s="8">
        <v>45639</v>
      </c>
      <c r="D420" s="9">
        <v>311500</v>
      </c>
      <c r="E420" s="10">
        <v>2</v>
      </c>
      <c r="F420" t="s">
        <v>49</v>
      </c>
      <c r="G420" s="11">
        <v>6</v>
      </c>
      <c r="H420" t="s">
        <v>31</v>
      </c>
      <c r="J420" s="12">
        <v>0</v>
      </c>
      <c r="L420" t="s">
        <v>32</v>
      </c>
      <c r="M420" s="13">
        <v>6000000</v>
      </c>
      <c r="N420" s="14">
        <v>12</v>
      </c>
      <c r="P420" s="14">
        <v>2</v>
      </c>
      <c r="Q420" s="15">
        <v>0.10099999999999999</v>
      </c>
      <c r="R420" s="12">
        <v>90000</v>
      </c>
      <c r="S420" s="12">
        <v>1</v>
      </c>
      <c r="T420" s="12">
        <v>0</v>
      </c>
      <c r="U420" s="12">
        <v>67800</v>
      </c>
      <c r="V420" s="12">
        <v>1</v>
      </c>
      <c r="W420" s="12">
        <v>556381.51394483203</v>
      </c>
      <c r="X420">
        <v>1</v>
      </c>
      <c r="Y420">
        <v>1</v>
      </c>
      <c r="Z420" s="15">
        <v>8.4642739148127852E-2</v>
      </c>
      <c r="AA420" t="str">
        <f t="shared" si="18"/>
        <v>1-CT</v>
      </c>
      <c r="AB420" s="9">
        <f t="shared" si="19"/>
        <v>606000</v>
      </c>
      <c r="AC420" s="9">
        <f t="shared" si="20"/>
        <v>507856.43488876714</v>
      </c>
    </row>
    <row r="421" spans="1:29" x14ac:dyDescent="0.25">
      <c r="A421" t="s">
        <v>29</v>
      </c>
      <c r="B421">
        <v>30012</v>
      </c>
      <c r="C421" s="8">
        <v>45643</v>
      </c>
      <c r="D421" s="9">
        <v>321620</v>
      </c>
      <c r="E421" s="10">
        <v>2</v>
      </c>
      <c r="F421" t="s">
        <v>170</v>
      </c>
      <c r="G421" s="11">
        <v>6</v>
      </c>
      <c r="H421" t="s">
        <v>31</v>
      </c>
      <c r="J421" s="12">
        <v>0</v>
      </c>
      <c r="L421" t="s">
        <v>38</v>
      </c>
      <c r="M421" s="13">
        <v>2500000</v>
      </c>
      <c r="N421" s="14">
        <v>69</v>
      </c>
      <c r="P421" s="14">
        <v>1</v>
      </c>
      <c r="Q421" s="15">
        <v>0.105</v>
      </c>
      <c r="R421" s="12">
        <v>50000</v>
      </c>
      <c r="S421" s="12">
        <v>1</v>
      </c>
      <c r="T421" s="12">
        <v>0</v>
      </c>
      <c r="U421" s="12">
        <v>55300</v>
      </c>
      <c r="V421" s="12">
        <v>1</v>
      </c>
      <c r="W421" s="12">
        <v>48416.923991767195</v>
      </c>
      <c r="X421">
        <v>1</v>
      </c>
      <c r="Y421">
        <v>1</v>
      </c>
      <c r="Z421" s="15">
        <v>0.12165527785492661</v>
      </c>
      <c r="AA421" t="str">
        <f t="shared" si="18"/>
        <v>3-LT</v>
      </c>
      <c r="AB421" s="9">
        <f t="shared" si="19"/>
        <v>262500</v>
      </c>
      <c r="AC421" s="9">
        <f t="shared" si="20"/>
        <v>304138.19463731651</v>
      </c>
    </row>
    <row r="422" spans="1:29" x14ac:dyDescent="0.25">
      <c r="A422" t="s">
        <v>210</v>
      </c>
      <c r="B422">
        <v>30015</v>
      </c>
      <c r="C422" s="8">
        <v>45567</v>
      </c>
      <c r="D422" t="s">
        <v>211</v>
      </c>
      <c r="E422" s="10">
        <v>2</v>
      </c>
      <c r="F422" t="s">
        <v>212</v>
      </c>
      <c r="G422" s="11">
        <v>6</v>
      </c>
      <c r="H422" t="s">
        <v>31</v>
      </c>
      <c r="I422" t="s">
        <v>213</v>
      </c>
      <c r="L422" t="s">
        <v>214</v>
      </c>
      <c r="M422" s="13">
        <v>2500000</v>
      </c>
      <c r="N422" s="14">
        <v>36</v>
      </c>
      <c r="O422" s="14">
        <v>0</v>
      </c>
      <c r="P422" s="14">
        <v>1</v>
      </c>
      <c r="Q422" s="15">
        <v>0.12</v>
      </c>
      <c r="R422" s="12">
        <v>50000</v>
      </c>
      <c r="S422" s="12">
        <v>1</v>
      </c>
      <c r="T422" s="12">
        <v>95450</v>
      </c>
      <c r="U422" s="12">
        <v>46150</v>
      </c>
      <c r="V422" s="12">
        <v>1</v>
      </c>
      <c r="W422" s="12">
        <v>86010</v>
      </c>
      <c r="X422">
        <v>1</v>
      </c>
      <c r="Y422">
        <v>1</v>
      </c>
      <c r="Z422" s="15">
        <v>0.20188254923417565</v>
      </c>
      <c r="AA422" t="str">
        <f t="shared" si="18"/>
        <v>2-MT</v>
      </c>
      <c r="AB422" s="9">
        <f t="shared" si="19"/>
        <v>300000</v>
      </c>
      <c r="AC422" s="9">
        <f t="shared" si="20"/>
        <v>504706.37308543909</v>
      </c>
    </row>
    <row r="423" spans="1:29" x14ac:dyDescent="0.25">
      <c r="A423" t="s">
        <v>210</v>
      </c>
      <c r="B423">
        <v>30015</v>
      </c>
      <c r="C423" s="8">
        <v>45632</v>
      </c>
      <c r="D423" t="s">
        <v>215</v>
      </c>
      <c r="E423" s="10">
        <v>2</v>
      </c>
      <c r="F423" t="s">
        <v>212</v>
      </c>
      <c r="G423" s="11">
        <v>6</v>
      </c>
      <c r="H423" t="s">
        <v>31</v>
      </c>
      <c r="I423" t="s">
        <v>213</v>
      </c>
      <c r="L423" t="s">
        <v>214</v>
      </c>
      <c r="M423" s="13">
        <v>130000</v>
      </c>
      <c r="N423" s="14">
        <v>8</v>
      </c>
      <c r="O423" s="14">
        <v>0</v>
      </c>
      <c r="P423" s="14">
        <v>1</v>
      </c>
      <c r="Q423" s="15">
        <v>0.06</v>
      </c>
      <c r="R423" s="12">
        <v>6630</v>
      </c>
      <c r="S423" s="12">
        <v>1</v>
      </c>
      <c r="T423" s="12">
        <v>0</v>
      </c>
      <c r="U423" s="12">
        <v>1253.07</v>
      </c>
      <c r="V423" s="12">
        <v>1</v>
      </c>
      <c r="W423" s="12">
        <v>16693</v>
      </c>
      <c r="X423">
        <v>1</v>
      </c>
      <c r="Y423">
        <v>1</v>
      </c>
      <c r="Z423" s="15">
        <v>0.24381389802179332</v>
      </c>
      <c r="AA423" t="str">
        <f t="shared" si="18"/>
        <v>1-CT</v>
      </c>
      <c r="AB423" s="9">
        <f t="shared" si="19"/>
        <v>7800</v>
      </c>
      <c r="AC423" s="9">
        <f t="shared" si="20"/>
        <v>31695.806742833131</v>
      </c>
    </row>
    <row r="424" spans="1:29" x14ac:dyDescent="0.25">
      <c r="A424" t="s">
        <v>210</v>
      </c>
      <c r="B424">
        <v>30015</v>
      </c>
      <c r="C424" s="8">
        <v>45572</v>
      </c>
      <c r="D424" t="s">
        <v>216</v>
      </c>
      <c r="E424" s="10">
        <v>2</v>
      </c>
      <c r="F424" t="s">
        <v>217</v>
      </c>
      <c r="G424" s="11">
        <v>6</v>
      </c>
      <c r="H424" t="s">
        <v>31</v>
      </c>
      <c r="I424" t="s">
        <v>213</v>
      </c>
      <c r="L424" t="s">
        <v>214</v>
      </c>
      <c r="M424" s="13">
        <v>580000</v>
      </c>
      <c r="N424" s="14">
        <v>10</v>
      </c>
      <c r="O424" s="14">
        <v>0</v>
      </c>
      <c r="P424" s="14">
        <v>1</v>
      </c>
      <c r="Q424" s="15">
        <v>8.5000000000000006E-2</v>
      </c>
      <c r="R424" s="12">
        <v>29580</v>
      </c>
      <c r="S424" s="12">
        <v>1</v>
      </c>
      <c r="T424" s="12">
        <v>0</v>
      </c>
      <c r="U424" s="12">
        <v>5590.62</v>
      </c>
      <c r="V424" s="12">
        <v>1</v>
      </c>
      <c r="W424" s="12">
        <v>60757</v>
      </c>
      <c r="X424">
        <v>1</v>
      </c>
      <c r="Y424">
        <v>1</v>
      </c>
      <c r="Z424" s="15">
        <v>0.24389444983021308</v>
      </c>
      <c r="AA424" t="str">
        <f t="shared" si="18"/>
        <v>1-CT</v>
      </c>
      <c r="AB424" s="9">
        <f t="shared" si="19"/>
        <v>49300</v>
      </c>
      <c r="AC424" s="9">
        <f t="shared" si="20"/>
        <v>141458.7809015236</v>
      </c>
    </row>
    <row r="425" spans="1:29" x14ac:dyDescent="0.25">
      <c r="A425" t="s">
        <v>210</v>
      </c>
      <c r="B425">
        <v>30015</v>
      </c>
      <c r="C425" s="8">
        <v>45639</v>
      </c>
      <c r="D425" t="s">
        <v>215</v>
      </c>
      <c r="E425" s="10">
        <v>2</v>
      </c>
      <c r="F425" t="s">
        <v>217</v>
      </c>
      <c r="G425" s="11">
        <v>6</v>
      </c>
      <c r="H425" t="s">
        <v>31</v>
      </c>
      <c r="I425" t="s">
        <v>213</v>
      </c>
      <c r="L425" t="s">
        <v>214</v>
      </c>
      <c r="M425" s="13">
        <v>70000</v>
      </c>
      <c r="N425" s="14">
        <v>8</v>
      </c>
      <c r="O425" s="14">
        <v>0</v>
      </c>
      <c r="P425" s="14">
        <v>1</v>
      </c>
      <c r="Q425" s="15">
        <v>0.06</v>
      </c>
      <c r="R425" s="12">
        <v>3570</v>
      </c>
      <c r="S425" s="12">
        <v>1</v>
      </c>
      <c r="T425" s="12">
        <v>0</v>
      </c>
      <c r="U425" s="12">
        <v>674.73</v>
      </c>
      <c r="V425" s="12">
        <v>1</v>
      </c>
      <c r="W425" s="12">
        <v>8988</v>
      </c>
      <c r="X425">
        <v>1</v>
      </c>
      <c r="Y425">
        <v>1</v>
      </c>
      <c r="Z425" s="15">
        <v>0.243646987149646</v>
      </c>
      <c r="AA425" t="str">
        <f t="shared" si="18"/>
        <v>1-CT</v>
      </c>
      <c r="AB425" s="9">
        <f t="shared" si="19"/>
        <v>4200</v>
      </c>
      <c r="AC425" s="9">
        <f t="shared" si="20"/>
        <v>17055.28910047522</v>
      </c>
    </row>
    <row r="426" spans="1:29" x14ac:dyDescent="0.25">
      <c r="A426" t="s">
        <v>210</v>
      </c>
      <c r="B426">
        <v>30015</v>
      </c>
      <c r="C426" s="8">
        <v>45569</v>
      </c>
      <c r="D426" t="s">
        <v>211</v>
      </c>
      <c r="E426" s="10">
        <v>2</v>
      </c>
      <c r="F426" t="s">
        <v>218</v>
      </c>
      <c r="G426" s="11">
        <v>6</v>
      </c>
      <c r="H426" t="s">
        <v>31</v>
      </c>
      <c r="I426" t="s">
        <v>213</v>
      </c>
      <c r="L426" t="s">
        <v>214</v>
      </c>
      <c r="M426" s="13">
        <v>3300000</v>
      </c>
      <c r="N426" s="14">
        <v>46</v>
      </c>
      <c r="O426" s="14">
        <v>0</v>
      </c>
      <c r="P426" s="14">
        <v>1</v>
      </c>
      <c r="Q426" s="15">
        <v>0.12</v>
      </c>
      <c r="R426" s="12">
        <v>125000</v>
      </c>
      <c r="S426" s="12">
        <v>1</v>
      </c>
      <c r="T426" s="12">
        <v>136925</v>
      </c>
      <c r="U426" s="12">
        <v>68325</v>
      </c>
      <c r="V426" s="12">
        <v>1</v>
      </c>
      <c r="W426" s="12">
        <v>93882</v>
      </c>
      <c r="X426">
        <v>1</v>
      </c>
      <c r="Y426">
        <v>1</v>
      </c>
      <c r="Z426" s="15">
        <v>0.20591420489164899</v>
      </c>
      <c r="AA426" t="str">
        <f t="shared" si="18"/>
        <v>2-MT</v>
      </c>
      <c r="AB426" s="9">
        <f t="shared" si="19"/>
        <v>396000</v>
      </c>
      <c r="AC426" s="9">
        <f t="shared" si="20"/>
        <v>679516.87614244164</v>
      </c>
    </row>
    <row r="427" spans="1:29" x14ac:dyDescent="0.25">
      <c r="A427" t="s">
        <v>210</v>
      </c>
      <c r="B427">
        <v>30015</v>
      </c>
      <c r="C427" s="8">
        <v>45632</v>
      </c>
      <c r="D427" t="s">
        <v>215</v>
      </c>
      <c r="E427" s="10">
        <v>2</v>
      </c>
      <c r="F427" t="s">
        <v>218</v>
      </c>
      <c r="G427" s="11">
        <v>6</v>
      </c>
      <c r="H427" t="s">
        <v>31</v>
      </c>
      <c r="I427" t="s">
        <v>213</v>
      </c>
      <c r="L427" t="s">
        <v>214</v>
      </c>
      <c r="M427" s="13">
        <v>460000</v>
      </c>
      <c r="N427" s="14">
        <v>8</v>
      </c>
      <c r="O427" s="14">
        <v>0</v>
      </c>
      <c r="P427" s="14">
        <v>1</v>
      </c>
      <c r="Q427" s="15">
        <v>0.06</v>
      </c>
      <c r="R427" s="12">
        <v>23460</v>
      </c>
      <c r="S427" s="12">
        <v>1</v>
      </c>
      <c r="T427" s="12">
        <v>0</v>
      </c>
      <c r="U427" s="12">
        <v>4433.9400000000005</v>
      </c>
      <c r="V427" s="12">
        <v>1</v>
      </c>
      <c r="W427" s="12">
        <v>59066</v>
      </c>
      <c r="X427">
        <v>1</v>
      </c>
      <c r="Y427">
        <v>1</v>
      </c>
      <c r="Z427" s="15">
        <v>0.24374132869286536</v>
      </c>
      <c r="AA427" t="str">
        <f t="shared" si="18"/>
        <v>1-CT</v>
      </c>
      <c r="AB427" s="9">
        <f t="shared" si="19"/>
        <v>27600</v>
      </c>
      <c r="AC427" s="9">
        <f t="shared" si="20"/>
        <v>112121.01119871806</v>
      </c>
    </row>
    <row r="428" spans="1:29" x14ac:dyDescent="0.25">
      <c r="A428" t="s">
        <v>210</v>
      </c>
      <c r="B428">
        <v>30015</v>
      </c>
      <c r="C428" s="8">
        <v>45569</v>
      </c>
      <c r="D428" t="s">
        <v>216</v>
      </c>
      <c r="E428" s="10">
        <v>2</v>
      </c>
      <c r="F428" t="s">
        <v>219</v>
      </c>
      <c r="G428" s="11">
        <v>6</v>
      </c>
      <c r="H428" t="s">
        <v>31</v>
      </c>
      <c r="I428" t="s">
        <v>213</v>
      </c>
      <c r="L428" t="s">
        <v>220</v>
      </c>
      <c r="M428" s="13">
        <v>350000</v>
      </c>
      <c r="N428" s="14">
        <v>10</v>
      </c>
      <c r="O428" s="14">
        <v>0</v>
      </c>
      <c r="P428" s="14">
        <v>1</v>
      </c>
      <c r="Q428" s="15">
        <v>8.5000000000000006E-2</v>
      </c>
      <c r="R428" s="12">
        <v>17850</v>
      </c>
      <c r="S428" s="12">
        <v>1</v>
      </c>
      <c r="T428" s="12">
        <v>0</v>
      </c>
      <c r="U428" s="12">
        <v>3373.65</v>
      </c>
      <c r="V428" s="12">
        <v>1</v>
      </c>
      <c r="W428" s="12">
        <v>36664</v>
      </c>
      <c r="X428">
        <v>1</v>
      </c>
      <c r="Y428">
        <v>1</v>
      </c>
      <c r="Z428" s="15">
        <v>0.24391280002597071</v>
      </c>
      <c r="AA428" t="str">
        <f t="shared" si="18"/>
        <v>1-CT</v>
      </c>
      <c r="AB428" s="9">
        <f t="shared" si="19"/>
        <v>29750.000000000004</v>
      </c>
      <c r="AC428" s="9">
        <f t="shared" si="20"/>
        <v>85369.480009089748</v>
      </c>
    </row>
    <row r="429" spans="1:29" x14ac:dyDescent="0.25">
      <c r="A429" t="s">
        <v>210</v>
      </c>
      <c r="B429">
        <v>30015</v>
      </c>
      <c r="C429" s="8">
        <v>45632</v>
      </c>
      <c r="D429" t="s">
        <v>215</v>
      </c>
      <c r="E429" s="10">
        <v>2</v>
      </c>
      <c r="F429" t="s">
        <v>219</v>
      </c>
      <c r="G429" s="11">
        <v>6</v>
      </c>
      <c r="H429" t="s">
        <v>31</v>
      </c>
      <c r="I429" t="s">
        <v>213</v>
      </c>
      <c r="L429" t="s">
        <v>220</v>
      </c>
      <c r="M429" s="13">
        <v>70000</v>
      </c>
      <c r="N429" s="14">
        <v>8</v>
      </c>
      <c r="O429" s="14">
        <v>0</v>
      </c>
      <c r="P429" s="14">
        <v>1</v>
      </c>
      <c r="Q429" s="15">
        <v>0.06</v>
      </c>
      <c r="R429" s="12">
        <v>3570</v>
      </c>
      <c r="S429" s="12">
        <v>1</v>
      </c>
      <c r="T429" s="12">
        <v>0</v>
      </c>
      <c r="U429" s="12">
        <v>674.73</v>
      </c>
      <c r="V429" s="12">
        <v>1</v>
      </c>
      <c r="W429" s="12">
        <v>8988</v>
      </c>
      <c r="X429">
        <v>1</v>
      </c>
      <c r="Y429">
        <v>1</v>
      </c>
      <c r="Z429" s="15">
        <v>0.243646987149646</v>
      </c>
      <c r="AA429" t="str">
        <f t="shared" si="18"/>
        <v>1-CT</v>
      </c>
      <c r="AB429" s="9">
        <f t="shared" si="19"/>
        <v>4200</v>
      </c>
      <c r="AC429" s="9">
        <f t="shared" si="20"/>
        <v>17055.28910047522</v>
      </c>
    </row>
    <row r="430" spans="1:29" x14ac:dyDescent="0.25">
      <c r="A430" t="s">
        <v>210</v>
      </c>
      <c r="B430">
        <v>30015</v>
      </c>
      <c r="C430" s="8">
        <v>45596</v>
      </c>
      <c r="D430">
        <v>32160706</v>
      </c>
      <c r="E430" s="10">
        <v>2</v>
      </c>
      <c r="F430" t="s">
        <v>221</v>
      </c>
      <c r="G430" s="11">
        <v>6</v>
      </c>
      <c r="H430" t="s">
        <v>31</v>
      </c>
      <c r="I430" t="s">
        <v>213</v>
      </c>
      <c r="L430" t="s">
        <v>214</v>
      </c>
      <c r="M430" s="13">
        <v>500000</v>
      </c>
      <c r="N430" s="14">
        <v>9</v>
      </c>
      <c r="O430" s="14">
        <v>0</v>
      </c>
      <c r="P430" s="14">
        <v>1</v>
      </c>
      <c r="Q430" s="15">
        <v>8.5000000000000006E-2</v>
      </c>
      <c r="R430" s="12">
        <v>23000</v>
      </c>
      <c r="S430" s="12">
        <v>1</v>
      </c>
      <c r="T430" s="12">
        <v>0</v>
      </c>
      <c r="U430" s="12">
        <v>4347</v>
      </c>
      <c r="V430" s="12">
        <v>1</v>
      </c>
      <c r="W430" s="12">
        <v>57942</v>
      </c>
      <c r="X430">
        <v>1</v>
      </c>
      <c r="Y430">
        <v>1</v>
      </c>
      <c r="Z430" s="15">
        <v>0.24150692940503132</v>
      </c>
      <c r="AA430" t="str">
        <f t="shared" si="18"/>
        <v>1-CT</v>
      </c>
      <c r="AB430" s="9">
        <f t="shared" si="19"/>
        <v>42500</v>
      </c>
      <c r="AC430" s="9">
        <f t="shared" si="20"/>
        <v>120753.46470251566</v>
      </c>
    </row>
    <row r="431" spans="1:29" x14ac:dyDescent="0.25">
      <c r="A431" t="s">
        <v>210</v>
      </c>
      <c r="B431">
        <v>30015</v>
      </c>
      <c r="C431" s="8">
        <v>45645</v>
      </c>
      <c r="D431" t="s">
        <v>215</v>
      </c>
      <c r="E431" s="10">
        <v>2</v>
      </c>
      <c r="F431" t="s">
        <v>221</v>
      </c>
      <c r="G431" s="11">
        <v>6</v>
      </c>
      <c r="H431" t="s">
        <v>31</v>
      </c>
      <c r="I431" t="s">
        <v>213</v>
      </c>
      <c r="L431" t="s">
        <v>214</v>
      </c>
      <c r="M431" s="13">
        <v>85000</v>
      </c>
      <c r="N431" s="14">
        <v>7</v>
      </c>
      <c r="O431" s="14">
        <v>0</v>
      </c>
      <c r="P431" s="14">
        <v>1</v>
      </c>
      <c r="Q431" s="15">
        <v>0.06</v>
      </c>
      <c r="R431" s="12">
        <v>3868</v>
      </c>
      <c r="S431" s="12">
        <v>1</v>
      </c>
      <c r="T431" s="12">
        <v>0</v>
      </c>
      <c r="U431" s="12">
        <v>731.05200000000002</v>
      </c>
      <c r="V431" s="12">
        <v>1</v>
      </c>
      <c r="W431" s="12">
        <v>12435</v>
      </c>
      <c r="X431">
        <v>1</v>
      </c>
      <c r="Y431">
        <v>1</v>
      </c>
      <c r="Z431" s="15">
        <v>0.24303799105738749</v>
      </c>
      <c r="AA431" t="str">
        <f t="shared" si="18"/>
        <v>1-CT</v>
      </c>
      <c r="AB431" s="9">
        <f t="shared" si="19"/>
        <v>5100</v>
      </c>
      <c r="AC431" s="9">
        <f t="shared" si="20"/>
        <v>20658.229239877935</v>
      </c>
    </row>
    <row r="432" spans="1:29" x14ac:dyDescent="0.25">
      <c r="A432" t="s">
        <v>210</v>
      </c>
      <c r="B432">
        <v>30015</v>
      </c>
      <c r="C432" s="8">
        <v>45574</v>
      </c>
      <c r="D432" t="s">
        <v>211</v>
      </c>
      <c r="E432" s="10">
        <v>2</v>
      </c>
      <c r="F432" t="s">
        <v>222</v>
      </c>
      <c r="G432" s="11">
        <v>6</v>
      </c>
      <c r="H432" t="s">
        <v>31</v>
      </c>
      <c r="I432" t="s">
        <v>213</v>
      </c>
      <c r="L432" t="s">
        <v>214</v>
      </c>
      <c r="M432" s="13">
        <v>6000000</v>
      </c>
      <c r="N432" s="14">
        <v>60</v>
      </c>
      <c r="O432" s="14">
        <v>0</v>
      </c>
      <c r="P432" s="14">
        <v>1</v>
      </c>
      <c r="Q432" s="15">
        <v>0.12</v>
      </c>
      <c r="R432" s="12">
        <v>175000</v>
      </c>
      <c r="S432" s="12">
        <v>1</v>
      </c>
      <c r="T432" s="12">
        <v>276700</v>
      </c>
      <c r="U432" s="12">
        <v>104775</v>
      </c>
      <c r="V432" s="12">
        <v>1</v>
      </c>
      <c r="W432" s="12">
        <v>141076</v>
      </c>
      <c r="X432">
        <v>1</v>
      </c>
      <c r="Y432">
        <v>1</v>
      </c>
      <c r="Z432" s="15">
        <v>0.18955906183347354</v>
      </c>
      <c r="AA432" t="str">
        <f t="shared" si="18"/>
        <v>2-MT</v>
      </c>
      <c r="AB432" s="9">
        <f t="shared" si="19"/>
        <v>720000</v>
      </c>
      <c r="AC432" s="9">
        <f t="shared" si="20"/>
        <v>1137354.3710008413</v>
      </c>
    </row>
    <row r="433" spans="1:29" x14ac:dyDescent="0.25">
      <c r="A433" t="s">
        <v>210</v>
      </c>
      <c r="B433">
        <v>30015</v>
      </c>
      <c r="C433" s="8">
        <v>45649</v>
      </c>
      <c r="D433" t="s">
        <v>215</v>
      </c>
      <c r="E433" s="10">
        <v>2</v>
      </c>
      <c r="F433" t="s">
        <v>222</v>
      </c>
      <c r="G433" s="11">
        <v>6</v>
      </c>
      <c r="H433" t="s">
        <v>31</v>
      </c>
      <c r="I433" t="s">
        <v>213</v>
      </c>
      <c r="L433" t="s">
        <v>214</v>
      </c>
      <c r="M433" s="13">
        <v>230000</v>
      </c>
      <c r="N433" s="14">
        <v>7</v>
      </c>
      <c r="O433" s="14">
        <v>0</v>
      </c>
      <c r="P433" s="14">
        <v>1</v>
      </c>
      <c r="Q433" s="15">
        <v>0.06</v>
      </c>
      <c r="R433" s="12">
        <v>10465</v>
      </c>
      <c r="S433" s="12">
        <v>1</v>
      </c>
      <c r="T433" s="12">
        <v>0</v>
      </c>
      <c r="U433" s="12">
        <v>1977.8849999999998</v>
      </c>
      <c r="V433" s="12">
        <v>1</v>
      </c>
      <c r="W433" s="12">
        <v>33647</v>
      </c>
      <c r="X433">
        <v>1</v>
      </c>
      <c r="Y433">
        <v>1</v>
      </c>
      <c r="Z433" s="15">
        <v>0.24295483272690316</v>
      </c>
      <c r="AA433" t="str">
        <f t="shared" si="18"/>
        <v>1-CT</v>
      </c>
      <c r="AB433" s="9">
        <f t="shared" si="19"/>
        <v>13800</v>
      </c>
      <c r="AC433" s="9">
        <f t="shared" si="20"/>
        <v>55879.611527187728</v>
      </c>
    </row>
    <row r="434" spans="1:29" x14ac:dyDescent="0.25">
      <c r="A434" t="s">
        <v>210</v>
      </c>
      <c r="B434">
        <v>30015</v>
      </c>
      <c r="C434" s="8">
        <v>45594</v>
      </c>
      <c r="D434" t="s">
        <v>211</v>
      </c>
      <c r="E434" s="10">
        <v>2</v>
      </c>
      <c r="F434" t="s">
        <v>223</v>
      </c>
      <c r="G434" s="11">
        <v>6</v>
      </c>
      <c r="H434" t="s">
        <v>31</v>
      </c>
      <c r="I434" t="s">
        <v>213</v>
      </c>
      <c r="L434" t="s">
        <v>214</v>
      </c>
      <c r="M434" s="13">
        <v>2500000</v>
      </c>
      <c r="N434" s="14">
        <v>36</v>
      </c>
      <c r="O434" s="14">
        <v>0</v>
      </c>
      <c r="P434" s="14">
        <v>1</v>
      </c>
      <c r="Q434" s="15">
        <v>0.12</v>
      </c>
      <c r="R434" s="12">
        <v>50000</v>
      </c>
      <c r="S434" s="12">
        <v>1</v>
      </c>
      <c r="T434" s="12">
        <v>95450</v>
      </c>
      <c r="U434" s="12">
        <v>46150</v>
      </c>
      <c r="V434" s="12">
        <v>1</v>
      </c>
      <c r="W434" s="12">
        <v>85990</v>
      </c>
      <c r="X434">
        <v>1</v>
      </c>
      <c r="Y434">
        <v>1</v>
      </c>
      <c r="Z434" s="15">
        <v>0.20171274368280506</v>
      </c>
      <c r="AA434" t="str">
        <f t="shared" si="18"/>
        <v>2-MT</v>
      </c>
      <c r="AB434" s="9">
        <f t="shared" si="19"/>
        <v>300000</v>
      </c>
      <c r="AC434" s="9">
        <f t="shared" si="20"/>
        <v>504281.85920701263</v>
      </c>
    </row>
    <row r="435" spans="1:29" x14ac:dyDescent="0.25">
      <c r="A435" t="s">
        <v>210</v>
      </c>
      <c r="B435">
        <v>30015</v>
      </c>
      <c r="C435" s="8">
        <v>45636</v>
      </c>
      <c r="D435" t="s">
        <v>215</v>
      </c>
      <c r="E435" s="10">
        <v>2</v>
      </c>
      <c r="F435" t="s">
        <v>223</v>
      </c>
      <c r="G435" s="11">
        <v>6</v>
      </c>
      <c r="H435" t="s">
        <v>31</v>
      </c>
      <c r="I435" t="s">
        <v>213</v>
      </c>
      <c r="L435" t="s">
        <v>214</v>
      </c>
      <c r="M435" s="13">
        <v>115000</v>
      </c>
      <c r="N435" s="14">
        <v>8</v>
      </c>
      <c r="O435" s="14">
        <v>0</v>
      </c>
      <c r="P435" s="14">
        <v>1</v>
      </c>
      <c r="Q435" s="15">
        <v>0.06</v>
      </c>
      <c r="R435" s="12">
        <v>5865</v>
      </c>
      <c r="S435" s="12">
        <v>1</v>
      </c>
      <c r="T435" s="12">
        <v>0</v>
      </c>
      <c r="U435" s="12">
        <v>1108.4850000000001</v>
      </c>
      <c r="V435" s="12">
        <v>1</v>
      </c>
      <c r="W435" s="12">
        <v>14767</v>
      </c>
      <c r="X435">
        <v>1</v>
      </c>
      <c r="Y435">
        <v>1</v>
      </c>
      <c r="Z435" s="15">
        <v>0.24383566863585313</v>
      </c>
      <c r="AA435" t="str">
        <f t="shared" si="18"/>
        <v>1-CT</v>
      </c>
      <c r="AB435" s="9">
        <f t="shared" si="19"/>
        <v>6900</v>
      </c>
      <c r="AC435" s="9">
        <f t="shared" si="20"/>
        <v>28041.101893123108</v>
      </c>
    </row>
    <row r="436" spans="1:29" x14ac:dyDescent="0.25">
      <c r="A436" t="s">
        <v>210</v>
      </c>
      <c r="B436">
        <v>30015</v>
      </c>
      <c r="C436" s="8">
        <v>45580</v>
      </c>
      <c r="D436" t="s">
        <v>216</v>
      </c>
      <c r="E436" s="10">
        <v>2</v>
      </c>
      <c r="F436" t="s">
        <v>224</v>
      </c>
      <c r="G436" s="11">
        <v>6</v>
      </c>
      <c r="H436" t="s">
        <v>31</v>
      </c>
      <c r="I436" t="s">
        <v>213</v>
      </c>
      <c r="L436" t="s">
        <v>214</v>
      </c>
      <c r="M436" s="13">
        <v>500000</v>
      </c>
      <c r="N436" s="14">
        <v>10</v>
      </c>
      <c r="O436" s="14">
        <v>0</v>
      </c>
      <c r="P436" s="14">
        <v>1</v>
      </c>
      <c r="Q436" s="15">
        <v>8.5000000000000006E-2</v>
      </c>
      <c r="R436" s="12">
        <v>25500</v>
      </c>
      <c r="S436" s="12">
        <v>1</v>
      </c>
      <c r="T436" s="12">
        <v>0</v>
      </c>
      <c r="U436" s="12">
        <v>4819.5</v>
      </c>
      <c r="V436" s="12">
        <v>1</v>
      </c>
      <c r="W436" s="12">
        <v>52377</v>
      </c>
      <c r="X436">
        <v>1</v>
      </c>
      <c r="Y436">
        <v>1</v>
      </c>
      <c r="Z436" s="15">
        <v>0.24390653937957837</v>
      </c>
      <c r="AA436" t="str">
        <f t="shared" si="18"/>
        <v>1-CT</v>
      </c>
      <c r="AB436" s="9">
        <f t="shared" si="19"/>
        <v>42500</v>
      </c>
      <c r="AC436" s="9">
        <f t="shared" si="20"/>
        <v>121953.26968978919</v>
      </c>
    </row>
    <row r="437" spans="1:29" x14ac:dyDescent="0.25">
      <c r="A437" t="s">
        <v>210</v>
      </c>
      <c r="B437">
        <v>30015</v>
      </c>
      <c r="C437" s="8">
        <v>45639</v>
      </c>
      <c r="D437" t="s">
        <v>215</v>
      </c>
      <c r="E437" s="10">
        <v>2</v>
      </c>
      <c r="F437" t="s">
        <v>224</v>
      </c>
      <c r="G437" s="11">
        <v>6</v>
      </c>
      <c r="H437" t="s">
        <v>31</v>
      </c>
      <c r="I437" t="s">
        <v>213</v>
      </c>
      <c r="L437" t="s">
        <v>214</v>
      </c>
      <c r="M437" s="13">
        <v>125000</v>
      </c>
      <c r="N437" s="14">
        <v>8</v>
      </c>
      <c r="O437" s="14">
        <v>0</v>
      </c>
      <c r="P437" s="14">
        <v>1</v>
      </c>
      <c r="Q437" s="15">
        <v>0.06</v>
      </c>
      <c r="R437" s="12">
        <v>6375</v>
      </c>
      <c r="S437" s="12">
        <v>1</v>
      </c>
      <c r="T437" s="12">
        <v>0</v>
      </c>
      <c r="U437" s="12">
        <v>1204.875</v>
      </c>
      <c r="V437" s="12">
        <v>1</v>
      </c>
      <c r="W437" s="12">
        <v>16051</v>
      </c>
      <c r="X437">
        <v>1</v>
      </c>
      <c r="Y437">
        <v>1</v>
      </c>
      <c r="Z437" s="15">
        <v>0.2438205743525074</v>
      </c>
      <c r="AA437" t="str">
        <f t="shared" si="18"/>
        <v>1-CT</v>
      </c>
      <c r="AB437" s="9">
        <f t="shared" si="19"/>
        <v>7500</v>
      </c>
      <c r="AC437" s="9">
        <f t="shared" si="20"/>
        <v>30477.571794063424</v>
      </c>
    </row>
    <row r="438" spans="1:29" x14ac:dyDescent="0.25">
      <c r="A438" t="s">
        <v>210</v>
      </c>
      <c r="B438">
        <v>30015</v>
      </c>
      <c r="C438" s="8">
        <v>45573</v>
      </c>
      <c r="D438" t="s">
        <v>216</v>
      </c>
      <c r="E438" s="10">
        <v>2</v>
      </c>
      <c r="F438" t="s">
        <v>225</v>
      </c>
      <c r="G438" s="11">
        <v>6</v>
      </c>
      <c r="H438" t="s">
        <v>31</v>
      </c>
      <c r="I438" t="s">
        <v>213</v>
      </c>
      <c r="L438" t="s">
        <v>214</v>
      </c>
      <c r="M438" s="13">
        <v>790000</v>
      </c>
      <c r="N438" s="14">
        <v>10</v>
      </c>
      <c r="O438" s="14">
        <v>0</v>
      </c>
      <c r="P438" s="14">
        <v>1</v>
      </c>
      <c r="Q438" s="15">
        <v>8.5000000000000006E-2</v>
      </c>
      <c r="R438" s="12">
        <v>40290</v>
      </c>
      <c r="S438" s="12">
        <v>1</v>
      </c>
      <c r="T438" s="12">
        <v>0</v>
      </c>
      <c r="U438" s="12">
        <v>7614.8099999999995</v>
      </c>
      <c r="V438" s="12">
        <v>1</v>
      </c>
      <c r="W438" s="12">
        <v>82756</v>
      </c>
      <c r="X438">
        <v>1</v>
      </c>
      <c r="Y438">
        <v>1</v>
      </c>
      <c r="Z438" s="15">
        <v>0.24391596997010673</v>
      </c>
      <c r="AA438" t="str">
        <f t="shared" si="18"/>
        <v>1-CT</v>
      </c>
      <c r="AB438" s="9">
        <f t="shared" si="19"/>
        <v>67150</v>
      </c>
      <c r="AC438" s="9">
        <f t="shared" si="20"/>
        <v>192693.6162763843</v>
      </c>
    </row>
    <row r="439" spans="1:29" x14ac:dyDescent="0.25">
      <c r="A439" t="s">
        <v>210</v>
      </c>
      <c r="B439">
        <v>30015</v>
      </c>
      <c r="C439" s="8">
        <v>45639</v>
      </c>
      <c r="D439" t="s">
        <v>215</v>
      </c>
      <c r="E439" s="10">
        <v>2</v>
      </c>
      <c r="F439" t="s">
        <v>225</v>
      </c>
      <c r="G439" s="11">
        <v>6</v>
      </c>
      <c r="H439" t="s">
        <v>31</v>
      </c>
      <c r="I439" t="s">
        <v>213</v>
      </c>
      <c r="L439" t="s">
        <v>214</v>
      </c>
      <c r="M439" s="13">
        <v>107000</v>
      </c>
      <c r="N439" s="14">
        <v>8</v>
      </c>
      <c r="O439" s="14">
        <v>0</v>
      </c>
      <c r="P439" s="14">
        <v>1</v>
      </c>
      <c r="Q439" s="15">
        <v>0.06</v>
      </c>
      <c r="R439" s="12">
        <v>5457</v>
      </c>
      <c r="S439" s="12">
        <v>1</v>
      </c>
      <c r="T439" s="12">
        <v>0</v>
      </c>
      <c r="U439" s="12">
        <v>1031.373</v>
      </c>
      <c r="V439" s="12">
        <v>1</v>
      </c>
      <c r="W439" s="12">
        <v>13739</v>
      </c>
      <c r="X439">
        <v>1</v>
      </c>
      <c r="Y439">
        <v>1</v>
      </c>
      <c r="Z439" s="15">
        <v>0.24368754539235088</v>
      </c>
      <c r="AA439" t="str">
        <f t="shared" si="18"/>
        <v>1-CT</v>
      </c>
      <c r="AB439" s="9">
        <f t="shared" si="19"/>
        <v>6420</v>
      </c>
      <c r="AC439" s="9">
        <f t="shared" si="20"/>
        <v>26074.567356981544</v>
      </c>
    </row>
    <row r="440" spans="1:29" x14ac:dyDescent="0.25">
      <c r="A440" t="s">
        <v>210</v>
      </c>
      <c r="B440">
        <v>30015</v>
      </c>
      <c r="C440" s="8">
        <v>45573</v>
      </c>
      <c r="D440" t="s">
        <v>216</v>
      </c>
      <c r="E440" s="10">
        <v>2</v>
      </c>
      <c r="F440" t="s">
        <v>226</v>
      </c>
      <c r="G440" s="11">
        <v>6</v>
      </c>
      <c r="H440" t="s">
        <v>31</v>
      </c>
      <c r="I440" t="s">
        <v>213</v>
      </c>
      <c r="L440" t="s">
        <v>214</v>
      </c>
      <c r="M440" s="13">
        <v>850000</v>
      </c>
      <c r="N440" s="14">
        <v>10</v>
      </c>
      <c r="O440" s="14">
        <v>0</v>
      </c>
      <c r="P440" s="14">
        <v>1</v>
      </c>
      <c r="Q440" s="15">
        <v>8.5000000000000006E-2</v>
      </c>
      <c r="R440" s="12">
        <v>43350</v>
      </c>
      <c r="S440" s="12">
        <v>1</v>
      </c>
      <c r="T440" s="12">
        <v>0</v>
      </c>
      <c r="U440" s="12">
        <v>8193.15</v>
      </c>
      <c r="V440" s="12">
        <v>1</v>
      </c>
      <c r="W440" s="12">
        <v>89041</v>
      </c>
      <c r="X440">
        <v>1</v>
      </c>
      <c r="Y440">
        <v>1</v>
      </c>
      <c r="Z440" s="15">
        <v>0.24390911729389725</v>
      </c>
      <c r="AA440" t="str">
        <f t="shared" si="18"/>
        <v>1-CT</v>
      </c>
      <c r="AB440" s="9">
        <f t="shared" si="19"/>
        <v>72250</v>
      </c>
      <c r="AC440" s="9">
        <f t="shared" si="20"/>
        <v>207322.74969981267</v>
      </c>
    </row>
    <row r="441" spans="1:29" x14ac:dyDescent="0.25">
      <c r="A441" t="s">
        <v>210</v>
      </c>
      <c r="B441">
        <v>30015</v>
      </c>
      <c r="C441" s="8">
        <v>45645</v>
      </c>
      <c r="D441" t="s">
        <v>215</v>
      </c>
      <c r="E441" s="10">
        <v>2</v>
      </c>
      <c r="F441" t="s">
        <v>226</v>
      </c>
      <c r="G441" s="11">
        <v>6</v>
      </c>
      <c r="H441" t="s">
        <v>31</v>
      </c>
      <c r="I441" t="s">
        <v>213</v>
      </c>
      <c r="L441" t="s">
        <v>214</v>
      </c>
      <c r="M441" s="13">
        <v>90000</v>
      </c>
      <c r="N441" s="14">
        <v>7</v>
      </c>
      <c r="O441" s="14">
        <v>0</v>
      </c>
      <c r="P441" s="14">
        <v>1</v>
      </c>
      <c r="Q441" s="15">
        <v>0.06</v>
      </c>
      <c r="R441" s="12">
        <v>4095</v>
      </c>
      <c r="S441" s="12">
        <v>1</v>
      </c>
      <c r="T441" s="12">
        <v>0</v>
      </c>
      <c r="U441" s="12">
        <v>773.95500000000004</v>
      </c>
      <c r="V441" s="12">
        <v>1</v>
      </c>
      <c r="W441" s="12">
        <v>13166</v>
      </c>
      <c r="X441">
        <v>1</v>
      </c>
      <c r="Y441">
        <v>1</v>
      </c>
      <c r="Z441" s="15">
        <v>0.24290326243684279</v>
      </c>
      <c r="AA441" t="str">
        <f t="shared" si="18"/>
        <v>1-CT</v>
      </c>
      <c r="AB441" s="9">
        <f t="shared" si="19"/>
        <v>5400</v>
      </c>
      <c r="AC441" s="9">
        <f t="shared" si="20"/>
        <v>21861.293619315853</v>
      </c>
    </row>
    <row r="442" spans="1:29" x14ac:dyDescent="0.25">
      <c r="A442" t="s">
        <v>210</v>
      </c>
      <c r="B442">
        <v>30015</v>
      </c>
      <c r="C442" s="8">
        <v>45569</v>
      </c>
      <c r="D442" t="s">
        <v>211</v>
      </c>
      <c r="E442" s="10">
        <v>2</v>
      </c>
      <c r="F442" t="s">
        <v>227</v>
      </c>
      <c r="G442" s="11">
        <v>6</v>
      </c>
      <c r="H442" t="s">
        <v>31</v>
      </c>
      <c r="I442" t="s">
        <v>213</v>
      </c>
      <c r="L442" t="s">
        <v>214</v>
      </c>
      <c r="M442" s="13">
        <v>5000000</v>
      </c>
      <c r="N442" s="14">
        <v>48</v>
      </c>
      <c r="O442" s="14">
        <v>0</v>
      </c>
      <c r="P442" s="14">
        <v>1</v>
      </c>
      <c r="Q442" s="15">
        <v>0.12</v>
      </c>
      <c r="R442" s="12">
        <v>125000</v>
      </c>
      <c r="S442" s="12">
        <v>1</v>
      </c>
      <c r="T442" s="12">
        <v>201700</v>
      </c>
      <c r="U442" s="12">
        <v>85325</v>
      </c>
      <c r="V442" s="12">
        <v>1</v>
      </c>
      <c r="W442" s="12">
        <v>137810</v>
      </c>
      <c r="X442">
        <v>1</v>
      </c>
      <c r="Y442">
        <v>1</v>
      </c>
      <c r="Z442" s="15">
        <v>0.19259483510134112</v>
      </c>
      <c r="AA442" t="str">
        <f t="shared" si="18"/>
        <v>2-MT</v>
      </c>
      <c r="AB442" s="9">
        <f t="shared" si="19"/>
        <v>600000</v>
      </c>
      <c r="AC442" s="9">
        <f t="shared" si="20"/>
        <v>962974.17550670565</v>
      </c>
    </row>
    <row r="443" spans="1:29" x14ac:dyDescent="0.25">
      <c r="A443" t="s">
        <v>210</v>
      </c>
      <c r="B443">
        <v>30015</v>
      </c>
      <c r="C443" s="8">
        <v>45653</v>
      </c>
      <c r="D443" t="s">
        <v>215</v>
      </c>
      <c r="E443" s="10">
        <v>2</v>
      </c>
      <c r="F443" t="s">
        <v>227</v>
      </c>
      <c r="G443" s="11">
        <v>6</v>
      </c>
      <c r="H443" t="s">
        <v>31</v>
      </c>
      <c r="I443" t="s">
        <v>213</v>
      </c>
      <c r="L443" t="s">
        <v>214</v>
      </c>
      <c r="M443" s="13">
        <v>220000</v>
      </c>
      <c r="N443" s="14">
        <v>7</v>
      </c>
      <c r="O443" s="14">
        <v>0</v>
      </c>
      <c r="P443" s="14">
        <v>1</v>
      </c>
      <c r="Q443" s="15">
        <v>0.06</v>
      </c>
      <c r="R443" s="12">
        <v>10010</v>
      </c>
      <c r="S443" s="12">
        <v>1</v>
      </c>
      <c r="T443" s="12">
        <v>0</v>
      </c>
      <c r="U443" s="12">
        <v>1891.8899999999999</v>
      </c>
      <c r="V443" s="12">
        <v>1</v>
      </c>
      <c r="W443" s="12">
        <v>32184</v>
      </c>
      <c r="X443">
        <v>1</v>
      </c>
      <c r="Y443">
        <v>1</v>
      </c>
      <c r="Z443" s="15">
        <v>0.24294639398002821</v>
      </c>
      <c r="AA443" t="str">
        <f t="shared" si="18"/>
        <v>1-CT</v>
      </c>
      <c r="AB443" s="9">
        <f t="shared" si="19"/>
        <v>13200</v>
      </c>
      <c r="AC443" s="9">
        <f t="shared" si="20"/>
        <v>53448.206675606205</v>
      </c>
    </row>
    <row r="444" spans="1:29" x14ac:dyDescent="0.25">
      <c r="A444" t="s">
        <v>210</v>
      </c>
      <c r="B444">
        <v>30015</v>
      </c>
      <c r="C444" s="8">
        <v>45572</v>
      </c>
      <c r="D444" t="s">
        <v>216</v>
      </c>
      <c r="E444" s="10">
        <v>2</v>
      </c>
      <c r="F444" t="s">
        <v>228</v>
      </c>
      <c r="G444" s="11">
        <v>6</v>
      </c>
      <c r="H444" t="s">
        <v>31</v>
      </c>
      <c r="I444" t="s">
        <v>213</v>
      </c>
      <c r="L444" t="s">
        <v>214</v>
      </c>
      <c r="M444" s="13">
        <v>1065000</v>
      </c>
      <c r="N444" s="14">
        <v>10</v>
      </c>
      <c r="O444" s="14">
        <v>0</v>
      </c>
      <c r="P444" s="14">
        <v>1</v>
      </c>
      <c r="Q444" s="15">
        <v>8.5000000000000006E-2</v>
      </c>
      <c r="R444" s="12">
        <v>54315</v>
      </c>
      <c r="S444" s="12">
        <v>1</v>
      </c>
      <c r="T444" s="12">
        <v>0</v>
      </c>
      <c r="U444" s="12">
        <v>10265.534999999998</v>
      </c>
      <c r="V444" s="12">
        <v>1</v>
      </c>
      <c r="W444" s="12">
        <v>111563</v>
      </c>
      <c r="X444">
        <v>1</v>
      </c>
      <c r="Y444">
        <v>1</v>
      </c>
      <c r="Z444" s="15">
        <v>0.24390633363048431</v>
      </c>
      <c r="AA444" t="str">
        <f t="shared" si="18"/>
        <v>1-CT</v>
      </c>
      <c r="AB444" s="9">
        <f t="shared" si="19"/>
        <v>90525</v>
      </c>
      <c r="AC444" s="9">
        <f t="shared" si="20"/>
        <v>259760.24531646579</v>
      </c>
    </row>
    <row r="445" spans="1:29" x14ac:dyDescent="0.25">
      <c r="A445" t="s">
        <v>210</v>
      </c>
      <c r="B445">
        <v>30015</v>
      </c>
      <c r="C445" s="8">
        <v>45650</v>
      </c>
      <c r="D445" t="s">
        <v>215</v>
      </c>
      <c r="E445" s="10">
        <v>2</v>
      </c>
      <c r="F445" t="s">
        <v>228</v>
      </c>
      <c r="G445" s="11">
        <v>6</v>
      </c>
      <c r="H445" t="s">
        <v>31</v>
      </c>
      <c r="I445" t="s">
        <v>213</v>
      </c>
      <c r="L445" t="s">
        <v>214</v>
      </c>
      <c r="M445" s="13">
        <v>180000</v>
      </c>
      <c r="N445" s="14">
        <v>7</v>
      </c>
      <c r="O445" s="14">
        <v>0</v>
      </c>
      <c r="P445" s="14">
        <v>1</v>
      </c>
      <c r="Q445" s="15">
        <v>0.06</v>
      </c>
      <c r="R445" s="12">
        <v>8190</v>
      </c>
      <c r="S445" s="12">
        <v>1</v>
      </c>
      <c r="T445" s="12">
        <v>0</v>
      </c>
      <c r="U445" s="12">
        <v>1547.91</v>
      </c>
      <c r="V445" s="12">
        <v>1</v>
      </c>
      <c r="W445" s="12">
        <v>26332</v>
      </c>
      <c r="X445">
        <v>1</v>
      </c>
      <c r="Y445">
        <v>1</v>
      </c>
      <c r="Z445" s="15">
        <v>0.24290326243442995</v>
      </c>
      <c r="AA445" t="str">
        <f t="shared" si="18"/>
        <v>1-CT</v>
      </c>
      <c r="AB445" s="9">
        <f t="shared" si="19"/>
        <v>10800</v>
      </c>
      <c r="AC445" s="9">
        <f t="shared" si="20"/>
        <v>43722.58723819739</v>
      </c>
    </row>
    <row r="446" spans="1:29" x14ac:dyDescent="0.25">
      <c r="A446" t="s">
        <v>210</v>
      </c>
      <c r="B446">
        <v>30015</v>
      </c>
      <c r="C446" s="8">
        <v>45595</v>
      </c>
      <c r="D446" t="s">
        <v>216</v>
      </c>
      <c r="E446" s="10">
        <v>2</v>
      </c>
      <c r="F446" t="s">
        <v>229</v>
      </c>
      <c r="G446" s="11">
        <v>6</v>
      </c>
      <c r="H446" t="s">
        <v>31</v>
      </c>
      <c r="I446" t="s">
        <v>230</v>
      </c>
      <c r="L446" t="s">
        <v>231</v>
      </c>
      <c r="M446" s="13">
        <v>1100000</v>
      </c>
      <c r="N446" s="14">
        <v>9</v>
      </c>
      <c r="O446" s="14">
        <v>0</v>
      </c>
      <c r="P446" s="14">
        <v>1</v>
      </c>
      <c r="Q446" s="15">
        <v>8.5000000000000006E-2</v>
      </c>
      <c r="R446" s="12">
        <v>50600</v>
      </c>
      <c r="S446" s="12">
        <v>1</v>
      </c>
      <c r="T446" s="12">
        <v>0</v>
      </c>
      <c r="U446" s="12">
        <v>9563.4</v>
      </c>
      <c r="V446" s="12">
        <v>1</v>
      </c>
      <c r="W446" s="12">
        <v>127497</v>
      </c>
      <c r="X446">
        <v>1</v>
      </c>
      <c r="Y446">
        <v>1</v>
      </c>
      <c r="Z446" s="15">
        <v>0.24199227389043471</v>
      </c>
      <c r="AA446" t="str">
        <f t="shared" si="18"/>
        <v>1-CT</v>
      </c>
      <c r="AB446" s="9">
        <f t="shared" si="19"/>
        <v>93500</v>
      </c>
      <c r="AC446" s="9">
        <f t="shared" si="20"/>
        <v>266191.50127947819</v>
      </c>
    </row>
    <row r="447" spans="1:29" x14ac:dyDescent="0.25">
      <c r="A447" t="s">
        <v>210</v>
      </c>
      <c r="B447">
        <v>30015</v>
      </c>
      <c r="C447" s="8">
        <v>45632</v>
      </c>
      <c r="D447" t="s">
        <v>216</v>
      </c>
      <c r="E447" s="10">
        <v>2</v>
      </c>
      <c r="F447" t="s">
        <v>229</v>
      </c>
      <c r="G447" s="11">
        <v>6</v>
      </c>
      <c r="H447" t="s">
        <v>31</v>
      </c>
      <c r="I447" t="s">
        <v>230</v>
      </c>
      <c r="L447" t="s">
        <v>231</v>
      </c>
      <c r="M447" s="13">
        <v>864303</v>
      </c>
      <c r="N447" s="14">
        <v>7</v>
      </c>
      <c r="O447" s="14">
        <v>0</v>
      </c>
      <c r="P447" s="14">
        <v>1</v>
      </c>
      <c r="Q447" s="15">
        <v>8.5000000000000006E-2</v>
      </c>
      <c r="R447" s="12">
        <v>0</v>
      </c>
      <c r="S447" s="12">
        <v>1</v>
      </c>
      <c r="T447" s="12">
        <v>0</v>
      </c>
      <c r="U447" s="12">
        <v>0</v>
      </c>
      <c r="V447" s="12">
        <v>1</v>
      </c>
      <c r="W447" s="12">
        <v>127686</v>
      </c>
      <c r="X447">
        <v>1</v>
      </c>
      <c r="Y447">
        <v>1</v>
      </c>
      <c r="Z447" s="15">
        <v>0.10153571509373191</v>
      </c>
      <c r="AA447" t="str">
        <f t="shared" si="18"/>
        <v>1-CT</v>
      </c>
      <c r="AB447" s="9">
        <f t="shared" si="19"/>
        <v>73465.755000000005</v>
      </c>
      <c r="AC447" s="9">
        <f t="shared" si="20"/>
        <v>87757.623162657765</v>
      </c>
    </row>
    <row r="448" spans="1:29" x14ac:dyDescent="0.25">
      <c r="A448" t="s">
        <v>210</v>
      </c>
      <c r="B448">
        <v>30015</v>
      </c>
      <c r="C448" s="8">
        <v>45579</v>
      </c>
      <c r="D448" t="s">
        <v>216</v>
      </c>
      <c r="E448" s="10">
        <v>2</v>
      </c>
      <c r="F448" t="s">
        <v>232</v>
      </c>
      <c r="G448" s="11">
        <v>6</v>
      </c>
      <c r="H448" t="s">
        <v>31</v>
      </c>
      <c r="I448" t="s">
        <v>233</v>
      </c>
      <c r="L448" t="s">
        <v>234</v>
      </c>
      <c r="M448" s="13">
        <v>250000</v>
      </c>
      <c r="N448" s="14">
        <v>10</v>
      </c>
      <c r="O448" s="14">
        <v>0</v>
      </c>
      <c r="P448" s="14">
        <v>1</v>
      </c>
      <c r="Q448" s="15">
        <v>8.5000000000000006E-2</v>
      </c>
      <c r="R448" s="12">
        <v>12750</v>
      </c>
      <c r="S448" s="12">
        <v>1</v>
      </c>
      <c r="T448" s="12">
        <v>0</v>
      </c>
      <c r="U448" s="12">
        <v>2409.75</v>
      </c>
      <c r="V448" s="12">
        <v>1</v>
      </c>
      <c r="W448" s="12">
        <v>26188</v>
      </c>
      <c r="X448">
        <v>1</v>
      </c>
      <c r="Y448">
        <v>1</v>
      </c>
      <c r="Z448" s="15">
        <v>0.24386271460468056</v>
      </c>
      <c r="AA448" t="str">
        <f t="shared" si="18"/>
        <v>1-CT</v>
      </c>
      <c r="AB448" s="9">
        <f t="shared" si="19"/>
        <v>21250</v>
      </c>
      <c r="AC448" s="9">
        <f t="shared" si="20"/>
        <v>60965.678651170143</v>
      </c>
    </row>
    <row r="449" spans="1:29" x14ac:dyDescent="0.25">
      <c r="A449" t="s">
        <v>210</v>
      </c>
      <c r="B449">
        <v>30015</v>
      </c>
      <c r="C449" s="8">
        <v>45621</v>
      </c>
      <c r="D449" t="s">
        <v>211</v>
      </c>
      <c r="E449" s="10">
        <v>2</v>
      </c>
      <c r="F449" t="s">
        <v>232</v>
      </c>
      <c r="G449" s="11">
        <v>6</v>
      </c>
      <c r="H449" t="s">
        <v>31</v>
      </c>
      <c r="I449" t="s">
        <v>233</v>
      </c>
      <c r="L449" t="s">
        <v>234</v>
      </c>
      <c r="M449" s="13">
        <v>7500000</v>
      </c>
      <c r="N449" s="14">
        <v>60</v>
      </c>
      <c r="O449" s="14">
        <v>0</v>
      </c>
      <c r="P449" s="14">
        <v>1</v>
      </c>
      <c r="Q449" s="15">
        <v>0.09</v>
      </c>
      <c r="R449" s="12">
        <v>175000</v>
      </c>
      <c r="S449" s="12">
        <v>1</v>
      </c>
      <c r="T449" s="12">
        <v>345450</v>
      </c>
      <c r="U449" s="12">
        <v>33075</v>
      </c>
      <c r="V449" s="12">
        <v>1</v>
      </c>
      <c r="W449" s="12">
        <v>162511</v>
      </c>
      <c r="X449">
        <v>1</v>
      </c>
      <c r="Y449">
        <v>1</v>
      </c>
      <c r="Z449" s="15">
        <v>0.14243616218906888</v>
      </c>
      <c r="AA449" t="str">
        <f t="shared" si="18"/>
        <v>2-MT</v>
      </c>
      <c r="AB449" s="9">
        <f t="shared" si="19"/>
        <v>675000</v>
      </c>
      <c r="AC449" s="9">
        <f t="shared" si="20"/>
        <v>1068271.2164180165</v>
      </c>
    </row>
    <row r="450" spans="1:29" x14ac:dyDescent="0.25">
      <c r="A450" t="s">
        <v>210</v>
      </c>
      <c r="B450">
        <v>30015</v>
      </c>
      <c r="C450" s="8">
        <v>45573</v>
      </c>
      <c r="D450" t="s">
        <v>216</v>
      </c>
      <c r="E450" s="10">
        <v>2</v>
      </c>
      <c r="F450" t="s">
        <v>235</v>
      </c>
      <c r="G450" s="11">
        <v>6</v>
      </c>
      <c r="H450" t="s">
        <v>31</v>
      </c>
      <c r="I450" t="s">
        <v>213</v>
      </c>
      <c r="L450" t="s">
        <v>236</v>
      </c>
      <c r="M450" s="13">
        <v>300000</v>
      </c>
      <c r="N450" s="14">
        <v>10</v>
      </c>
      <c r="O450" s="14">
        <v>0</v>
      </c>
      <c r="P450" s="14">
        <v>1</v>
      </c>
      <c r="Q450" s="15">
        <v>8.5000000000000006E-2</v>
      </c>
      <c r="R450" s="12">
        <v>15300</v>
      </c>
      <c r="S450" s="12">
        <v>1</v>
      </c>
      <c r="T450" s="12">
        <v>0</v>
      </c>
      <c r="U450" s="12">
        <v>2891.7</v>
      </c>
      <c r="V450" s="12">
        <v>1</v>
      </c>
      <c r="W450" s="12">
        <v>31426</v>
      </c>
      <c r="X450">
        <v>1</v>
      </c>
      <c r="Y450">
        <v>1</v>
      </c>
      <c r="Z450" s="15">
        <v>0.24389193116991031</v>
      </c>
      <c r="AA450" t="str">
        <f t="shared" si="18"/>
        <v>1-CT</v>
      </c>
      <c r="AB450" s="9">
        <f t="shared" si="19"/>
        <v>25500.000000000004</v>
      </c>
      <c r="AC450" s="9">
        <f t="shared" si="20"/>
        <v>73167.579350973101</v>
      </c>
    </row>
    <row r="451" spans="1:29" x14ac:dyDescent="0.25">
      <c r="A451" t="s">
        <v>210</v>
      </c>
      <c r="B451">
        <v>30015</v>
      </c>
      <c r="C451" s="8">
        <v>45656</v>
      </c>
      <c r="D451" t="s">
        <v>215</v>
      </c>
      <c r="E451" s="10">
        <v>2</v>
      </c>
      <c r="F451" t="s">
        <v>235</v>
      </c>
      <c r="G451" s="11">
        <v>6</v>
      </c>
      <c r="H451" t="s">
        <v>31</v>
      </c>
      <c r="I451" t="s">
        <v>213</v>
      </c>
      <c r="L451" t="s">
        <v>236</v>
      </c>
      <c r="M451" s="13">
        <v>160000</v>
      </c>
      <c r="N451" s="14">
        <v>7</v>
      </c>
      <c r="O451" s="14">
        <v>0</v>
      </c>
      <c r="P451" s="14">
        <v>1</v>
      </c>
      <c r="Q451" s="15">
        <v>0.06</v>
      </c>
      <c r="R451" s="12">
        <v>7280</v>
      </c>
      <c r="S451" s="12">
        <v>1</v>
      </c>
      <c r="T451" s="12">
        <v>0</v>
      </c>
      <c r="U451" s="12">
        <v>1375.9199999999998</v>
      </c>
      <c r="V451" s="12">
        <v>1</v>
      </c>
      <c r="W451" s="12">
        <v>23407</v>
      </c>
      <c r="X451">
        <v>1</v>
      </c>
      <c r="Y451">
        <v>1</v>
      </c>
      <c r="Z451" s="15">
        <v>0.24300704722747535</v>
      </c>
      <c r="AA451" t="str">
        <f t="shared" ref="AA451:AA514" si="21">IF(N451&lt;=24,"1-CT",IF(N451&gt;60,"3-LT","2-MT"))</f>
        <v>1-CT</v>
      </c>
      <c r="AB451" s="9">
        <f t="shared" ref="AB451:AB514" si="22">Q451*M451</f>
        <v>9600</v>
      </c>
      <c r="AC451" s="9">
        <f t="shared" ref="AC451:AC514" si="23">Z451*M451</f>
        <v>38881.127556396059</v>
      </c>
    </row>
    <row r="452" spans="1:29" x14ac:dyDescent="0.25">
      <c r="A452" t="s">
        <v>210</v>
      </c>
      <c r="B452">
        <v>30015</v>
      </c>
      <c r="C452" s="8">
        <v>45566</v>
      </c>
      <c r="D452" t="s">
        <v>216</v>
      </c>
      <c r="E452" s="10">
        <v>2</v>
      </c>
      <c r="F452" t="s">
        <v>237</v>
      </c>
      <c r="G452" s="11">
        <v>6</v>
      </c>
      <c r="H452" t="s">
        <v>31</v>
      </c>
      <c r="I452" t="s">
        <v>213</v>
      </c>
      <c r="L452" t="s">
        <v>214</v>
      </c>
      <c r="M452" s="13">
        <v>810000</v>
      </c>
      <c r="N452" s="14">
        <v>10</v>
      </c>
      <c r="O452" s="14">
        <v>0</v>
      </c>
      <c r="P452" s="14">
        <v>1</v>
      </c>
      <c r="Q452" s="15">
        <v>8.5000000000000006E-2</v>
      </c>
      <c r="R452" s="12">
        <v>41310</v>
      </c>
      <c r="S452" s="12">
        <v>1</v>
      </c>
      <c r="T452" s="12">
        <v>0</v>
      </c>
      <c r="U452" s="12">
        <v>7807.5899999999992</v>
      </c>
      <c r="V452" s="12">
        <v>1</v>
      </c>
      <c r="W452" s="12">
        <v>84851</v>
      </c>
      <c r="X452">
        <v>1</v>
      </c>
      <c r="Y452">
        <v>1</v>
      </c>
      <c r="Z452" s="15">
        <v>0.24391357294465205</v>
      </c>
      <c r="AA452" t="str">
        <f t="shared" si="21"/>
        <v>1-CT</v>
      </c>
      <c r="AB452" s="9">
        <f t="shared" si="22"/>
        <v>68850</v>
      </c>
      <c r="AC452" s="9">
        <f t="shared" si="23"/>
        <v>197569.99408516815</v>
      </c>
    </row>
    <row r="453" spans="1:29" x14ac:dyDescent="0.25">
      <c r="A453" t="s">
        <v>210</v>
      </c>
      <c r="B453">
        <v>30015</v>
      </c>
      <c r="C453" s="8">
        <v>45625</v>
      </c>
      <c r="D453" t="s">
        <v>215</v>
      </c>
      <c r="E453" s="10">
        <v>2</v>
      </c>
      <c r="F453" t="s">
        <v>237</v>
      </c>
      <c r="G453" s="11">
        <v>6</v>
      </c>
      <c r="H453" t="s">
        <v>31</v>
      </c>
      <c r="I453" t="s">
        <v>213</v>
      </c>
      <c r="L453" t="s">
        <v>214</v>
      </c>
      <c r="M453" s="13">
        <v>150000</v>
      </c>
      <c r="N453" s="14">
        <v>8</v>
      </c>
      <c r="O453" s="14">
        <v>0</v>
      </c>
      <c r="P453" s="14">
        <v>1</v>
      </c>
      <c r="Q453" s="15">
        <v>0.06</v>
      </c>
      <c r="R453" s="12">
        <v>7650</v>
      </c>
      <c r="S453" s="12">
        <v>1</v>
      </c>
      <c r="T453" s="12">
        <v>0</v>
      </c>
      <c r="U453" s="12">
        <v>1445.85</v>
      </c>
      <c r="V453" s="12">
        <v>1</v>
      </c>
      <c r="W453" s="12">
        <v>19261</v>
      </c>
      <c r="X453">
        <v>1</v>
      </c>
      <c r="Y453">
        <v>1</v>
      </c>
      <c r="Z453" s="15">
        <v>0.2437916435282533</v>
      </c>
      <c r="AA453" t="str">
        <f t="shared" si="21"/>
        <v>1-CT</v>
      </c>
      <c r="AB453" s="9">
        <f t="shared" si="22"/>
        <v>9000</v>
      </c>
      <c r="AC453" s="9">
        <f t="shared" si="23"/>
        <v>36568.746529237993</v>
      </c>
    </row>
    <row r="454" spans="1:29" x14ac:dyDescent="0.25">
      <c r="A454" t="s">
        <v>210</v>
      </c>
      <c r="B454">
        <v>30015</v>
      </c>
      <c r="C454" s="8">
        <v>45569</v>
      </c>
      <c r="D454" t="s">
        <v>216</v>
      </c>
      <c r="E454" s="10">
        <v>2</v>
      </c>
      <c r="F454" t="s">
        <v>238</v>
      </c>
      <c r="G454" s="11">
        <v>6</v>
      </c>
      <c r="H454" t="s">
        <v>31</v>
      </c>
      <c r="I454" t="s">
        <v>213</v>
      </c>
      <c r="L454" t="s">
        <v>214</v>
      </c>
      <c r="M454" s="13">
        <v>250000</v>
      </c>
      <c r="N454" s="14">
        <v>10</v>
      </c>
      <c r="O454" s="14">
        <v>0</v>
      </c>
      <c r="P454" s="14">
        <v>1</v>
      </c>
      <c r="Q454" s="15">
        <v>8.5000000000000006E-2</v>
      </c>
      <c r="R454" s="12">
        <v>12750</v>
      </c>
      <c r="S454" s="12">
        <v>1</v>
      </c>
      <c r="T454" s="12">
        <v>0</v>
      </c>
      <c r="U454" s="12">
        <v>2409.75</v>
      </c>
      <c r="V454" s="12">
        <v>1</v>
      </c>
      <c r="W454" s="12">
        <v>26188</v>
      </c>
      <c r="X454">
        <v>1</v>
      </c>
      <c r="Y454">
        <v>1</v>
      </c>
      <c r="Z454" s="15">
        <v>0.24386271460468056</v>
      </c>
      <c r="AA454" t="str">
        <f t="shared" si="21"/>
        <v>1-CT</v>
      </c>
      <c r="AB454" s="9">
        <f t="shared" si="22"/>
        <v>21250</v>
      </c>
      <c r="AC454" s="9">
        <f t="shared" si="23"/>
        <v>60965.678651170143</v>
      </c>
    </row>
    <row r="455" spans="1:29" x14ac:dyDescent="0.25">
      <c r="A455" t="s">
        <v>210</v>
      </c>
      <c r="B455">
        <v>30015</v>
      </c>
      <c r="C455" s="8">
        <v>45611</v>
      </c>
      <c r="D455" t="s">
        <v>211</v>
      </c>
      <c r="E455" s="10">
        <v>2</v>
      </c>
      <c r="F455" t="s">
        <v>238</v>
      </c>
      <c r="G455" s="11">
        <v>6</v>
      </c>
      <c r="H455" t="s">
        <v>31</v>
      </c>
      <c r="I455" t="s">
        <v>213</v>
      </c>
      <c r="L455" t="s">
        <v>214</v>
      </c>
      <c r="M455" s="13">
        <v>3200000</v>
      </c>
      <c r="N455" s="14">
        <v>60</v>
      </c>
      <c r="O455" s="14">
        <v>0</v>
      </c>
      <c r="P455" s="14">
        <v>1</v>
      </c>
      <c r="Q455" s="15">
        <v>0.12</v>
      </c>
      <c r="R455" s="12">
        <v>125000</v>
      </c>
      <c r="S455" s="12">
        <v>1</v>
      </c>
      <c r="T455" s="12">
        <v>157700</v>
      </c>
      <c r="U455" s="12">
        <v>23625</v>
      </c>
      <c r="V455" s="12">
        <v>1</v>
      </c>
      <c r="W455" s="12">
        <v>75224</v>
      </c>
      <c r="X455">
        <v>1</v>
      </c>
      <c r="Y455">
        <v>1</v>
      </c>
      <c r="Z455" s="15">
        <v>0.19100730624951839</v>
      </c>
      <c r="AA455" t="str">
        <f t="shared" si="21"/>
        <v>2-MT</v>
      </c>
      <c r="AB455" s="9">
        <f t="shared" si="22"/>
        <v>384000</v>
      </c>
      <c r="AC455" s="9">
        <f t="shared" si="23"/>
        <v>611223.3799984589</v>
      </c>
    </row>
    <row r="456" spans="1:29" x14ac:dyDescent="0.25">
      <c r="A456" t="s">
        <v>210</v>
      </c>
      <c r="B456">
        <v>30015</v>
      </c>
      <c r="C456" s="8">
        <v>45583</v>
      </c>
      <c r="D456" t="s">
        <v>239</v>
      </c>
      <c r="E456" s="10">
        <v>2</v>
      </c>
      <c r="F456" t="s">
        <v>240</v>
      </c>
      <c r="G456" s="11">
        <v>6</v>
      </c>
      <c r="H456" t="s">
        <v>31</v>
      </c>
      <c r="I456" t="s">
        <v>241</v>
      </c>
      <c r="L456" t="s">
        <v>242</v>
      </c>
      <c r="M456" s="13">
        <v>10000000</v>
      </c>
      <c r="N456" s="14">
        <v>24</v>
      </c>
      <c r="O456" s="14">
        <v>0</v>
      </c>
      <c r="P456" s="14">
        <v>1</v>
      </c>
      <c r="Q456" s="15">
        <v>0.1</v>
      </c>
      <c r="R456" s="12">
        <v>250000</v>
      </c>
      <c r="S456" s="12">
        <v>1</v>
      </c>
      <c r="T456" s="12">
        <v>145000</v>
      </c>
      <c r="U456" s="12">
        <v>158950</v>
      </c>
      <c r="V456" s="12">
        <v>1</v>
      </c>
      <c r="W456" s="12">
        <v>470896</v>
      </c>
      <c r="X456">
        <v>1</v>
      </c>
      <c r="Y456">
        <v>1</v>
      </c>
      <c r="Z456" s="15">
        <v>0.1784885319087271</v>
      </c>
      <c r="AA456" t="str">
        <f t="shared" si="21"/>
        <v>1-CT</v>
      </c>
      <c r="AB456" s="9">
        <f t="shared" si="22"/>
        <v>1000000</v>
      </c>
      <c r="AC456" s="9">
        <f t="shared" si="23"/>
        <v>1784885.3190872709</v>
      </c>
    </row>
    <row r="457" spans="1:29" x14ac:dyDescent="0.25">
      <c r="A457" t="s">
        <v>210</v>
      </c>
      <c r="B457">
        <v>30015</v>
      </c>
      <c r="C457" s="8">
        <v>45629</v>
      </c>
      <c r="D457" t="s">
        <v>215</v>
      </c>
      <c r="E457" s="10">
        <v>2</v>
      </c>
      <c r="F457" t="s">
        <v>240</v>
      </c>
      <c r="G457" s="11">
        <v>6</v>
      </c>
      <c r="H457" t="s">
        <v>31</v>
      </c>
      <c r="I457" t="s">
        <v>241</v>
      </c>
      <c r="L457" t="s">
        <v>242</v>
      </c>
      <c r="M457" s="13">
        <v>3000000</v>
      </c>
      <c r="N457" s="14">
        <v>8</v>
      </c>
      <c r="O457" s="14">
        <v>0</v>
      </c>
      <c r="P457" s="14">
        <v>1</v>
      </c>
      <c r="Q457" s="15">
        <v>0.06</v>
      </c>
      <c r="R457" s="12">
        <v>153000</v>
      </c>
      <c r="S457" s="12">
        <v>1</v>
      </c>
      <c r="T457" s="12">
        <v>0</v>
      </c>
      <c r="U457" s="12">
        <v>28917</v>
      </c>
      <c r="V457" s="12">
        <v>1</v>
      </c>
      <c r="W457" s="12">
        <v>385215</v>
      </c>
      <c r="X457">
        <v>1</v>
      </c>
      <c r="Y457">
        <v>1</v>
      </c>
      <c r="Z457" s="15">
        <v>0.24375547978630674</v>
      </c>
      <c r="AA457" t="str">
        <f t="shared" si="21"/>
        <v>1-CT</v>
      </c>
      <c r="AB457" s="9">
        <f t="shared" si="22"/>
        <v>180000</v>
      </c>
      <c r="AC457" s="9">
        <f t="shared" si="23"/>
        <v>731266.43935892021</v>
      </c>
    </row>
    <row r="458" spans="1:29" x14ac:dyDescent="0.25">
      <c r="A458" t="s">
        <v>210</v>
      </c>
      <c r="B458">
        <v>30015</v>
      </c>
      <c r="C458" s="8">
        <v>45611</v>
      </c>
      <c r="D458" t="s">
        <v>239</v>
      </c>
      <c r="E458" s="10">
        <v>2</v>
      </c>
      <c r="F458" t="s">
        <v>243</v>
      </c>
      <c r="G458" s="11">
        <v>6</v>
      </c>
      <c r="H458" t="s">
        <v>31</v>
      </c>
      <c r="I458" t="s">
        <v>213</v>
      </c>
      <c r="L458" t="s">
        <v>244</v>
      </c>
      <c r="M458" s="13">
        <v>1120000</v>
      </c>
      <c r="N458" s="14">
        <v>24</v>
      </c>
      <c r="O458" s="14">
        <v>0</v>
      </c>
      <c r="P458" s="14">
        <v>1</v>
      </c>
      <c r="Q458" s="15">
        <v>0.11</v>
      </c>
      <c r="R458" s="12">
        <v>50000</v>
      </c>
      <c r="S458" s="12">
        <v>1</v>
      </c>
      <c r="T458" s="12">
        <v>24560</v>
      </c>
      <c r="U458" s="12">
        <v>32350</v>
      </c>
      <c r="V458" s="12">
        <v>1</v>
      </c>
      <c r="W458" s="12">
        <v>53372</v>
      </c>
      <c r="X458">
        <v>1</v>
      </c>
      <c r="Y458">
        <v>1</v>
      </c>
      <c r="Z458" s="15">
        <v>0.23621528629430522</v>
      </c>
      <c r="AA458" t="str">
        <f t="shared" si="21"/>
        <v>1-CT</v>
      </c>
      <c r="AB458" s="9">
        <f t="shared" si="22"/>
        <v>123200</v>
      </c>
      <c r="AC458" s="9">
        <f t="shared" si="23"/>
        <v>264561.12064962182</v>
      </c>
    </row>
    <row r="459" spans="1:29" x14ac:dyDescent="0.25">
      <c r="A459" t="s">
        <v>210</v>
      </c>
      <c r="B459">
        <v>30015</v>
      </c>
      <c r="C459" s="8">
        <v>45625</v>
      </c>
      <c r="D459" t="s">
        <v>215</v>
      </c>
      <c r="E459" s="10">
        <v>2</v>
      </c>
      <c r="F459" t="s">
        <v>243</v>
      </c>
      <c r="G459" s="11">
        <v>6</v>
      </c>
      <c r="H459" t="s">
        <v>31</v>
      </c>
      <c r="I459" t="s">
        <v>213</v>
      </c>
      <c r="L459" t="s">
        <v>244</v>
      </c>
      <c r="M459" s="13">
        <v>200000</v>
      </c>
      <c r="N459" s="14">
        <v>8</v>
      </c>
      <c r="O459" s="14">
        <v>0</v>
      </c>
      <c r="P459" s="14">
        <v>1</v>
      </c>
      <c r="Q459" s="15">
        <v>0.06</v>
      </c>
      <c r="R459" s="12">
        <v>10200</v>
      </c>
      <c r="S459" s="12">
        <v>1</v>
      </c>
      <c r="T459" s="12">
        <v>0</v>
      </c>
      <c r="U459" s="12">
        <v>1927.8</v>
      </c>
      <c r="V459" s="12">
        <v>1</v>
      </c>
      <c r="W459" s="12">
        <v>25681</v>
      </c>
      <c r="X459">
        <v>1</v>
      </c>
      <c r="Y459">
        <v>1</v>
      </c>
      <c r="Z459" s="15">
        <v>0.24375547978630441</v>
      </c>
      <c r="AA459" t="str">
        <f t="shared" si="21"/>
        <v>1-CT</v>
      </c>
      <c r="AB459" s="9">
        <f t="shared" si="22"/>
        <v>12000</v>
      </c>
      <c r="AC459" s="9">
        <f t="shared" si="23"/>
        <v>48751.095957260884</v>
      </c>
    </row>
    <row r="460" spans="1:29" x14ac:dyDescent="0.25">
      <c r="A460" t="s">
        <v>210</v>
      </c>
      <c r="B460">
        <v>30015</v>
      </c>
      <c r="C460" s="8">
        <v>45582</v>
      </c>
      <c r="D460" t="s">
        <v>211</v>
      </c>
      <c r="E460" s="10">
        <v>2</v>
      </c>
      <c r="F460" t="s">
        <v>245</v>
      </c>
      <c r="G460" s="11">
        <v>6</v>
      </c>
      <c r="H460" t="s">
        <v>31</v>
      </c>
      <c r="I460" t="s">
        <v>213</v>
      </c>
      <c r="L460" t="s">
        <v>220</v>
      </c>
      <c r="M460" s="13">
        <v>7500000</v>
      </c>
      <c r="N460" s="14">
        <v>60</v>
      </c>
      <c r="O460" s="14">
        <v>0</v>
      </c>
      <c r="P460" s="14">
        <v>1</v>
      </c>
      <c r="Q460" s="15">
        <v>0.12</v>
      </c>
      <c r="R460" s="12">
        <v>175000</v>
      </c>
      <c r="S460" s="12">
        <v>1</v>
      </c>
      <c r="T460" s="12">
        <v>345450</v>
      </c>
      <c r="U460" s="12">
        <v>119775</v>
      </c>
      <c r="V460" s="12">
        <v>1</v>
      </c>
      <c r="W460" s="12">
        <v>176305</v>
      </c>
      <c r="X460">
        <v>1</v>
      </c>
      <c r="Y460">
        <v>1</v>
      </c>
      <c r="Z460" s="15">
        <v>0.1856407716282612</v>
      </c>
      <c r="AA460" t="str">
        <f t="shared" si="21"/>
        <v>2-MT</v>
      </c>
      <c r="AB460" s="9">
        <f t="shared" si="22"/>
        <v>900000</v>
      </c>
      <c r="AC460" s="9">
        <f t="shared" si="23"/>
        <v>1392305.787211959</v>
      </c>
    </row>
    <row r="461" spans="1:29" x14ac:dyDescent="0.25">
      <c r="A461" t="s">
        <v>210</v>
      </c>
      <c r="B461">
        <v>30015</v>
      </c>
      <c r="C461" s="8">
        <v>45588</v>
      </c>
      <c r="D461" t="s">
        <v>246</v>
      </c>
      <c r="E461" s="10">
        <v>2</v>
      </c>
      <c r="F461" t="s">
        <v>245</v>
      </c>
      <c r="G461" s="11">
        <v>6</v>
      </c>
      <c r="H461" t="s">
        <v>31</v>
      </c>
      <c r="I461" t="s">
        <v>213</v>
      </c>
      <c r="L461" t="s">
        <v>220</v>
      </c>
      <c r="M461" s="13">
        <v>480000</v>
      </c>
      <c r="N461" s="14">
        <v>10</v>
      </c>
      <c r="O461" s="14">
        <v>0</v>
      </c>
      <c r="P461" s="14">
        <v>1</v>
      </c>
      <c r="Q461" s="15">
        <v>8.5000000000000006E-2</v>
      </c>
      <c r="R461" s="12">
        <v>24480</v>
      </c>
      <c r="S461" s="12">
        <v>1</v>
      </c>
      <c r="T461" s="12">
        <v>0</v>
      </c>
      <c r="U461" s="12">
        <v>4626.7199999999993</v>
      </c>
      <c r="V461" s="12">
        <v>1</v>
      </c>
      <c r="W461" s="12">
        <v>50273</v>
      </c>
      <c r="X461">
        <v>1</v>
      </c>
      <c r="Y461">
        <v>1</v>
      </c>
      <c r="Z461" s="15">
        <v>0.24349931731485716</v>
      </c>
      <c r="AA461" t="str">
        <f t="shared" si="21"/>
        <v>1-CT</v>
      </c>
      <c r="AB461" s="9">
        <f t="shared" si="22"/>
        <v>40800</v>
      </c>
      <c r="AC461" s="9">
        <f t="shared" si="23"/>
        <v>116879.67231113143</v>
      </c>
    </row>
    <row r="462" spans="1:29" x14ac:dyDescent="0.25">
      <c r="A462" t="s">
        <v>210</v>
      </c>
      <c r="B462">
        <v>30015</v>
      </c>
      <c r="C462" s="8">
        <v>45566</v>
      </c>
      <c r="D462" t="s">
        <v>216</v>
      </c>
      <c r="E462" s="10">
        <v>2</v>
      </c>
      <c r="F462" t="s">
        <v>247</v>
      </c>
      <c r="G462" s="11">
        <v>6</v>
      </c>
      <c r="H462" t="s">
        <v>31</v>
      </c>
      <c r="I462" t="s">
        <v>213</v>
      </c>
      <c r="L462" t="s">
        <v>214</v>
      </c>
      <c r="M462" s="13">
        <v>700000</v>
      </c>
      <c r="N462" s="14">
        <v>10</v>
      </c>
      <c r="O462" s="14">
        <v>0</v>
      </c>
      <c r="P462" s="14">
        <v>1</v>
      </c>
      <c r="Q462" s="15">
        <v>8.5000000000000006E-2</v>
      </c>
      <c r="R462" s="12">
        <v>35700</v>
      </c>
      <c r="S462" s="12">
        <v>1</v>
      </c>
      <c r="T462" s="12">
        <v>0</v>
      </c>
      <c r="U462" s="12">
        <v>6747.3</v>
      </c>
      <c r="V462" s="12">
        <v>1</v>
      </c>
      <c r="W462" s="12">
        <v>73328</v>
      </c>
      <c r="X462">
        <v>1</v>
      </c>
      <c r="Y462">
        <v>1</v>
      </c>
      <c r="Z462" s="15">
        <v>0.24391280002597071</v>
      </c>
      <c r="AA462" t="str">
        <f t="shared" si="21"/>
        <v>1-CT</v>
      </c>
      <c r="AB462" s="9">
        <f t="shared" si="22"/>
        <v>59500.000000000007</v>
      </c>
      <c r="AC462" s="9">
        <f t="shared" si="23"/>
        <v>170738.9600181795</v>
      </c>
    </row>
    <row r="463" spans="1:29" x14ac:dyDescent="0.25">
      <c r="A463" t="s">
        <v>210</v>
      </c>
      <c r="B463">
        <v>30015</v>
      </c>
      <c r="C463" s="8">
        <v>45639</v>
      </c>
      <c r="D463" t="s">
        <v>215</v>
      </c>
      <c r="E463" s="10">
        <v>2</v>
      </c>
      <c r="F463" t="s">
        <v>247</v>
      </c>
      <c r="G463" s="11">
        <v>6</v>
      </c>
      <c r="H463" t="s">
        <v>31</v>
      </c>
      <c r="I463" t="s">
        <v>213</v>
      </c>
      <c r="L463" t="s">
        <v>214</v>
      </c>
      <c r="M463" s="13">
        <v>130000</v>
      </c>
      <c r="N463" s="14">
        <v>8</v>
      </c>
      <c r="O463" s="14">
        <v>0</v>
      </c>
      <c r="P463" s="14">
        <v>1</v>
      </c>
      <c r="Q463" s="15">
        <v>0.06</v>
      </c>
      <c r="R463" s="12">
        <v>6630</v>
      </c>
      <c r="S463" s="12">
        <v>1</v>
      </c>
      <c r="T463" s="12">
        <v>0</v>
      </c>
      <c r="U463" s="12">
        <v>1253.07</v>
      </c>
      <c r="V463" s="12">
        <v>1</v>
      </c>
      <c r="W463" s="12">
        <v>16693</v>
      </c>
      <c r="X463">
        <v>1</v>
      </c>
      <c r="Y463">
        <v>1</v>
      </c>
      <c r="Z463" s="15">
        <v>0.24381389802179332</v>
      </c>
      <c r="AA463" t="str">
        <f t="shared" si="21"/>
        <v>1-CT</v>
      </c>
      <c r="AB463" s="9">
        <f t="shared" si="22"/>
        <v>7800</v>
      </c>
      <c r="AC463" s="9">
        <f t="shared" si="23"/>
        <v>31695.806742833131</v>
      </c>
    </row>
    <row r="464" spans="1:29" x14ac:dyDescent="0.25">
      <c r="A464" t="s">
        <v>210</v>
      </c>
      <c r="B464">
        <v>30015</v>
      </c>
      <c r="C464" s="8">
        <v>45573</v>
      </c>
      <c r="D464" t="s">
        <v>216</v>
      </c>
      <c r="E464" s="10">
        <v>2</v>
      </c>
      <c r="F464" t="s">
        <v>248</v>
      </c>
      <c r="G464" s="11">
        <v>6</v>
      </c>
      <c r="H464" t="s">
        <v>31</v>
      </c>
      <c r="I464" t="s">
        <v>213</v>
      </c>
      <c r="L464" t="s">
        <v>214</v>
      </c>
      <c r="M464" s="13">
        <v>830000</v>
      </c>
      <c r="N464" s="14">
        <v>10</v>
      </c>
      <c r="O464" s="14">
        <v>0</v>
      </c>
      <c r="P464" s="14">
        <v>1</v>
      </c>
      <c r="Q464" s="15">
        <v>8.5000000000000006E-2</v>
      </c>
      <c r="R464" s="12">
        <v>42330</v>
      </c>
      <c r="S464" s="12">
        <v>1</v>
      </c>
      <c r="T464" s="12">
        <v>0</v>
      </c>
      <c r="U464" s="12">
        <v>8000.37</v>
      </c>
      <c r="V464" s="12">
        <v>1</v>
      </c>
      <c r="W464" s="12">
        <v>86946</v>
      </c>
      <c r="X464">
        <v>1</v>
      </c>
      <c r="Y464">
        <v>1</v>
      </c>
      <c r="Z464" s="15">
        <v>0.24391129143730339</v>
      </c>
      <c r="AA464" t="str">
        <f t="shared" si="21"/>
        <v>1-CT</v>
      </c>
      <c r="AB464" s="9">
        <f t="shared" si="22"/>
        <v>70550</v>
      </c>
      <c r="AC464" s="9">
        <f t="shared" si="23"/>
        <v>202446.37189296182</v>
      </c>
    </row>
    <row r="465" spans="1:29" x14ac:dyDescent="0.25">
      <c r="A465" t="s">
        <v>210</v>
      </c>
      <c r="B465">
        <v>30015</v>
      </c>
      <c r="C465" s="8">
        <v>45646</v>
      </c>
      <c r="D465" t="s">
        <v>215</v>
      </c>
      <c r="E465" s="10">
        <v>2</v>
      </c>
      <c r="F465" t="s">
        <v>248</v>
      </c>
      <c r="G465" s="11">
        <v>6</v>
      </c>
      <c r="H465" t="s">
        <v>31</v>
      </c>
      <c r="I465" t="s">
        <v>213</v>
      </c>
      <c r="L465" t="s">
        <v>214</v>
      </c>
      <c r="M465" s="13">
        <v>130000</v>
      </c>
      <c r="N465" s="14">
        <v>7</v>
      </c>
      <c r="O465" s="14">
        <v>0</v>
      </c>
      <c r="P465" s="14">
        <v>1</v>
      </c>
      <c r="Q465" s="15">
        <v>0.06</v>
      </c>
      <c r="R465" s="12">
        <v>5915</v>
      </c>
      <c r="S465" s="12">
        <v>1</v>
      </c>
      <c r="T465" s="12">
        <v>0</v>
      </c>
      <c r="U465" s="12">
        <v>1117.9349999999999</v>
      </c>
      <c r="V465" s="12">
        <v>1</v>
      </c>
      <c r="W465" s="12">
        <v>19018</v>
      </c>
      <c r="X465">
        <v>1</v>
      </c>
      <c r="Y465">
        <v>1</v>
      </c>
      <c r="Z465" s="15">
        <v>0.24297625411167398</v>
      </c>
      <c r="AA465" t="str">
        <f t="shared" si="21"/>
        <v>1-CT</v>
      </c>
      <c r="AB465" s="9">
        <f t="shared" si="22"/>
        <v>7800</v>
      </c>
      <c r="AC465" s="9">
        <f t="shared" si="23"/>
        <v>31586.913034517616</v>
      </c>
    </row>
    <row r="466" spans="1:29" x14ac:dyDescent="0.25">
      <c r="A466" t="s">
        <v>210</v>
      </c>
      <c r="B466">
        <v>30015</v>
      </c>
      <c r="C466" s="8">
        <v>45569</v>
      </c>
      <c r="D466" t="s">
        <v>211</v>
      </c>
      <c r="E466" s="10">
        <v>2</v>
      </c>
      <c r="F466" t="s">
        <v>249</v>
      </c>
      <c r="G466" s="11">
        <v>6</v>
      </c>
      <c r="H466" t="s">
        <v>31</v>
      </c>
      <c r="I466" t="s">
        <v>213</v>
      </c>
      <c r="L466" t="s">
        <v>214</v>
      </c>
      <c r="M466" s="13">
        <v>4800000</v>
      </c>
      <c r="N466" s="14">
        <v>48</v>
      </c>
      <c r="O466" s="14">
        <v>0</v>
      </c>
      <c r="P466" s="14">
        <v>1</v>
      </c>
      <c r="Q466" s="15">
        <v>0.12</v>
      </c>
      <c r="R466" s="12">
        <v>125000</v>
      </c>
      <c r="S466" s="12">
        <v>1</v>
      </c>
      <c r="T466" s="12">
        <v>194500</v>
      </c>
      <c r="U466" s="12">
        <v>83325</v>
      </c>
      <c r="V466" s="12">
        <v>1</v>
      </c>
      <c r="W466" s="12">
        <v>132297</v>
      </c>
      <c r="X466">
        <v>1</v>
      </c>
      <c r="Y466">
        <v>1</v>
      </c>
      <c r="Z466" s="15">
        <v>0.19353200460447989</v>
      </c>
      <c r="AA466" t="str">
        <f t="shared" si="21"/>
        <v>2-MT</v>
      </c>
      <c r="AB466" s="9">
        <f t="shared" si="22"/>
        <v>576000</v>
      </c>
      <c r="AC466" s="9">
        <f t="shared" si="23"/>
        <v>928953.62210150342</v>
      </c>
    </row>
    <row r="467" spans="1:29" x14ac:dyDescent="0.25">
      <c r="A467" t="s">
        <v>210</v>
      </c>
      <c r="B467">
        <v>30015</v>
      </c>
      <c r="C467" s="8">
        <v>45580</v>
      </c>
      <c r="D467" t="s">
        <v>216</v>
      </c>
      <c r="E467" s="10">
        <v>2</v>
      </c>
      <c r="F467" t="s">
        <v>249</v>
      </c>
      <c r="G467" s="11">
        <v>6</v>
      </c>
      <c r="H467" t="s">
        <v>31</v>
      </c>
      <c r="I467" t="s">
        <v>213</v>
      </c>
      <c r="L467" t="s">
        <v>214</v>
      </c>
      <c r="M467" s="13">
        <v>200000</v>
      </c>
      <c r="N467" s="14">
        <v>10</v>
      </c>
      <c r="O467" s="14">
        <v>0</v>
      </c>
      <c r="P467" s="14">
        <v>1</v>
      </c>
      <c r="Q467" s="15">
        <v>8.5000000000000006E-2</v>
      </c>
      <c r="R467" s="12">
        <v>10200</v>
      </c>
      <c r="S467" s="12">
        <v>1</v>
      </c>
      <c r="T467" s="12">
        <v>0</v>
      </c>
      <c r="U467" s="12">
        <v>1927.8</v>
      </c>
      <c r="V467" s="12">
        <v>1</v>
      </c>
      <c r="W467" s="12">
        <v>20951</v>
      </c>
      <c r="X467">
        <v>1</v>
      </c>
      <c r="Y467">
        <v>1</v>
      </c>
      <c r="Z467" s="15">
        <v>0.2439284516028763</v>
      </c>
      <c r="AA467" t="str">
        <f t="shared" si="21"/>
        <v>1-CT</v>
      </c>
      <c r="AB467" s="9">
        <f t="shared" si="22"/>
        <v>17000</v>
      </c>
      <c r="AC467" s="9">
        <f t="shared" si="23"/>
        <v>48785.690320575261</v>
      </c>
    </row>
    <row r="468" spans="1:29" x14ac:dyDescent="0.25">
      <c r="A468" t="s">
        <v>210</v>
      </c>
      <c r="B468">
        <v>30015</v>
      </c>
      <c r="C468" s="8">
        <v>45566</v>
      </c>
      <c r="D468" t="s">
        <v>216</v>
      </c>
      <c r="E468" s="10">
        <v>2</v>
      </c>
      <c r="F468" t="s">
        <v>250</v>
      </c>
      <c r="G468" s="11">
        <v>6</v>
      </c>
      <c r="H468" t="s">
        <v>31</v>
      </c>
      <c r="I468" t="s">
        <v>213</v>
      </c>
      <c r="L468" t="s">
        <v>214</v>
      </c>
      <c r="M468" s="13">
        <v>670000</v>
      </c>
      <c r="N468" s="14">
        <v>10</v>
      </c>
      <c r="O468" s="14">
        <v>0</v>
      </c>
      <c r="P468" s="14">
        <v>1</v>
      </c>
      <c r="Q468" s="15">
        <v>8.5000000000000006E-2</v>
      </c>
      <c r="R468" s="12">
        <v>34170</v>
      </c>
      <c r="S468" s="12">
        <v>1</v>
      </c>
      <c r="T468" s="12">
        <v>0</v>
      </c>
      <c r="U468" s="12">
        <v>6458.1299999999992</v>
      </c>
      <c r="V468" s="12">
        <v>1</v>
      </c>
      <c r="W468" s="12">
        <v>70185</v>
      </c>
      <c r="X468">
        <v>1</v>
      </c>
      <c r="Y468">
        <v>1</v>
      </c>
      <c r="Z468" s="15">
        <v>0.2439006524949571</v>
      </c>
      <c r="AA468" t="str">
        <f t="shared" si="21"/>
        <v>1-CT</v>
      </c>
      <c r="AB468" s="9">
        <f t="shared" si="22"/>
        <v>56950.000000000007</v>
      </c>
      <c r="AC468" s="9">
        <f t="shared" si="23"/>
        <v>163413.43717162125</v>
      </c>
    </row>
    <row r="469" spans="1:29" x14ac:dyDescent="0.25">
      <c r="A469" t="s">
        <v>210</v>
      </c>
      <c r="B469">
        <v>30015</v>
      </c>
      <c r="C469" s="8">
        <v>45656</v>
      </c>
      <c r="D469" t="s">
        <v>215</v>
      </c>
      <c r="E469" s="10">
        <v>2</v>
      </c>
      <c r="F469" t="s">
        <v>250</v>
      </c>
      <c r="G469" s="11">
        <v>6</v>
      </c>
      <c r="H469" t="s">
        <v>31</v>
      </c>
      <c r="I469" t="s">
        <v>213</v>
      </c>
      <c r="L469" t="s">
        <v>214</v>
      </c>
      <c r="M469" s="13">
        <v>165000</v>
      </c>
      <c r="N469" s="14">
        <v>7</v>
      </c>
      <c r="O469" s="14">
        <v>0</v>
      </c>
      <c r="P469" s="14">
        <v>1</v>
      </c>
      <c r="Q469" s="15">
        <v>0.06</v>
      </c>
      <c r="R469" s="12">
        <v>7508</v>
      </c>
      <c r="S469" s="12">
        <v>1</v>
      </c>
      <c r="T469" s="12">
        <v>0</v>
      </c>
      <c r="U469" s="12">
        <v>1419.0120000000002</v>
      </c>
      <c r="V469" s="12">
        <v>1</v>
      </c>
      <c r="W469" s="12">
        <v>24138</v>
      </c>
      <c r="X469">
        <v>1</v>
      </c>
      <c r="Y469">
        <v>1</v>
      </c>
      <c r="Z469" s="15">
        <v>0.24295829104459085</v>
      </c>
      <c r="AA469" t="str">
        <f t="shared" si="21"/>
        <v>1-CT</v>
      </c>
      <c r="AB469" s="9">
        <f t="shared" si="22"/>
        <v>9900</v>
      </c>
      <c r="AC469" s="9">
        <f t="shared" si="23"/>
        <v>40088.118022357492</v>
      </c>
    </row>
    <row r="470" spans="1:29" x14ac:dyDescent="0.25">
      <c r="A470" t="s">
        <v>210</v>
      </c>
      <c r="B470">
        <v>30015</v>
      </c>
      <c r="C470" s="8">
        <v>45569</v>
      </c>
      <c r="D470" t="s">
        <v>239</v>
      </c>
      <c r="E470" s="10">
        <v>2</v>
      </c>
      <c r="F470" t="s">
        <v>251</v>
      </c>
      <c r="G470" s="11">
        <v>6</v>
      </c>
      <c r="H470" t="s">
        <v>31</v>
      </c>
      <c r="I470" t="s">
        <v>213</v>
      </c>
      <c r="L470" t="s">
        <v>214</v>
      </c>
      <c r="M470" s="13">
        <v>1400000</v>
      </c>
      <c r="N470" s="14">
        <v>24</v>
      </c>
      <c r="O470" s="14">
        <v>0</v>
      </c>
      <c r="P470" s="14">
        <v>1</v>
      </c>
      <c r="Q470" s="15">
        <v>0.11</v>
      </c>
      <c r="R470" s="12">
        <v>50000</v>
      </c>
      <c r="S470" s="12">
        <v>1</v>
      </c>
      <c r="T470" s="12">
        <v>28200</v>
      </c>
      <c r="U470" s="12">
        <v>35150</v>
      </c>
      <c r="V470" s="12">
        <v>1</v>
      </c>
      <c r="W470" s="12">
        <v>66729</v>
      </c>
      <c r="X470">
        <v>1</v>
      </c>
      <c r="Y470">
        <v>1</v>
      </c>
      <c r="Z470" s="15">
        <v>0.21968476790479025</v>
      </c>
      <c r="AA470" t="str">
        <f t="shared" si="21"/>
        <v>1-CT</v>
      </c>
      <c r="AB470" s="9">
        <f t="shared" si="22"/>
        <v>154000</v>
      </c>
      <c r="AC470" s="9">
        <f t="shared" si="23"/>
        <v>307558.67506670632</v>
      </c>
    </row>
    <row r="471" spans="1:29" x14ac:dyDescent="0.25">
      <c r="A471" t="s">
        <v>210</v>
      </c>
      <c r="B471">
        <v>30015</v>
      </c>
      <c r="C471" s="8">
        <v>45650</v>
      </c>
      <c r="D471" t="s">
        <v>215</v>
      </c>
      <c r="E471" s="10">
        <v>2</v>
      </c>
      <c r="F471" t="s">
        <v>251</v>
      </c>
      <c r="G471" s="11">
        <v>6</v>
      </c>
      <c r="H471" t="s">
        <v>31</v>
      </c>
      <c r="I471" t="s">
        <v>213</v>
      </c>
      <c r="L471" t="s">
        <v>214</v>
      </c>
      <c r="M471" s="13">
        <v>180000</v>
      </c>
      <c r="N471" s="14">
        <v>7</v>
      </c>
      <c r="O471" s="14">
        <v>0</v>
      </c>
      <c r="P471" s="14">
        <v>1</v>
      </c>
      <c r="Q471" s="15">
        <v>0.06</v>
      </c>
      <c r="R471" s="12">
        <v>8190</v>
      </c>
      <c r="S471" s="12">
        <v>1</v>
      </c>
      <c r="T471" s="12">
        <v>0</v>
      </c>
      <c r="U471" s="12">
        <v>1547.91</v>
      </c>
      <c r="V471" s="12">
        <v>1</v>
      </c>
      <c r="W471" s="12">
        <v>26332</v>
      </c>
      <c r="X471">
        <v>1</v>
      </c>
      <c r="Y471">
        <v>1</v>
      </c>
      <c r="Z471" s="15">
        <v>0.24290326243442995</v>
      </c>
      <c r="AA471" t="str">
        <f t="shared" si="21"/>
        <v>1-CT</v>
      </c>
      <c r="AB471" s="9">
        <f t="shared" si="22"/>
        <v>10800</v>
      </c>
      <c r="AC471" s="9">
        <f t="shared" si="23"/>
        <v>43722.58723819739</v>
      </c>
    </row>
    <row r="472" spans="1:29" x14ac:dyDescent="0.25">
      <c r="A472" t="s">
        <v>210</v>
      </c>
      <c r="B472">
        <v>30015</v>
      </c>
      <c r="C472" s="8">
        <v>45589</v>
      </c>
      <c r="D472" t="s">
        <v>216</v>
      </c>
      <c r="E472" s="10">
        <v>2</v>
      </c>
      <c r="F472" t="s">
        <v>252</v>
      </c>
      <c r="G472" s="11">
        <v>6</v>
      </c>
      <c r="H472" t="s">
        <v>31</v>
      </c>
      <c r="I472" t="s">
        <v>213</v>
      </c>
      <c r="L472" t="s">
        <v>253</v>
      </c>
      <c r="M472" s="13">
        <v>415000</v>
      </c>
      <c r="N472" s="14">
        <v>9</v>
      </c>
      <c r="O472" s="14">
        <v>0</v>
      </c>
      <c r="P472" s="14">
        <v>1</v>
      </c>
      <c r="Q472" s="15">
        <v>8.5000000000000006E-2</v>
      </c>
      <c r="R472" s="12">
        <v>19090</v>
      </c>
      <c r="S472" s="12">
        <v>1</v>
      </c>
      <c r="T472" s="12">
        <v>0</v>
      </c>
      <c r="U472" s="12">
        <v>3608.0099999999998</v>
      </c>
      <c r="V472" s="12">
        <v>1</v>
      </c>
      <c r="W472" s="12">
        <v>48092</v>
      </c>
      <c r="X472">
        <v>1</v>
      </c>
      <c r="Y472">
        <v>1</v>
      </c>
      <c r="Z472" s="15">
        <v>0.24151425105247087</v>
      </c>
      <c r="AA472" t="str">
        <f t="shared" si="21"/>
        <v>1-CT</v>
      </c>
      <c r="AB472" s="9">
        <f t="shared" si="22"/>
        <v>35275</v>
      </c>
      <c r="AC472" s="9">
        <f t="shared" si="23"/>
        <v>100228.41418677541</v>
      </c>
    </row>
    <row r="473" spans="1:29" x14ac:dyDescent="0.25">
      <c r="A473" t="s">
        <v>210</v>
      </c>
      <c r="B473">
        <v>30015</v>
      </c>
      <c r="C473" s="8">
        <v>45638</v>
      </c>
      <c r="D473" t="s">
        <v>215</v>
      </c>
      <c r="E473" s="10">
        <v>2</v>
      </c>
      <c r="F473" t="s">
        <v>252</v>
      </c>
      <c r="G473" s="11">
        <v>6</v>
      </c>
      <c r="H473" t="s">
        <v>31</v>
      </c>
      <c r="I473" t="s">
        <v>213</v>
      </c>
      <c r="L473" t="s">
        <v>253</v>
      </c>
      <c r="M473" s="13">
        <v>55000</v>
      </c>
      <c r="N473" s="14">
        <v>8</v>
      </c>
      <c r="O473" s="14">
        <v>0</v>
      </c>
      <c r="P473" s="14">
        <v>1</v>
      </c>
      <c r="Q473" s="15">
        <v>0.06</v>
      </c>
      <c r="R473" s="12">
        <v>2805</v>
      </c>
      <c r="S473" s="12">
        <v>1</v>
      </c>
      <c r="T473" s="12">
        <v>0</v>
      </c>
      <c r="U473" s="12">
        <v>530.14499999999998</v>
      </c>
      <c r="V473" s="12">
        <v>1</v>
      </c>
      <c r="W473" s="12">
        <v>7062</v>
      </c>
      <c r="X473">
        <v>1</v>
      </c>
      <c r="Y473">
        <v>1</v>
      </c>
      <c r="Z473" s="15">
        <v>0.24364698714964961</v>
      </c>
      <c r="AA473" t="str">
        <f t="shared" si="21"/>
        <v>1-CT</v>
      </c>
      <c r="AB473" s="9">
        <f t="shared" si="22"/>
        <v>3300</v>
      </c>
      <c r="AC473" s="9">
        <f t="shared" si="23"/>
        <v>13400.584293230728</v>
      </c>
    </row>
    <row r="474" spans="1:29" x14ac:dyDescent="0.25">
      <c r="A474" t="s">
        <v>210</v>
      </c>
      <c r="B474">
        <v>30015</v>
      </c>
      <c r="C474" s="8">
        <v>45586</v>
      </c>
      <c r="D474" t="s">
        <v>239</v>
      </c>
      <c r="E474" s="10">
        <v>2</v>
      </c>
      <c r="F474" t="s">
        <v>254</v>
      </c>
      <c r="G474" s="11">
        <v>6</v>
      </c>
      <c r="H474" t="s">
        <v>31</v>
      </c>
      <c r="I474" t="s">
        <v>213</v>
      </c>
      <c r="L474" t="s">
        <v>255</v>
      </c>
      <c r="M474" s="13">
        <v>2200000</v>
      </c>
      <c r="N474" s="14">
        <v>24</v>
      </c>
      <c r="O474" s="14">
        <v>0</v>
      </c>
      <c r="P474" s="14">
        <v>1</v>
      </c>
      <c r="Q474" s="15">
        <v>0.11</v>
      </c>
      <c r="R474" s="12">
        <v>50000</v>
      </c>
      <c r="S474" s="12">
        <v>1</v>
      </c>
      <c r="T474" s="12">
        <v>38600</v>
      </c>
      <c r="U474" s="12">
        <v>43150</v>
      </c>
      <c r="V474" s="12">
        <v>1</v>
      </c>
      <c r="W474" s="12">
        <v>104838</v>
      </c>
      <c r="X474">
        <v>1</v>
      </c>
      <c r="Y474">
        <v>1</v>
      </c>
      <c r="Z474" s="15">
        <v>0.19576655751400412</v>
      </c>
      <c r="AA474" t="str">
        <f t="shared" si="21"/>
        <v>1-CT</v>
      </c>
      <c r="AB474" s="9">
        <f t="shared" si="22"/>
        <v>242000</v>
      </c>
      <c r="AC474" s="9">
        <f t="shared" si="23"/>
        <v>430686.42653080908</v>
      </c>
    </row>
    <row r="475" spans="1:29" x14ac:dyDescent="0.25">
      <c r="A475" t="s">
        <v>210</v>
      </c>
      <c r="B475">
        <v>30015</v>
      </c>
      <c r="C475" s="8">
        <v>45623</v>
      </c>
      <c r="D475" t="s">
        <v>215</v>
      </c>
      <c r="E475" s="10">
        <v>2</v>
      </c>
      <c r="F475" t="s">
        <v>254</v>
      </c>
      <c r="G475" s="11">
        <v>6</v>
      </c>
      <c r="H475" t="s">
        <v>31</v>
      </c>
      <c r="I475" t="s">
        <v>213</v>
      </c>
      <c r="L475" t="s">
        <v>255</v>
      </c>
      <c r="M475" s="13">
        <v>250000</v>
      </c>
      <c r="N475" s="14">
        <v>8</v>
      </c>
      <c r="O475" s="14">
        <v>0</v>
      </c>
      <c r="P475" s="14">
        <v>1</v>
      </c>
      <c r="Q475" s="15">
        <v>0.06</v>
      </c>
      <c r="R475" s="12">
        <v>12750</v>
      </c>
      <c r="S475" s="12">
        <v>1</v>
      </c>
      <c r="T475" s="12">
        <v>0</v>
      </c>
      <c r="U475" s="12">
        <v>2409.75</v>
      </c>
      <c r="V475" s="12">
        <v>1</v>
      </c>
      <c r="W475" s="12">
        <v>32101</v>
      </c>
      <c r="X475">
        <v>1</v>
      </c>
      <c r="Y475">
        <v>1</v>
      </c>
      <c r="Z475" s="15">
        <v>0.24373378142828975</v>
      </c>
      <c r="AA475" t="str">
        <f t="shared" si="21"/>
        <v>1-CT</v>
      </c>
      <c r="AB475" s="9">
        <f t="shared" si="22"/>
        <v>15000</v>
      </c>
      <c r="AC475" s="9">
        <f t="shared" si="23"/>
        <v>60933.445357072436</v>
      </c>
    </row>
    <row r="476" spans="1:29" x14ac:dyDescent="0.25">
      <c r="A476" t="s">
        <v>210</v>
      </c>
      <c r="B476">
        <v>30015</v>
      </c>
      <c r="C476" s="8">
        <v>45608</v>
      </c>
      <c r="D476" t="s">
        <v>246</v>
      </c>
      <c r="E476" s="10">
        <v>2</v>
      </c>
      <c r="F476" t="s">
        <v>256</v>
      </c>
      <c r="G476" s="11">
        <v>6</v>
      </c>
      <c r="H476" t="s">
        <v>31</v>
      </c>
      <c r="I476" t="s">
        <v>213</v>
      </c>
      <c r="L476" t="s">
        <v>253</v>
      </c>
      <c r="M476" s="13">
        <v>630000</v>
      </c>
      <c r="N476" s="14">
        <v>10</v>
      </c>
      <c r="O476" s="14">
        <v>0</v>
      </c>
      <c r="P476" s="14">
        <v>1</v>
      </c>
      <c r="Q476" s="15">
        <v>8.5000000000000006E-2</v>
      </c>
      <c r="R476" s="12">
        <v>32130</v>
      </c>
      <c r="S476" s="12">
        <v>1</v>
      </c>
      <c r="T476" s="12">
        <v>0</v>
      </c>
      <c r="U476" s="12">
        <v>6072.57</v>
      </c>
      <c r="V476" s="12">
        <v>1</v>
      </c>
      <c r="W476" s="12">
        <v>65984</v>
      </c>
      <c r="X476">
        <v>1</v>
      </c>
      <c r="Y476">
        <v>1</v>
      </c>
      <c r="Z476" s="15">
        <v>0.24352323167748907</v>
      </c>
      <c r="AA476" t="str">
        <f t="shared" si="21"/>
        <v>1-CT</v>
      </c>
      <c r="AB476" s="9">
        <f t="shared" si="22"/>
        <v>53550.000000000007</v>
      </c>
      <c r="AC476" s="9">
        <f t="shared" si="23"/>
        <v>153419.63595681812</v>
      </c>
    </row>
    <row r="477" spans="1:29" x14ac:dyDescent="0.25">
      <c r="A477" t="s">
        <v>210</v>
      </c>
      <c r="B477">
        <v>30015</v>
      </c>
      <c r="C477" s="8">
        <v>45628</v>
      </c>
      <c r="D477" t="s">
        <v>246</v>
      </c>
      <c r="E477" s="10">
        <v>2</v>
      </c>
      <c r="F477" t="s">
        <v>256</v>
      </c>
      <c r="G477" s="11">
        <v>6</v>
      </c>
      <c r="H477" t="s">
        <v>31</v>
      </c>
      <c r="I477" t="s">
        <v>213</v>
      </c>
      <c r="L477" t="s">
        <v>253</v>
      </c>
      <c r="M477" s="13">
        <v>569643</v>
      </c>
      <c r="N477" s="14">
        <v>14</v>
      </c>
      <c r="O477" s="14">
        <v>0</v>
      </c>
      <c r="P477" s="14">
        <v>1</v>
      </c>
      <c r="Q477" s="15">
        <v>8.5000000000000006E-2</v>
      </c>
      <c r="R477" s="12">
        <v>0</v>
      </c>
      <c r="S477" s="12">
        <v>1</v>
      </c>
      <c r="T477" s="12">
        <v>0</v>
      </c>
      <c r="U477" s="12">
        <v>0</v>
      </c>
      <c r="V477" s="12">
        <v>1</v>
      </c>
      <c r="W477" s="12">
        <v>43342</v>
      </c>
      <c r="X477">
        <v>1</v>
      </c>
      <c r="Y477">
        <v>1</v>
      </c>
      <c r="Z477" s="15">
        <v>0.10244555485583866</v>
      </c>
      <c r="AA477" t="str">
        <f t="shared" si="21"/>
        <v>1-CT</v>
      </c>
      <c r="AB477" s="9">
        <f t="shared" si="22"/>
        <v>48419.655000000006</v>
      </c>
      <c r="AC477" s="9">
        <f t="shared" si="23"/>
        <v>58357.393204744498</v>
      </c>
    </row>
    <row r="478" spans="1:29" x14ac:dyDescent="0.25">
      <c r="A478" t="s">
        <v>210</v>
      </c>
      <c r="B478">
        <v>30015</v>
      </c>
      <c r="C478" s="8">
        <v>45635</v>
      </c>
      <c r="D478" t="s">
        <v>211</v>
      </c>
      <c r="E478" s="10">
        <v>2</v>
      </c>
      <c r="F478" t="s">
        <v>257</v>
      </c>
      <c r="G478" s="11">
        <v>6</v>
      </c>
      <c r="H478" t="s">
        <v>31</v>
      </c>
      <c r="I478" t="s">
        <v>258</v>
      </c>
      <c r="L478" t="s">
        <v>231</v>
      </c>
      <c r="M478" s="13">
        <v>8000000</v>
      </c>
      <c r="N478" s="14">
        <v>60</v>
      </c>
      <c r="O478" s="14">
        <v>0</v>
      </c>
      <c r="P478" s="14">
        <v>1</v>
      </c>
      <c r="Q478" s="15">
        <v>0.09</v>
      </c>
      <c r="R478" s="12">
        <v>250000</v>
      </c>
      <c r="S478" s="12">
        <v>1</v>
      </c>
      <c r="T478" s="12">
        <v>91700</v>
      </c>
      <c r="U478" s="12">
        <v>138950</v>
      </c>
      <c r="V478" s="12">
        <v>1</v>
      </c>
      <c r="W478" s="12">
        <v>173345</v>
      </c>
      <c r="X478">
        <v>1</v>
      </c>
      <c r="Y478">
        <v>1</v>
      </c>
      <c r="Z478" s="15">
        <v>0.13584087803697717</v>
      </c>
      <c r="AA478" t="str">
        <f t="shared" si="21"/>
        <v>2-MT</v>
      </c>
      <c r="AB478" s="9">
        <f t="shared" si="22"/>
        <v>720000</v>
      </c>
      <c r="AC478" s="9">
        <f t="shared" si="23"/>
        <v>1086727.0242958174</v>
      </c>
    </row>
    <row r="479" spans="1:29" x14ac:dyDescent="0.25">
      <c r="A479" t="s">
        <v>210</v>
      </c>
      <c r="B479">
        <v>30015</v>
      </c>
      <c r="C479" s="8">
        <v>45652</v>
      </c>
      <c r="D479" t="s">
        <v>215</v>
      </c>
      <c r="E479" s="10">
        <v>2</v>
      </c>
      <c r="F479" t="s">
        <v>257</v>
      </c>
      <c r="G479" s="11">
        <v>6</v>
      </c>
      <c r="H479" t="s">
        <v>31</v>
      </c>
      <c r="I479" t="s">
        <v>258</v>
      </c>
      <c r="L479" t="s">
        <v>231</v>
      </c>
      <c r="M479" s="13">
        <v>1100000</v>
      </c>
      <c r="N479" s="14">
        <v>7</v>
      </c>
      <c r="O479" s="14">
        <v>0</v>
      </c>
      <c r="P479" s="14">
        <v>1</v>
      </c>
      <c r="Q479" s="15">
        <v>0.06</v>
      </c>
      <c r="R479" s="12">
        <v>50050</v>
      </c>
      <c r="S479" s="12">
        <v>1</v>
      </c>
      <c r="T479" s="12">
        <v>0</v>
      </c>
      <c r="U479" s="12">
        <v>9459.4500000000007</v>
      </c>
      <c r="V479" s="12">
        <v>1</v>
      </c>
      <c r="W479" s="12">
        <v>160920</v>
      </c>
      <c r="X479">
        <v>1</v>
      </c>
      <c r="Y479">
        <v>1</v>
      </c>
      <c r="Z479" s="15">
        <v>0.24294639398001769</v>
      </c>
      <c r="AA479" t="str">
        <f t="shared" si="21"/>
        <v>1-CT</v>
      </c>
      <c r="AB479" s="9">
        <f t="shared" si="22"/>
        <v>66000</v>
      </c>
      <c r="AC479" s="9">
        <f t="shared" si="23"/>
        <v>267241.03337801946</v>
      </c>
    </row>
    <row r="480" spans="1:29" x14ac:dyDescent="0.25">
      <c r="A480" t="s">
        <v>259</v>
      </c>
      <c r="B480">
        <v>30013</v>
      </c>
      <c r="C480" s="8">
        <v>45580</v>
      </c>
      <c r="D480" s="14">
        <v>321600</v>
      </c>
      <c r="E480" s="10">
        <v>2</v>
      </c>
      <c r="F480" t="s">
        <v>260</v>
      </c>
      <c r="G480" s="11">
        <v>6</v>
      </c>
      <c r="H480" t="s">
        <v>31</v>
      </c>
      <c r="J480" s="12">
        <v>0</v>
      </c>
      <c r="L480" t="s">
        <v>261</v>
      </c>
      <c r="M480" s="13">
        <v>700000</v>
      </c>
      <c r="N480" s="14">
        <v>12</v>
      </c>
      <c r="O480" s="14">
        <v>0</v>
      </c>
      <c r="P480" s="14">
        <v>1</v>
      </c>
      <c r="Q480" s="15">
        <v>0.1</v>
      </c>
      <c r="R480" s="12">
        <v>8323</v>
      </c>
      <c r="S480" s="12">
        <v>1</v>
      </c>
      <c r="T480" s="12">
        <v>0</v>
      </c>
      <c r="U480" s="12">
        <v>21700</v>
      </c>
      <c r="V480" s="12">
        <v>1</v>
      </c>
      <c r="W480" s="12">
        <v>62158</v>
      </c>
      <c r="X480">
        <v>1</v>
      </c>
      <c r="Y480">
        <v>1</v>
      </c>
      <c r="Z480" s="15">
        <v>0.20296186936359034</v>
      </c>
      <c r="AA480" t="str">
        <f t="shared" si="21"/>
        <v>1-CT</v>
      </c>
      <c r="AB480" s="9">
        <f t="shared" si="22"/>
        <v>70000</v>
      </c>
      <c r="AC480" s="9">
        <f t="shared" si="23"/>
        <v>142073.30855451323</v>
      </c>
    </row>
    <row r="481" spans="1:29" x14ac:dyDescent="0.25">
      <c r="A481" t="s">
        <v>259</v>
      </c>
      <c r="B481">
        <v>30013</v>
      </c>
      <c r="C481" s="8">
        <v>45580</v>
      </c>
      <c r="D481" s="14">
        <v>311500</v>
      </c>
      <c r="E481" s="10">
        <v>2</v>
      </c>
      <c r="F481" t="s">
        <v>260</v>
      </c>
      <c r="G481" s="11">
        <v>6</v>
      </c>
      <c r="H481" t="s">
        <v>31</v>
      </c>
      <c r="J481" s="12">
        <v>0</v>
      </c>
      <c r="L481" t="s">
        <v>261</v>
      </c>
      <c r="M481" s="13">
        <v>5800000</v>
      </c>
      <c r="N481" s="14">
        <v>60</v>
      </c>
      <c r="O481" s="14">
        <v>0</v>
      </c>
      <c r="P481" s="14">
        <v>1</v>
      </c>
      <c r="Q481" s="15">
        <v>0.1</v>
      </c>
      <c r="R481" s="12">
        <v>172405</v>
      </c>
      <c r="S481" s="12">
        <v>1</v>
      </c>
      <c r="T481" s="12">
        <v>227500</v>
      </c>
      <c r="U481" s="12">
        <v>69700</v>
      </c>
      <c r="V481" s="12">
        <v>1</v>
      </c>
      <c r="W481" s="12">
        <v>128696</v>
      </c>
      <c r="X481">
        <v>1</v>
      </c>
      <c r="Y481">
        <v>1</v>
      </c>
      <c r="Z481" s="15">
        <v>0.15671390576021038</v>
      </c>
      <c r="AA481" t="str">
        <f t="shared" si="21"/>
        <v>2-MT</v>
      </c>
      <c r="AB481" s="9">
        <f t="shared" si="22"/>
        <v>580000</v>
      </c>
      <c r="AC481" s="9">
        <f t="shared" si="23"/>
        <v>908940.65340922016</v>
      </c>
    </row>
    <row r="482" spans="1:29" x14ac:dyDescent="0.25">
      <c r="A482" t="s">
        <v>259</v>
      </c>
      <c r="B482">
        <v>30013</v>
      </c>
      <c r="C482" s="8">
        <v>45602</v>
      </c>
      <c r="D482" s="14">
        <v>311500</v>
      </c>
      <c r="E482" s="10">
        <v>2</v>
      </c>
      <c r="F482" t="s">
        <v>262</v>
      </c>
      <c r="G482" s="11">
        <v>6</v>
      </c>
      <c r="H482" t="s">
        <v>31</v>
      </c>
      <c r="J482" s="12">
        <v>0</v>
      </c>
      <c r="L482" t="s">
        <v>261</v>
      </c>
      <c r="M482" s="13">
        <v>6000000</v>
      </c>
      <c r="N482" s="14">
        <v>72</v>
      </c>
      <c r="O482" s="14">
        <v>0</v>
      </c>
      <c r="P482" s="14">
        <v>1</v>
      </c>
      <c r="Q482" s="15">
        <v>0.1</v>
      </c>
      <c r="R482" s="12">
        <v>107010</v>
      </c>
      <c r="S482" s="12">
        <v>1</v>
      </c>
      <c r="T482" s="12">
        <v>280000</v>
      </c>
      <c r="U482" s="12">
        <v>71700</v>
      </c>
      <c r="V482" s="12">
        <v>1</v>
      </c>
      <c r="W482" s="12">
        <v>116958</v>
      </c>
      <c r="X482">
        <v>1</v>
      </c>
      <c r="Y482">
        <v>1</v>
      </c>
      <c r="Z482" s="15">
        <v>0.14929300218464125</v>
      </c>
      <c r="AA482" t="str">
        <f t="shared" si="21"/>
        <v>3-LT</v>
      </c>
      <c r="AB482" s="9">
        <f t="shared" si="22"/>
        <v>600000</v>
      </c>
      <c r="AC482" s="9">
        <f t="shared" si="23"/>
        <v>895758.01310784754</v>
      </c>
    </row>
    <row r="483" spans="1:29" x14ac:dyDescent="0.25">
      <c r="A483" t="s">
        <v>259</v>
      </c>
      <c r="B483">
        <v>30013</v>
      </c>
      <c r="C483" s="8">
        <v>45602</v>
      </c>
      <c r="D483" s="14">
        <v>311500</v>
      </c>
      <c r="E483" s="10">
        <v>2</v>
      </c>
      <c r="F483" t="s">
        <v>263</v>
      </c>
      <c r="G483" s="11">
        <v>6</v>
      </c>
      <c r="H483" t="s">
        <v>31</v>
      </c>
      <c r="J483" s="12">
        <v>0</v>
      </c>
      <c r="L483" t="s">
        <v>261</v>
      </c>
      <c r="M483" s="13">
        <v>4600000</v>
      </c>
      <c r="N483" s="14">
        <v>60</v>
      </c>
      <c r="O483" s="14">
        <v>0</v>
      </c>
      <c r="P483" s="14">
        <v>1</v>
      </c>
      <c r="Q483" s="15">
        <v>0.11</v>
      </c>
      <c r="R483" s="12">
        <v>136735</v>
      </c>
      <c r="S483" s="12">
        <v>1</v>
      </c>
      <c r="T483" s="12">
        <v>182500</v>
      </c>
      <c r="U483" s="12">
        <v>57700</v>
      </c>
      <c r="V483" s="12">
        <v>1</v>
      </c>
      <c r="W483" s="12">
        <v>103631</v>
      </c>
      <c r="X483">
        <v>1</v>
      </c>
      <c r="Y483">
        <v>1</v>
      </c>
      <c r="Z483" s="15">
        <v>0.16415330058194305</v>
      </c>
      <c r="AA483" t="str">
        <f t="shared" si="21"/>
        <v>2-MT</v>
      </c>
      <c r="AB483" s="9">
        <f t="shared" si="22"/>
        <v>506000</v>
      </c>
      <c r="AC483" s="9">
        <f t="shared" si="23"/>
        <v>755105.18267693801</v>
      </c>
    </row>
    <row r="484" spans="1:29" x14ac:dyDescent="0.25">
      <c r="A484" t="s">
        <v>259</v>
      </c>
      <c r="B484">
        <v>30013</v>
      </c>
      <c r="C484" s="8">
        <v>45602</v>
      </c>
      <c r="D484" s="14">
        <v>311500</v>
      </c>
      <c r="E484" s="10">
        <v>2</v>
      </c>
      <c r="F484" t="s">
        <v>264</v>
      </c>
      <c r="G484" s="11">
        <v>6</v>
      </c>
      <c r="H484" t="s">
        <v>31</v>
      </c>
      <c r="J484" s="12">
        <v>0</v>
      </c>
      <c r="L484" t="s">
        <v>261</v>
      </c>
      <c r="M484" s="13">
        <v>5500000</v>
      </c>
      <c r="N484" s="14">
        <v>72</v>
      </c>
      <c r="O484" s="14">
        <v>0</v>
      </c>
      <c r="P484" s="14">
        <v>1</v>
      </c>
      <c r="Q484" s="15">
        <v>0.1</v>
      </c>
      <c r="R484" s="12">
        <v>98093</v>
      </c>
      <c r="S484" s="12">
        <v>1</v>
      </c>
      <c r="T484" s="12">
        <v>257500</v>
      </c>
      <c r="U484" s="12">
        <v>66700</v>
      </c>
      <c r="V484" s="12">
        <v>1</v>
      </c>
      <c r="W484" s="12">
        <v>107212</v>
      </c>
      <c r="X484">
        <v>1</v>
      </c>
      <c r="Y484">
        <v>1</v>
      </c>
      <c r="Z484" s="15">
        <v>0.14943339139197875</v>
      </c>
      <c r="AA484" t="str">
        <f t="shared" si="21"/>
        <v>3-LT</v>
      </c>
      <c r="AB484" s="9">
        <f t="shared" si="22"/>
        <v>550000</v>
      </c>
      <c r="AC484" s="9">
        <f t="shared" si="23"/>
        <v>821883.65265588311</v>
      </c>
    </row>
    <row r="485" spans="1:29" x14ac:dyDescent="0.25">
      <c r="A485" t="s">
        <v>259</v>
      </c>
      <c r="B485">
        <v>30013</v>
      </c>
      <c r="C485" s="8">
        <v>45603</v>
      </c>
      <c r="D485" s="14">
        <v>311500</v>
      </c>
      <c r="E485" s="10">
        <v>2</v>
      </c>
      <c r="F485" t="s">
        <v>265</v>
      </c>
      <c r="G485" s="11">
        <v>6</v>
      </c>
      <c r="H485" t="s">
        <v>31</v>
      </c>
      <c r="J485" s="12">
        <v>0</v>
      </c>
      <c r="L485" t="s">
        <v>266</v>
      </c>
      <c r="M485" s="13">
        <v>4100000</v>
      </c>
      <c r="N485" s="14">
        <v>36</v>
      </c>
      <c r="O485" s="14">
        <v>0</v>
      </c>
      <c r="P485" s="14">
        <v>1</v>
      </c>
      <c r="Q485" s="15">
        <v>0.12</v>
      </c>
      <c r="R485" s="12">
        <v>121873</v>
      </c>
      <c r="S485" s="12">
        <v>1</v>
      </c>
      <c r="T485" s="12">
        <v>102250</v>
      </c>
      <c r="U485" s="12">
        <v>52700</v>
      </c>
      <c r="V485" s="12">
        <v>1</v>
      </c>
      <c r="W485" s="12">
        <v>140663</v>
      </c>
      <c r="X485">
        <v>1</v>
      </c>
      <c r="Y485">
        <v>1</v>
      </c>
      <c r="Z485" s="15">
        <v>0.19269015157394032</v>
      </c>
      <c r="AA485" t="str">
        <f t="shared" si="21"/>
        <v>2-MT</v>
      </c>
      <c r="AB485" s="9">
        <f t="shared" si="22"/>
        <v>492000</v>
      </c>
      <c r="AC485" s="9">
        <f t="shared" si="23"/>
        <v>790029.6214531553</v>
      </c>
    </row>
    <row r="486" spans="1:29" x14ac:dyDescent="0.25">
      <c r="A486" t="s">
        <v>259</v>
      </c>
      <c r="B486">
        <v>30013</v>
      </c>
      <c r="C486" s="8">
        <v>45610</v>
      </c>
      <c r="D486" s="14">
        <v>311500</v>
      </c>
      <c r="E486" s="10">
        <v>2</v>
      </c>
      <c r="F486" t="s">
        <v>267</v>
      </c>
      <c r="G486" s="11">
        <v>6</v>
      </c>
      <c r="H486" t="s">
        <v>31</v>
      </c>
      <c r="J486" s="12">
        <v>0</v>
      </c>
      <c r="L486" t="s">
        <v>268</v>
      </c>
      <c r="M486" s="13">
        <v>4250000</v>
      </c>
      <c r="N486" s="14">
        <v>84</v>
      </c>
      <c r="O486" s="14">
        <v>0</v>
      </c>
      <c r="P486" s="14">
        <v>1</v>
      </c>
      <c r="Q486" s="15">
        <v>0.08</v>
      </c>
      <c r="R486" s="12">
        <v>75799</v>
      </c>
      <c r="S486" s="12">
        <v>1</v>
      </c>
      <c r="T486" s="12">
        <v>233125</v>
      </c>
      <c r="U486" s="12">
        <v>54200</v>
      </c>
      <c r="V486" s="12">
        <v>1</v>
      </c>
      <c r="W486" s="12">
        <v>69488</v>
      </c>
      <c r="X486">
        <v>1</v>
      </c>
      <c r="Y486">
        <v>1</v>
      </c>
      <c r="Z486" s="15">
        <v>0.12419012646448702</v>
      </c>
      <c r="AA486" t="str">
        <f t="shared" si="21"/>
        <v>3-LT</v>
      </c>
      <c r="AB486" s="9">
        <f t="shared" si="22"/>
        <v>340000</v>
      </c>
      <c r="AC486" s="9">
        <f t="shared" si="23"/>
        <v>527808.03747406986</v>
      </c>
    </row>
    <row r="487" spans="1:29" x14ac:dyDescent="0.25">
      <c r="A487" t="s">
        <v>259</v>
      </c>
      <c r="B487">
        <v>30013</v>
      </c>
      <c r="C487" s="8">
        <v>45611</v>
      </c>
      <c r="D487" s="14">
        <v>321600</v>
      </c>
      <c r="E487" s="10">
        <v>2</v>
      </c>
      <c r="F487" t="s">
        <v>265</v>
      </c>
      <c r="G487" s="11">
        <v>6</v>
      </c>
      <c r="H487" t="s">
        <v>31</v>
      </c>
      <c r="J487" s="12">
        <v>0</v>
      </c>
      <c r="L487" t="s">
        <v>266</v>
      </c>
      <c r="M487" s="13">
        <v>870000</v>
      </c>
      <c r="N487" s="14">
        <v>12</v>
      </c>
      <c r="O487" s="14">
        <v>0</v>
      </c>
      <c r="P487" s="14">
        <v>1</v>
      </c>
      <c r="Q487" s="15">
        <v>0.1</v>
      </c>
      <c r="R487" s="12">
        <v>10344</v>
      </c>
      <c r="S487" s="12">
        <v>1</v>
      </c>
      <c r="T487" s="12">
        <v>0</v>
      </c>
      <c r="U487" s="12">
        <v>21700</v>
      </c>
      <c r="V487" s="12">
        <v>1</v>
      </c>
      <c r="W487" s="12">
        <v>77254</v>
      </c>
      <c r="X487">
        <v>1</v>
      </c>
      <c r="Y487">
        <v>1</v>
      </c>
      <c r="Z487" s="15">
        <v>0.1907711285668085</v>
      </c>
      <c r="AA487" t="str">
        <f t="shared" si="21"/>
        <v>1-CT</v>
      </c>
      <c r="AB487" s="9">
        <f t="shared" si="22"/>
        <v>87000</v>
      </c>
      <c r="AC487" s="9">
        <f t="shared" si="23"/>
        <v>165970.8818531234</v>
      </c>
    </row>
    <row r="488" spans="1:29" x14ac:dyDescent="0.25">
      <c r="A488" t="s">
        <v>259</v>
      </c>
      <c r="B488">
        <v>30013</v>
      </c>
      <c r="C488" s="8">
        <v>45616</v>
      </c>
      <c r="D488" s="14">
        <v>321600</v>
      </c>
      <c r="E488" s="10">
        <v>2</v>
      </c>
      <c r="F488" t="s">
        <v>264</v>
      </c>
      <c r="G488" s="11">
        <v>6</v>
      </c>
      <c r="H488" t="s">
        <v>31</v>
      </c>
      <c r="J488" s="12">
        <v>0</v>
      </c>
      <c r="L488" t="s">
        <v>261</v>
      </c>
      <c r="M488" s="13">
        <v>600000</v>
      </c>
      <c r="N488" s="14">
        <v>12</v>
      </c>
      <c r="O488" s="14">
        <v>0</v>
      </c>
      <c r="P488" s="14">
        <v>1</v>
      </c>
      <c r="Q488" s="15">
        <v>0.1</v>
      </c>
      <c r="R488" s="12">
        <v>5707</v>
      </c>
      <c r="S488" s="12">
        <v>1</v>
      </c>
      <c r="T488" s="12">
        <v>0</v>
      </c>
      <c r="U488" s="12">
        <v>21700</v>
      </c>
      <c r="V488" s="12">
        <v>1</v>
      </c>
      <c r="W488" s="12">
        <v>53278</v>
      </c>
      <c r="X488">
        <v>1</v>
      </c>
      <c r="Y488">
        <v>1</v>
      </c>
      <c r="Z488" s="15">
        <v>0.20860621217938491</v>
      </c>
      <c r="AA488" t="str">
        <f t="shared" si="21"/>
        <v>1-CT</v>
      </c>
      <c r="AB488" s="9">
        <f t="shared" si="22"/>
        <v>60000</v>
      </c>
      <c r="AC488" s="9">
        <f t="shared" si="23"/>
        <v>125163.72730763095</v>
      </c>
    </row>
    <row r="489" spans="1:29" x14ac:dyDescent="0.25">
      <c r="A489" t="s">
        <v>259</v>
      </c>
      <c r="B489">
        <v>30013</v>
      </c>
      <c r="C489" s="8">
        <v>45616</v>
      </c>
      <c r="D489" s="14">
        <v>311500</v>
      </c>
      <c r="E489" s="10">
        <v>2</v>
      </c>
      <c r="F489" t="s">
        <v>269</v>
      </c>
      <c r="G489" s="11">
        <v>6</v>
      </c>
      <c r="H489" t="s">
        <v>31</v>
      </c>
      <c r="J489" s="12">
        <v>0</v>
      </c>
      <c r="L489" t="s">
        <v>270</v>
      </c>
      <c r="M489" s="13">
        <v>9500000</v>
      </c>
      <c r="N489" s="14">
        <v>96</v>
      </c>
      <c r="O489" s="14">
        <v>0</v>
      </c>
      <c r="P489" s="14">
        <v>1</v>
      </c>
      <c r="Q489" s="15">
        <v>0.1</v>
      </c>
      <c r="R489" s="12">
        <v>169433</v>
      </c>
      <c r="S489" s="12">
        <v>1</v>
      </c>
      <c r="T489" s="12">
        <v>585000</v>
      </c>
      <c r="U489" s="12">
        <v>104000</v>
      </c>
      <c r="V489" s="12">
        <v>1</v>
      </c>
      <c r="W489" s="12">
        <v>153828</v>
      </c>
      <c r="X489">
        <v>1</v>
      </c>
      <c r="Y489">
        <v>1</v>
      </c>
      <c r="Z489" s="15">
        <v>0.14749834441734505</v>
      </c>
      <c r="AA489" t="str">
        <f t="shared" si="21"/>
        <v>3-LT</v>
      </c>
      <c r="AB489" s="9">
        <f t="shared" si="22"/>
        <v>950000</v>
      </c>
      <c r="AC489" s="9">
        <f t="shared" si="23"/>
        <v>1401234.271964778</v>
      </c>
    </row>
    <row r="490" spans="1:29" x14ac:dyDescent="0.25">
      <c r="A490" t="s">
        <v>259</v>
      </c>
      <c r="B490">
        <v>30013</v>
      </c>
      <c r="C490" s="8">
        <v>45621</v>
      </c>
      <c r="D490" s="14">
        <v>321600</v>
      </c>
      <c r="E490" s="10">
        <v>2</v>
      </c>
      <c r="F490" t="s">
        <v>262</v>
      </c>
      <c r="G490" s="11">
        <v>6</v>
      </c>
      <c r="H490" t="s">
        <v>31</v>
      </c>
      <c r="J490" s="12">
        <v>0</v>
      </c>
      <c r="L490" t="s">
        <v>261</v>
      </c>
      <c r="M490" s="13">
        <v>550000</v>
      </c>
      <c r="N490" s="14">
        <v>12</v>
      </c>
      <c r="O490" s="14">
        <v>0</v>
      </c>
      <c r="P490" s="14">
        <v>1</v>
      </c>
      <c r="Q490" s="15">
        <v>0.1</v>
      </c>
      <c r="R490" s="12">
        <v>5232</v>
      </c>
      <c r="S490" s="12">
        <v>1</v>
      </c>
      <c r="T490" s="12">
        <v>0</v>
      </c>
      <c r="U490" s="12">
        <v>21700</v>
      </c>
      <c r="V490" s="12">
        <v>1</v>
      </c>
      <c r="W490" s="12">
        <v>48839</v>
      </c>
      <c r="X490">
        <v>1</v>
      </c>
      <c r="Y490">
        <v>1</v>
      </c>
      <c r="Z490" s="15">
        <v>0.21534038061237323</v>
      </c>
      <c r="AA490" t="str">
        <f t="shared" si="21"/>
        <v>1-CT</v>
      </c>
      <c r="AB490" s="9">
        <f t="shared" si="22"/>
        <v>55000</v>
      </c>
      <c r="AC490" s="9">
        <f t="shared" si="23"/>
        <v>118437.20933680527</v>
      </c>
    </row>
    <row r="491" spans="1:29" x14ac:dyDescent="0.25">
      <c r="A491" t="s">
        <v>259</v>
      </c>
      <c r="B491">
        <v>30013</v>
      </c>
      <c r="C491" s="8">
        <v>45639</v>
      </c>
      <c r="D491" s="14">
        <v>321600</v>
      </c>
      <c r="E491" s="10">
        <v>2</v>
      </c>
      <c r="F491" t="s">
        <v>267</v>
      </c>
      <c r="G491" s="11">
        <v>6</v>
      </c>
      <c r="H491" t="s">
        <v>31</v>
      </c>
      <c r="J491" s="12">
        <v>0</v>
      </c>
      <c r="L491" t="s">
        <v>268</v>
      </c>
      <c r="M491" s="13">
        <v>375000</v>
      </c>
      <c r="N491" s="14">
        <v>12</v>
      </c>
      <c r="O491" s="14">
        <v>0</v>
      </c>
      <c r="P491" s="14">
        <v>1</v>
      </c>
      <c r="Q491" s="15">
        <v>0.1</v>
      </c>
      <c r="R491" s="12">
        <v>892</v>
      </c>
      <c r="S491" s="12">
        <v>1</v>
      </c>
      <c r="T491" s="12">
        <v>0</v>
      </c>
      <c r="U491" s="12">
        <v>21700</v>
      </c>
      <c r="V491" s="12">
        <v>1</v>
      </c>
      <c r="W491" s="12">
        <v>33299</v>
      </c>
      <c r="X491">
        <v>1</v>
      </c>
      <c r="Y491">
        <v>1</v>
      </c>
      <c r="Z491" s="15">
        <v>0.23855972193148611</v>
      </c>
      <c r="AA491" t="str">
        <f t="shared" si="21"/>
        <v>1-CT</v>
      </c>
      <c r="AB491" s="9">
        <f t="shared" si="22"/>
        <v>37500</v>
      </c>
      <c r="AC491" s="9">
        <f t="shared" si="23"/>
        <v>89459.895724307295</v>
      </c>
    </row>
    <row r="492" spans="1:29" x14ac:dyDescent="0.25">
      <c r="A492" t="s">
        <v>259</v>
      </c>
      <c r="B492">
        <v>30013</v>
      </c>
      <c r="C492" s="8">
        <v>45643</v>
      </c>
      <c r="D492" s="14">
        <v>321600</v>
      </c>
      <c r="E492" s="10">
        <v>2</v>
      </c>
      <c r="F492" t="s">
        <v>263</v>
      </c>
      <c r="G492" s="11">
        <v>6</v>
      </c>
      <c r="H492" t="s">
        <v>31</v>
      </c>
      <c r="J492" s="12">
        <v>0</v>
      </c>
      <c r="L492" t="s">
        <v>261</v>
      </c>
      <c r="M492" s="13">
        <v>550000</v>
      </c>
      <c r="N492" s="14">
        <v>12</v>
      </c>
      <c r="O492" s="14">
        <v>0</v>
      </c>
      <c r="P492" s="14">
        <v>1</v>
      </c>
      <c r="Q492" s="15">
        <v>0.1</v>
      </c>
      <c r="R492" s="12">
        <v>5232</v>
      </c>
      <c r="S492" s="12">
        <v>1</v>
      </c>
      <c r="T492" s="12">
        <v>0</v>
      </c>
      <c r="U492" s="12">
        <v>21700</v>
      </c>
      <c r="V492" s="12">
        <v>1</v>
      </c>
      <c r="W492" s="12">
        <v>48839</v>
      </c>
      <c r="X492">
        <v>1</v>
      </c>
      <c r="Y492">
        <v>1</v>
      </c>
      <c r="Z492" s="15">
        <v>0.21534038061237323</v>
      </c>
      <c r="AA492" t="str">
        <f t="shared" si="21"/>
        <v>1-CT</v>
      </c>
      <c r="AB492" s="9">
        <f t="shared" si="22"/>
        <v>55000</v>
      </c>
      <c r="AC492" s="9">
        <f t="shared" si="23"/>
        <v>118437.20933680527</v>
      </c>
    </row>
    <row r="493" spans="1:29" x14ac:dyDescent="0.25">
      <c r="A493" t="s">
        <v>259</v>
      </c>
      <c r="B493">
        <v>30013</v>
      </c>
      <c r="C493" s="8">
        <v>45646</v>
      </c>
      <c r="D493" s="14">
        <v>311500</v>
      </c>
      <c r="E493" s="10">
        <v>2</v>
      </c>
      <c r="F493" t="s">
        <v>269</v>
      </c>
      <c r="G493" s="11">
        <v>6</v>
      </c>
      <c r="H493" t="s">
        <v>31</v>
      </c>
      <c r="J493" s="12">
        <v>0</v>
      </c>
      <c r="L493" t="s">
        <v>270</v>
      </c>
      <c r="M493" s="13">
        <v>668797</v>
      </c>
      <c r="N493" s="14">
        <v>95</v>
      </c>
      <c r="O493" s="14">
        <v>0</v>
      </c>
      <c r="P493" s="14">
        <v>1</v>
      </c>
      <c r="Q493" s="15">
        <v>0.1</v>
      </c>
      <c r="R493" s="12">
        <v>40723</v>
      </c>
      <c r="S493" s="12">
        <v>1</v>
      </c>
      <c r="T493" s="12">
        <v>0</v>
      </c>
      <c r="U493" s="12">
        <v>21700</v>
      </c>
      <c r="V493" s="12">
        <v>1</v>
      </c>
      <c r="W493" s="12">
        <v>10898</v>
      </c>
      <c r="X493">
        <v>1</v>
      </c>
      <c r="Y493">
        <v>1</v>
      </c>
      <c r="Z493" s="15">
        <v>0.14876432649106536</v>
      </c>
      <c r="AA493" t="str">
        <f t="shared" si="21"/>
        <v>3-LT</v>
      </c>
      <c r="AB493" s="9">
        <f t="shared" si="22"/>
        <v>66879.7</v>
      </c>
      <c r="AC493" s="9">
        <f t="shared" si="23"/>
        <v>99493.135264245037</v>
      </c>
    </row>
    <row r="494" spans="1:29" x14ac:dyDescent="0.25">
      <c r="A494" t="s">
        <v>259</v>
      </c>
      <c r="B494">
        <v>30013</v>
      </c>
      <c r="C494" s="8">
        <v>45649</v>
      </c>
      <c r="D494" s="14">
        <v>311500</v>
      </c>
      <c r="E494" s="10">
        <v>2</v>
      </c>
      <c r="F494" t="s">
        <v>271</v>
      </c>
      <c r="G494" s="11">
        <v>6</v>
      </c>
      <c r="H494" t="s">
        <v>31</v>
      </c>
      <c r="J494" s="12">
        <v>0</v>
      </c>
      <c r="L494" t="s">
        <v>266</v>
      </c>
      <c r="M494" s="13">
        <v>7100000</v>
      </c>
      <c r="N494" s="14">
        <v>60</v>
      </c>
      <c r="O494" s="14">
        <v>0</v>
      </c>
      <c r="P494" s="14">
        <v>1</v>
      </c>
      <c r="Q494" s="15">
        <v>0.1</v>
      </c>
      <c r="R494" s="12">
        <v>211048</v>
      </c>
      <c r="S494" s="12">
        <v>1</v>
      </c>
      <c r="T494" s="12">
        <v>276250</v>
      </c>
      <c r="U494" s="12">
        <v>82700</v>
      </c>
      <c r="V494" s="12">
        <v>1</v>
      </c>
      <c r="W494" s="12">
        <v>157541</v>
      </c>
      <c r="X494">
        <v>1</v>
      </c>
      <c r="Y494">
        <v>1</v>
      </c>
      <c r="Z494" s="15">
        <v>0.15637217373826504</v>
      </c>
      <c r="AA494" t="str">
        <f t="shared" si="21"/>
        <v>2-MT</v>
      </c>
      <c r="AB494" s="9">
        <f t="shared" si="22"/>
        <v>710000</v>
      </c>
      <c r="AC494" s="9">
        <f t="shared" si="23"/>
        <v>1110242.4335416819</v>
      </c>
    </row>
    <row r="495" spans="1:29" x14ac:dyDescent="0.25">
      <c r="A495" t="s">
        <v>259</v>
      </c>
      <c r="B495">
        <v>30013</v>
      </c>
      <c r="C495" s="8">
        <v>45650</v>
      </c>
      <c r="D495" s="14">
        <v>321600</v>
      </c>
      <c r="E495" s="10">
        <v>2</v>
      </c>
      <c r="F495" t="s">
        <v>271</v>
      </c>
      <c r="G495" s="11">
        <v>6</v>
      </c>
      <c r="H495" t="s">
        <v>31</v>
      </c>
      <c r="J495" s="12">
        <v>0</v>
      </c>
      <c r="L495" t="s">
        <v>266</v>
      </c>
      <c r="M495" s="13">
        <v>837080</v>
      </c>
      <c r="N495" s="14">
        <v>9</v>
      </c>
      <c r="O495" s="14">
        <v>0</v>
      </c>
      <c r="P495" s="14">
        <v>1</v>
      </c>
      <c r="Q495" s="15">
        <v>0.1</v>
      </c>
      <c r="R495" s="12">
        <v>9953</v>
      </c>
      <c r="S495" s="12">
        <v>1</v>
      </c>
      <c r="T495" s="12">
        <v>0</v>
      </c>
      <c r="U495" s="12">
        <v>21700</v>
      </c>
      <c r="V495" s="12">
        <v>1</v>
      </c>
      <c r="W495" s="12">
        <v>97677</v>
      </c>
      <c r="X495">
        <v>1</v>
      </c>
      <c r="Y495">
        <v>1</v>
      </c>
      <c r="Z495" s="15">
        <v>0.21444649654640069</v>
      </c>
      <c r="AA495" t="str">
        <f t="shared" si="21"/>
        <v>1-CT</v>
      </c>
      <c r="AB495" s="9">
        <f t="shared" si="22"/>
        <v>83708</v>
      </c>
      <c r="AC495" s="9">
        <f t="shared" si="23"/>
        <v>179508.87332906108</v>
      </c>
    </row>
    <row r="496" spans="1:29" x14ac:dyDescent="0.25">
      <c r="A496" t="s">
        <v>272</v>
      </c>
      <c r="B496">
        <v>30008</v>
      </c>
      <c r="C496" s="8">
        <v>45566</v>
      </c>
      <c r="D496">
        <v>326186</v>
      </c>
      <c r="E496" s="14">
        <v>2</v>
      </c>
      <c r="F496" t="s">
        <v>273</v>
      </c>
      <c r="G496" s="14">
        <v>6</v>
      </c>
      <c r="H496" t="s">
        <v>274</v>
      </c>
      <c r="I496" t="s">
        <v>275</v>
      </c>
      <c r="J496" s="16"/>
      <c r="K496"/>
      <c r="L496" t="s">
        <v>276</v>
      </c>
      <c r="M496" s="12">
        <v>2100000</v>
      </c>
      <c r="N496" s="14">
        <v>24</v>
      </c>
      <c r="O496" s="14">
        <v>0</v>
      </c>
      <c r="P496" s="14">
        <v>1</v>
      </c>
      <c r="Q496" s="17">
        <v>0.12</v>
      </c>
      <c r="R496" s="18">
        <v>118900</v>
      </c>
      <c r="S496">
        <v>1</v>
      </c>
      <c r="T496" s="18">
        <v>35210</v>
      </c>
      <c r="U496" s="18">
        <f t="shared" ref="U496:U518" si="24">M496*(1.05/100)</f>
        <v>22050</v>
      </c>
      <c r="V496">
        <v>1</v>
      </c>
      <c r="W496" s="18">
        <v>101289</v>
      </c>
      <c r="X496">
        <v>1</v>
      </c>
      <c r="Y496">
        <v>1</v>
      </c>
      <c r="Z496" s="17">
        <v>0.23555269193792161</v>
      </c>
      <c r="AA496" t="str">
        <f t="shared" si="21"/>
        <v>1-CT</v>
      </c>
      <c r="AB496" s="9">
        <f t="shared" si="22"/>
        <v>252000</v>
      </c>
      <c r="AC496" s="9">
        <f t="shared" si="23"/>
        <v>494660.65306963539</v>
      </c>
    </row>
    <row r="497" spans="1:29" x14ac:dyDescent="0.25">
      <c r="A497" t="s">
        <v>272</v>
      </c>
      <c r="B497">
        <v>30008</v>
      </c>
      <c r="C497" s="8">
        <v>45566</v>
      </c>
      <c r="D497">
        <v>326186</v>
      </c>
      <c r="E497" s="14">
        <v>2</v>
      </c>
      <c r="F497" t="s">
        <v>277</v>
      </c>
      <c r="G497" s="14">
        <v>6</v>
      </c>
      <c r="H497" t="s">
        <v>278</v>
      </c>
      <c r="I497" t="s">
        <v>279</v>
      </c>
      <c r="J497" s="16"/>
      <c r="K497"/>
      <c r="L497" t="s">
        <v>276</v>
      </c>
      <c r="M497" s="12">
        <v>1500000</v>
      </c>
      <c r="N497" s="14">
        <v>24</v>
      </c>
      <c r="O497" s="14">
        <v>0</v>
      </c>
      <c r="P497" s="14">
        <v>1</v>
      </c>
      <c r="Q497" s="17">
        <v>0.12</v>
      </c>
      <c r="R497" s="18">
        <v>89175</v>
      </c>
      <c r="S497">
        <v>1</v>
      </c>
      <c r="T497" s="18">
        <v>28000</v>
      </c>
      <c r="U497" s="18">
        <f t="shared" si="24"/>
        <v>15750.000000000002</v>
      </c>
      <c r="V497">
        <v>1</v>
      </c>
      <c r="W497" s="18">
        <v>72333</v>
      </c>
      <c r="X497">
        <v>1</v>
      </c>
      <c r="Y497">
        <v>1</v>
      </c>
      <c r="Z497" s="17">
        <v>0.24079483906508062</v>
      </c>
      <c r="AA497" t="str">
        <f t="shared" si="21"/>
        <v>1-CT</v>
      </c>
      <c r="AB497" s="9">
        <f t="shared" si="22"/>
        <v>180000</v>
      </c>
      <c r="AC497" s="9">
        <f t="shared" si="23"/>
        <v>361192.25859762094</v>
      </c>
    </row>
    <row r="498" spans="1:29" x14ac:dyDescent="0.25">
      <c r="A498" t="s">
        <v>272</v>
      </c>
      <c r="B498">
        <v>30008</v>
      </c>
      <c r="C498" s="8">
        <v>45567</v>
      </c>
      <c r="D498">
        <v>316286</v>
      </c>
      <c r="E498" s="14">
        <v>2</v>
      </c>
      <c r="F498" t="s">
        <v>280</v>
      </c>
      <c r="G498" s="14">
        <v>6</v>
      </c>
      <c r="H498" t="s">
        <v>31</v>
      </c>
      <c r="I498" t="s">
        <v>281</v>
      </c>
      <c r="J498" s="16"/>
      <c r="K498">
        <v>15</v>
      </c>
      <c r="L498" t="s">
        <v>276</v>
      </c>
      <c r="M498" s="12">
        <v>5000000</v>
      </c>
      <c r="N498" s="14">
        <v>36</v>
      </c>
      <c r="O498" s="14">
        <v>0</v>
      </c>
      <c r="P498" s="14">
        <v>1</v>
      </c>
      <c r="Q498" s="17">
        <v>0.12</v>
      </c>
      <c r="R498" s="18">
        <v>178350</v>
      </c>
      <c r="S498">
        <v>1</v>
      </c>
      <c r="T498" s="18">
        <v>100000</v>
      </c>
      <c r="U498" s="18">
        <f t="shared" si="24"/>
        <v>52500</v>
      </c>
      <c r="V498">
        <v>1</v>
      </c>
      <c r="W498" s="18">
        <v>169840</v>
      </c>
      <c r="X498">
        <v>1</v>
      </c>
      <c r="Y498">
        <v>1</v>
      </c>
      <c r="Z498" s="17">
        <v>0.18442831091402706</v>
      </c>
      <c r="AA498" t="str">
        <f t="shared" si="21"/>
        <v>2-MT</v>
      </c>
      <c r="AB498" s="9">
        <f t="shared" si="22"/>
        <v>600000</v>
      </c>
      <c r="AC498" s="9">
        <f t="shared" si="23"/>
        <v>922141.55457013531</v>
      </c>
    </row>
    <row r="499" spans="1:29" x14ac:dyDescent="0.25">
      <c r="A499" t="s">
        <v>272</v>
      </c>
      <c r="B499">
        <v>30008</v>
      </c>
      <c r="C499" s="8">
        <v>45567</v>
      </c>
      <c r="D499">
        <v>316286</v>
      </c>
      <c r="E499" s="14">
        <v>2</v>
      </c>
      <c r="F499" t="s">
        <v>282</v>
      </c>
      <c r="G499" s="14">
        <v>6</v>
      </c>
      <c r="H499" t="s">
        <v>31</v>
      </c>
      <c r="I499" t="s">
        <v>283</v>
      </c>
      <c r="J499" s="16"/>
      <c r="K499"/>
      <c r="L499" t="s">
        <v>276</v>
      </c>
      <c r="M499" s="12">
        <v>7000000</v>
      </c>
      <c r="N499" s="14">
        <v>36</v>
      </c>
      <c r="O499" s="14">
        <v>0</v>
      </c>
      <c r="P499" s="14">
        <v>1</v>
      </c>
      <c r="Q499" s="17">
        <v>0.12</v>
      </c>
      <c r="R499" s="18">
        <v>178350</v>
      </c>
      <c r="S499">
        <v>1</v>
      </c>
      <c r="T499" s="18">
        <v>136000</v>
      </c>
      <c r="U499" s="18">
        <f t="shared" si="24"/>
        <v>73500</v>
      </c>
      <c r="V499">
        <v>1</v>
      </c>
      <c r="W499" s="18">
        <v>240853</v>
      </c>
      <c r="X499">
        <v>1</v>
      </c>
      <c r="Y499">
        <v>1</v>
      </c>
      <c r="Z499" s="17">
        <v>0.1854388987985181</v>
      </c>
      <c r="AA499" t="str">
        <f t="shared" si="21"/>
        <v>2-MT</v>
      </c>
      <c r="AB499" s="9">
        <f t="shared" si="22"/>
        <v>840000</v>
      </c>
      <c r="AC499" s="9">
        <f t="shared" si="23"/>
        <v>1298072.2915896268</v>
      </c>
    </row>
    <row r="500" spans="1:29" x14ac:dyDescent="0.25">
      <c r="A500" t="s">
        <v>272</v>
      </c>
      <c r="B500">
        <v>30008</v>
      </c>
      <c r="C500" s="8">
        <v>45567</v>
      </c>
      <c r="D500">
        <v>326186</v>
      </c>
      <c r="E500" s="14">
        <v>2</v>
      </c>
      <c r="F500" t="s">
        <v>284</v>
      </c>
      <c r="G500" s="14">
        <v>6</v>
      </c>
      <c r="H500" t="s">
        <v>31</v>
      </c>
      <c r="I500" t="s">
        <v>285</v>
      </c>
      <c r="J500" s="16"/>
      <c r="K500"/>
      <c r="L500" t="s">
        <v>276</v>
      </c>
      <c r="M500" s="12">
        <v>1500000</v>
      </c>
      <c r="N500" s="14">
        <v>12</v>
      </c>
      <c r="O500" s="14">
        <v>0</v>
      </c>
      <c r="P500" s="14">
        <v>1</v>
      </c>
      <c r="Q500" s="17">
        <v>0.11</v>
      </c>
      <c r="R500" s="18">
        <v>23780</v>
      </c>
      <c r="S500">
        <v>1</v>
      </c>
      <c r="T500" s="18">
        <v>19000</v>
      </c>
      <c r="U500" s="18">
        <f t="shared" si="24"/>
        <v>15750.000000000002</v>
      </c>
      <c r="V500">
        <v>1</v>
      </c>
      <c r="W500" s="18">
        <v>134165</v>
      </c>
      <c r="X500">
        <v>1</v>
      </c>
      <c r="Y500">
        <v>1</v>
      </c>
      <c r="Z500" s="17">
        <v>0.20919461545941448</v>
      </c>
      <c r="AA500" t="str">
        <f t="shared" si="21"/>
        <v>1-CT</v>
      </c>
      <c r="AB500" s="9">
        <f t="shared" si="22"/>
        <v>165000</v>
      </c>
      <c r="AC500" s="9">
        <f t="shared" si="23"/>
        <v>313791.92318912171</v>
      </c>
    </row>
    <row r="501" spans="1:29" x14ac:dyDescent="0.25">
      <c r="A501" t="s">
        <v>272</v>
      </c>
      <c r="B501">
        <v>30008</v>
      </c>
      <c r="C501" s="8">
        <v>45567</v>
      </c>
      <c r="D501">
        <v>326186</v>
      </c>
      <c r="E501" s="14">
        <v>2</v>
      </c>
      <c r="F501" t="s">
        <v>286</v>
      </c>
      <c r="G501" s="14">
        <v>6</v>
      </c>
      <c r="H501" t="s">
        <v>31</v>
      </c>
      <c r="I501" t="s">
        <v>287</v>
      </c>
      <c r="J501" s="16"/>
      <c r="K501"/>
      <c r="L501" t="s">
        <v>276</v>
      </c>
      <c r="M501" s="12">
        <v>1900000</v>
      </c>
      <c r="N501" s="14">
        <v>12</v>
      </c>
      <c r="O501" s="14">
        <v>0</v>
      </c>
      <c r="P501" s="14">
        <v>1</v>
      </c>
      <c r="Q501" s="17">
        <v>0.11</v>
      </c>
      <c r="R501" s="18">
        <v>23780</v>
      </c>
      <c r="S501">
        <v>1</v>
      </c>
      <c r="T501" s="18">
        <v>21400</v>
      </c>
      <c r="U501" s="18">
        <f t="shared" si="24"/>
        <v>19950</v>
      </c>
      <c r="V501">
        <v>1</v>
      </c>
      <c r="W501" s="18">
        <v>169944</v>
      </c>
      <c r="X501">
        <v>1</v>
      </c>
      <c r="Y501">
        <v>1</v>
      </c>
      <c r="Z501" s="17">
        <v>0.19967799788259458</v>
      </c>
      <c r="AA501" t="str">
        <f t="shared" si="21"/>
        <v>1-CT</v>
      </c>
      <c r="AB501" s="9">
        <f t="shared" si="22"/>
        <v>209000</v>
      </c>
      <c r="AC501" s="9">
        <f t="shared" si="23"/>
        <v>379388.19597692968</v>
      </c>
    </row>
    <row r="502" spans="1:29" x14ac:dyDescent="0.25">
      <c r="A502" t="s">
        <v>272</v>
      </c>
      <c r="B502">
        <v>30008</v>
      </c>
      <c r="C502" s="8">
        <v>45567</v>
      </c>
      <c r="D502">
        <v>326186</v>
      </c>
      <c r="E502" s="14">
        <v>2</v>
      </c>
      <c r="F502" t="s">
        <v>288</v>
      </c>
      <c r="G502" s="14">
        <v>6</v>
      </c>
      <c r="H502" t="s">
        <v>31</v>
      </c>
      <c r="I502" t="s">
        <v>289</v>
      </c>
      <c r="J502" s="16"/>
      <c r="K502"/>
      <c r="L502" t="s">
        <v>276</v>
      </c>
      <c r="M502" s="12">
        <v>900000</v>
      </c>
      <c r="N502" s="14">
        <v>12</v>
      </c>
      <c r="O502" s="14">
        <v>0</v>
      </c>
      <c r="P502" s="14">
        <v>1</v>
      </c>
      <c r="Q502" s="17">
        <v>0.11</v>
      </c>
      <c r="R502" s="18">
        <v>23780</v>
      </c>
      <c r="S502">
        <v>1</v>
      </c>
      <c r="T502" s="18">
        <v>14950</v>
      </c>
      <c r="U502" s="18">
        <f t="shared" si="24"/>
        <v>9450</v>
      </c>
      <c r="V502">
        <v>1</v>
      </c>
      <c r="W502" s="18">
        <v>80483</v>
      </c>
      <c r="X502">
        <v>1</v>
      </c>
      <c r="Y502">
        <v>1</v>
      </c>
      <c r="Z502" s="17">
        <v>0.23842880305634923</v>
      </c>
      <c r="AA502" t="str">
        <f t="shared" si="21"/>
        <v>1-CT</v>
      </c>
      <c r="AB502" s="9">
        <f t="shared" si="22"/>
        <v>99000</v>
      </c>
      <c r="AC502" s="9">
        <f t="shared" si="23"/>
        <v>214585.92275071429</v>
      </c>
    </row>
    <row r="503" spans="1:29" x14ac:dyDescent="0.25">
      <c r="A503" t="s">
        <v>272</v>
      </c>
      <c r="B503">
        <v>30008</v>
      </c>
      <c r="C503" s="8">
        <v>45567</v>
      </c>
      <c r="D503">
        <v>326186</v>
      </c>
      <c r="E503" s="14">
        <v>2</v>
      </c>
      <c r="F503" t="s">
        <v>290</v>
      </c>
      <c r="G503" s="14">
        <v>6</v>
      </c>
      <c r="H503" t="s">
        <v>31</v>
      </c>
      <c r="I503" t="s">
        <v>291</v>
      </c>
      <c r="J503" s="16"/>
      <c r="K503"/>
      <c r="L503" t="s">
        <v>276</v>
      </c>
      <c r="M503" s="12">
        <v>1850000</v>
      </c>
      <c r="N503" s="14">
        <v>12</v>
      </c>
      <c r="O503" s="14">
        <v>0</v>
      </c>
      <c r="P503" s="14">
        <v>1</v>
      </c>
      <c r="Q503" s="17">
        <v>0.11</v>
      </c>
      <c r="R503" s="18">
        <v>23780</v>
      </c>
      <c r="S503">
        <v>1</v>
      </c>
      <c r="T503" s="18">
        <v>25000</v>
      </c>
      <c r="U503" s="18">
        <f t="shared" si="24"/>
        <v>19425</v>
      </c>
      <c r="V503">
        <v>1</v>
      </c>
      <c r="W503" s="18">
        <v>165472</v>
      </c>
      <c r="X503">
        <v>1</v>
      </c>
      <c r="Y503">
        <v>1</v>
      </c>
      <c r="Z503" s="17">
        <v>0.20487844939019917</v>
      </c>
      <c r="AA503" t="str">
        <f t="shared" si="21"/>
        <v>1-CT</v>
      </c>
      <c r="AB503" s="9">
        <f t="shared" si="22"/>
        <v>203500</v>
      </c>
      <c r="AC503" s="9">
        <f t="shared" si="23"/>
        <v>379025.13137186848</v>
      </c>
    </row>
    <row r="504" spans="1:29" x14ac:dyDescent="0.25">
      <c r="A504" t="s">
        <v>272</v>
      </c>
      <c r="B504">
        <v>30008</v>
      </c>
      <c r="C504" s="8">
        <v>45568</v>
      </c>
      <c r="D504">
        <v>316286</v>
      </c>
      <c r="E504" s="14">
        <v>2</v>
      </c>
      <c r="F504" t="s">
        <v>292</v>
      </c>
      <c r="G504" s="14">
        <v>6</v>
      </c>
      <c r="H504" t="s">
        <v>31</v>
      </c>
      <c r="I504" t="s">
        <v>285</v>
      </c>
      <c r="J504" s="16"/>
      <c r="K504"/>
      <c r="L504" t="s">
        <v>276</v>
      </c>
      <c r="M504" s="12">
        <v>8000000</v>
      </c>
      <c r="N504" s="14">
        <v>48</v>
      </c>
      <c r="O504" s="14">
        <v>0</v>
      </c>
      <c r="P504" s="14">
        <v>1</v>
      </c>
      <c r="Q504" s="17">
        <v>0.11</v>
      </c>
      <c r="R504" s="18">
        <v>178350</v>
      </c>
      <c r="S504">
        <v>1</v>
      </c>
      <c r="T504" s="18">
        <v>85800</v>
      </c>
      <c r="U504" s="18">
        <f t="shared" si="24"/>
        <v>84000</v>
      </c>
      <c r="V504">
        <v>1</v>
      </c>
      <c r="W504" s="18">
        <v>219170</v>
      </c>
      <c r="X504">
        <v>1</v>
      </c>
      <c r="Y504">
        <v>1</v>
      </c>
      <c r="Z504" s="17">
        <v>0.16588809813341188</v>
      </c>
      <c r="AA504" t="str">
        <f t="shared" si="21"/>
        <v>2-MT</v>
      </c>
      <c r="AB504" s="9">
        <f t="shared" si="22"/>
        <v>880000</v>
      </c>
      <c r="AC504" s="9">
        <f t="shared" si="23"/>
        <v>1327104.785067295</v>
      </c>
    </row>
    <row r="505" spans="1:29" x14ac:dyDescent="0.25">
      <c r="A505" t="s">
        <v>272</v>
      </c>
      <c r="B505">
        <v>30008</v>
      </c>
      <c r="C505" s="8">
        <v>45568</v>
      </c>
      <c r="D505">
        <v>316286</v>
      </c>
      <c r="E505" s="14">
        <v>2</v>
      </c>
      <c r="F505" t="s">
        <v>293</v>
      </c>
      <c r="G505" s="14">
        <v>6</v>
      </c>
      <c r="H505" t="s">
        <v>31</v>
      </c>
      <c r="I505" t="s">
        <v>294</v>
      </c>
      <c r="J505" s="16"/>
      <c r="K505"/>
      <c r="L505" t="s">
        <v>295</v>
      </c>
      <c r="M505" s="12">
        <v>300000000</v>
      </c>
      <c r="N505" s="14">
        <v>36</v>
      </c>
      <c r="O505" s="14">
        <v>0</v>
      </c>
      <c r="P505" s="14">
        <v>1</v>
      </c>
      <c r="Q505" s="17">
        <v>0.08</v>
      </c>
      <c r="R505" s="18">
        <v>3567000</v>
      </c>
      <c r="S505">
        <v>1</v>
      </c>
      <c r="T505" s="18"/>
      <c r="U505" s="18">
        <f t="shared" si="24"/>
        <v>3150000</v>
      </c>
      <c r="V505">
        <v>1</v>
      </c>
      <c r="W505" s="18">
        <v>9815989</v>
      </c>
      <c r="X505">
        <v>1</v>
      </c>
      <c r="Y505">
        <v>1</v>
      </c>
      <c r="Z505" s="17">
        <v>0.12532762199571815</v>
      </c>
      <c r="AA505" t="str">
        <f t="shared" si="21"/>
        <v>2-MT</v>
      </c>
      <c r="AB505" s="9">
        <f t="shared" si="22"/>
        <v>24000000</v>
      </c>
      <c r="AC505" s="9">
        <f t="shared" si="23"/>
        <v>37598286.598715447</v>
      </c>
    </row>
    <row r="506" spans="1:29" x14ac:dyDescent="0.25">
      <c r="A506" t="s">
        <v>272</v>
      </c>
      <c r="B506">
        <v>30008</v>
      </c>
      <c r="C506" s="8">
        <v>45568</v>
      </c>
      <c r="D506">
        <v>316286</v>
      </c>
      <c r="E506" s="14">
        <v>2</v>
      </c>
      <c r="F506" t="s">
        <v>296</v>
      </c>
      <c r="G506" s="14">
        <v>6</v>
      </c>
      <c r="H506" t="s">
        <v>31</v>
      </c>
      <c r="I506" t="s">
        <v>287</v>
      </c>
      <c r="J506" s="16"/>
      <c r="K506"/>
      <c r="L506" t="s">
        <v>276</v>
      </c>
      <c r="M506" s="12">
        <v>3000000</v>
      </c>
      <c r="N506" s="14">
        <v>36</v>
      </c>
      <c r="O506" s="14">
        <v>0</v>
      </c>
      <c r="P506" s="14">
        <v>1</v>
      </c>
      <c r="Q506" s="17">
        <v>0.12</v>
      </c>
      <c r="R506" s="18">
        <v>112955</v>
      </c>
      <c r="S506">
        <v>1</v>
      </c>
      <c r="T506" s="18">
        <v>64000</v>
      </c>
      <c r="U506" s="18">
        <f t="shared" si="24"/>
        <v>31500.000000000004</v>
      </c>
      <c r="V506">
        <v>1</v>
      </c>
      <c r="W506" s="18">
        <v>103195</v>
      </c>
      <c r="X506">
        <v>1</v>
      </c>
      <c r="Y506">
        <v>1</v>
      </c>
      <c r="Z506" s="17">
        <v>0.19613578619456207</v>
      </c>
      <c r="AA506" t="str">
        <f t="shared" si="21"/>
        <v>2-MT</v>
      </c>
      <c r="AB506" s="9">
        <f t="shared" si="22"/>
        <v>360000</v>
      </c>
      <c r="AC506" s="9">
        <f t="shared" si="23"/>
        <v>588407.35858368617</v>
      </c>
    </row>
    <row r="507" spans="1:29" x14ac:dyDescent="0.25">
      <c r="A507" t="s">
        <v>272</v>
      </c>
      <c r="B507">
        <v>30008</v>
      </c>
      <c r="C507" s="8">
        <v>45568</v>
      </c>
      <c r="D507">
        <v>326186</v>
      </c>
      <c r="E507" s="14">
        <v>2</v>
      </c>
      <c r="F507" t="s">
        <v>297</v>
      </c>
      <c r="G507" s="14">
        <v>6</v>
      </c>
      <c r="H507" t="s">
        <v>31</v>
      </c>
      <c r="I507" t="s">
        <v>298</v>
      </c>
      <c r="J507" s="16"/>
      <c r="K507"/>
      <c r="L507" t="s">
        <v>276</v>
      </c>
      <c r="M507" s="12">
        <v>1300000</v>
      </c>
      <c r="N507" s="14">
        <v>24</v>
      </c>
      <c r="O507" s="14">
        <v>0</v>
      </c>
      <c r="P507" s="14">
        <v>1</v>
      </c>
      <c r="Q507" s="17">
        <v>0.12</v>
      </c>
      <c r="R507" s="18">
        <v>59450</v>
      </c>
      <c r="S507">
        <v>1</v>
      </c>
      <c r="T507" s="18">
        <v>25600</v>
      </c>
      <c r="U507" s="18">
        <f t="shared" si="24"/>
        <v>13650</v>
      </c>
      <c r="V507">
        <v>1</v>
      </c>
      <c r="W507" s="18">
        <v>62718</v>
      </c>
      <c r="X507">
        <v>1</v>
      </c>
      <c r="Y507">
        <v>1</v>
      </c>
      <c r="Z507" s="17">
        <v>0.22667633171613472</v>
      </c>
      <c r="AA507" t="str">
        <f t="shared" si="21"/>
        <v>1-CT</v>
      </c>
      <c r="AB507" s="9">
        <f t="shared" si="22"/>
        <v>156000</v>
      </c>
      <c r="AC507" s="9">
        <f t="shared" si="23"/>
        <v>294679.23123097513</v>
      </c>
    </row>
    <row r="508" spans="1:29" x14ac:dyDescent="0.25">
      <c r="A508" t="s">
        <v>272</v>
      </c>
      <c r="B508">
        <v>30008</v>
      </c>
      <c r="C508" s="8">
        <v>45568</v>
      </c>
      <c r="D508">
        <v>326186</v>
      </c>
      <c r="E508" s="14">
        <v>2</v>
      </c>
      <c r="F508" t="s">
        <v>299</v>
      </c>
      <c r="G508" s="14">
        <v>6</v>
      </c>
      <c r="H508" t="s">
        <v>31</v>
      </c>
      <c r="I508" t="s">
        <v>291</v>
      </c>
      <c r="J508" s="16"/>
      <c r="K508"/>
      <c r="L508" t="s">
        <v>276</v>
      </c>
      <c r="M508" s="12">
        <v>2000000</v>
      </c>
      <c r="N508" s="14">
        <v>24</v>
      </c>
      <c r="O508" s="14">
        <v>0</v>
      </c>
      <c r="P508" s="14">
        <v>1</v>
      </c>
      <c r="Q508" s="17">
        <v>0.12</v>
      </c>
      <c r="R508" s="18">
        <v>118900</v>
      </c>
      <c r="S508">
        <v>1</v>
      </c>
      <c r="T508" s="18">
        <v>34000</v>
      </c>
      <c r="U508" s="18">
        <f t="shared" si="24"/>
        <v>21000</v>
      </c>
      <c r="V508">
        <v>1</v>
      </c>
      <c r="W508" s="18">
        <v>96450</v>
      </c>
      <c r="X508">
        <v>1</v>
      </c>
      <c r="Y508">
        <v>1</v>
      </c>
      <c r="Z508" s="17">
        <v>0.23892543251948162</v>
      </c>
      <c r="AA508" t="str">
        <f t="shared" si="21"/>
        <v>1-CT</v>
      </c>
      <c r="AB508" s="9">
        <f t="shared" si="22"/>
        <v>240000</v>
      </c>
      <c r="AC508" s="9">
        <f t="shared" si="23"/>
        <v>477850.86503896321</v>
      </c>
    </row>
    <row r="509" spans="1:29" x14ac:dyDescent="0.25">
      <c r="A509" t="s">
        <v>272</v>
      </c>
      <c r="B509">
        <v>30008</v>
      </c>
      <c r="C509" s="8">
        <v>45572</v>
      </c>
      <c r="D509">
        <v>326186</v>
      </c>
      <c r="E509" s="14">
        <v>2</v>
      </c>
      <c r="F509" t="s">
        <v>300</v>
      </c>
      <c r="G509" s="14">
        <v>6</v>
      </c>
      <c r="H509" t="s">
        <v>31</v>
      </c>
      <c r="I509" t="s">
        <v>287</v>
      </c>
      <c r="J509" s="16"/>
      <c r="K509"/>
      <c r="L509" t="s">
        <v>301</v>
      </c>
      <c r="M509" s="12">
        <v>1250000</v>
      </c>
      <c r="N509" s="14">
        <v>24</v>
      </c>
      <c r="O509" s="14">
        <v>0</v>
      </c>
      <c r="P509" s="14">
        <v>1</v>
      </c>
      <c r="Q509" s="17">
        <v>0.12</v>
      </c>
      <c r="R509" s="18">
        <v>71340</v>
      </c>
      <c r="S509">
        <v>1</v>
      </c>
      <c r="T509" s="18">
        <v>25000</v>
      </c>
      <c r="U509" s="18">
        <f t="shared" si="24"/>
        <v>13125</v>
      </c>
      <c r="V509">
        <v>1</v>
      </c>
      <c r="W509" s="18">
        <v>60281</v>
      </c>
      <c r="X509">
        <v>1</v>
      </c>
      <c r="Y509">
        <v>1</v>
      </c>
      <c r="Z509" s="17">
        <v>0.23964270888149072</v>
      </c>
      <c r="AA509" t="str">
        <f t="shared" si="21"/>
        <v>1-CT</v>
      </c>
      <c r="AB509" s="9">
        <f t="shared" si="22"/>
        <v>150000</v>
      </c>
      <c r="AC509" s="9">
        <f t="shared" si="23"/>
        <v>299553.38610186341</v>
      </c>
    </row>
    <row r="510" spans="1:29" x14ac:dyDescent="0.25">
      <c r="A510" t="s">
        <v>272</v>
      </c>
      <c r="B510">
        <v>30008</v>
      </c>
      <c r="C510" s="8">
        <v>45572</v>
      </c>
      <c r="D510">
        <v>326161</v>
      </c>
      <c r="E510" s="14">
        <v>2</v>
      </c>
      <c r="F510" t="s">
        <v>302</v>
      </c>
      <c r="G510" s="14">
        <v>6</v>
      </c>
      <c r="H510" t="s">
        <v>31</v>
      </c>
      <c r="I510" t="s">
        <v>291</v>
      </c>
      <c r="J510" s="16"/>
      <c r="K510"/>
      <c r="L510" t="s">
        <v>276</v>
      </c>
      <c r="M510" s="12">
        <v>1800000</v>
      </c>
      <c r="N510" s="14">
        <v>24</v>
      </c>
      <c r="O510" s="14">
        <v>0</v>
      </c>
      <c r="P510" s="14">
        <v>1</v>
      </c>
      <c r="Q510" s="17">
        <v>0.11</v>
      </c>
      <c r="R510" s="18">
        <v>118900</v>
      </c>
      <c r="S510">
        <v>1</v>
      </c>
      <c r="T510" s="18">
        <v>31600</v>
      </c>
      <c r="U510" s="18">
        <f t="shared" si="24"/>
        <v>18900</v>
      </c>
      <c r="V510">
        <v>1</v>
      </c>
      <c r="W510" s="18">
        <v>85778</v>
      </c>
      <c r="X510">
        <v>1</v>
      </c>
      <c r="Y510">
        <v>1</v>
      </c>
      <c r="Z510" s="17">
        <v>0.2346645657666887</v>
      </c>
      <c r="AA510" t="str">
        <f t="shared" si="21"/>
        <v>1-CT</v>
      </c>
      <c r="AB510" s="9">
        <f t="shared" si="22"/>
        <v>198000</v>
      </c>
      <c r="AC510" s="9">
        <f t="shared" si="23"/>
        <v>422396.21838003967</v>
      </c>
    </row>
    <row r="511" spans="1:29" x14ac:dyDescent="0.25">
      <c r="A511" t="s">
        <v>272</v>
      </c>
      <c r="B511">
        <v>30008</v>
      </c>
      <c r="C511" s="8">
        <v>45572</v>
      </c>
      <c r="D511">
        <v>323154</v>
      </c>
      <c r="E511" s="14">
        <v>5</v>
      </c>
      <c r="F511" t="s">
        <v>303</v>
      </c>
      <c r="G511" s="11" t="s">
        <v>205</v>
      </c>
      <c r="H511" t="s">
        <v>31</v>
      </c>
      <c r="I511" t="s">
        <v>291</v>
      </c>
      <c r="J511" s="19">
        <v>86372251</v>
      </c>
      <c r="K511">
        <v>20</v>
      </c>
      <c r="M511" s="12">
        <v>20000000</v>
      </c>
      <c r="N511" s="14">
        <v>12</v>
      </c>
      <c r="O511" s="14">
        <v>0</v>
      </c>
      <c r="P511" s="14">
        <v>1</v>
      </c>
      <c r="Q511" s="17">
        <v>0.12</v>
      </c>
      <c r="R511" s="18">
        <v>297250</v>
      </c>
      <c r="S511">
        <v>1</v>
      </c>
      <c r="T511" s="18"/>
      <c r="U511" s="18">
        <f t="shared" si="24"/>
        <v>210000</v>
      </c>
      <c r="V511">
        <v>1</v>
      </c>
      <c r="W511" s="18">
        <v>1793500</v>
      </c>
      <c r="X511">
        <v>1</v>
      </c>
      <c r="Y511">
        <v>1</v>
      </c>
      <c r="Z511" s="17">
        <v>0.18689736130568008</v>
      </c>
      <c r="AA511" t="str">
        <f t="shared" si="21"/>
        <v>1-CT</v>
      </c>
      <c r="AB511" s="9">
        <f t="shared" si="22"/>
        <v>2400000</v>
      </c>
      <c r="AC511" s="9">
        <f t="shared" si="23"/>
        <v>3737947.2261136016</v>
      </c>
    </row>
    <row r="512" spans="1:29" x14ac:dyDescent="0.25">
      <c r="A512" t="s">
        <v>272</v>
      </c>
      <c r="B512">
        <v>30008</v>
      </c>
      <c r="C512" s="8">
        <v>45574</v>
      </c>
      <c r="D512">
        <v>326186</v>
      </c>
      <c r="E512" s="14">
        <v>2</v>
      </c>
      <c r="F512" t="s">
        <v>304</v>
      </c>
      <c r="G512" s="14">
        <v>6</v>
      </c>
      <c r="H512" t="s">
        <v>31</v>
      </c>
      <c r="I512" t="s">
        <v>305</v>
      </c>
      <c r="J512" s="16"/>
      <c r="K512"/>
      <c r="L512" t="s">
        <v>276</v>
      </c>
      <c r="M512" s="12">
        <v>1100000</v>
      </c>
      <c r="N512" s="14">
        <v>12</v>
      </c>
      <c r="O512" s="14">
        <v>0</v>
      </c>
      <c r="P512" s="14">
        <v>1</v>
      </c>
      <c r="Q512" s="17">
        <v>0.11</v>
      </c>
      <c r="R512" s="18">
        <v>23780</v>
      </c>
      <c r="S512">
        <v>1</v>
      </c>
      <c r="T512" s="18">
        <v>16600</v>
      </c>
      <c r="U512" s="18">
        <f t="shared" si="24"/>
        <v>11550</v>
      </c>
      <c r="V512">
        <v>1</v>
      </c>
      <c r="W512" s="18">
        <v>98368</v>
      </c>
      <c r="X512">
        <v>1</v>
      </c>
      <c r="Y512">
        <v>1</v>
      </c>
      <c r="Z512" s="17">
        <v>0.22543867239688142</v>
      </c>
      <c r="AA512" t="str">
        <f t="shared" si="21"/>
        <v>1-CT</v>
      </c>
      <c r="AB512" s="9">
        <f t="shared" si="22"/>
        <v>121000</v>
      </c>
      <c r="AC512" s="9">
        <f t="shared" si="23"/>
        <v>247982.53963656956</v>
      </c>
    </row>
    <row r="513" spans="1:29" x14ac:dyDescent="0.25">
      <c r="A513" t="s">
        <v>272</v>
      </c>
      <c r="B513">
        <v>30008</v>
      </c>
      <c r="C513" s="8">
        <v>45575</v>
      </c>
      <c r="D513">
        <v>326186</v>
      </c>
      <c r="E513" s="14">
        <v>2</v>
      </c>
      <c r="F513" t="s">
        <v>306</v>
      </c>
      <c r="G513" s="14">
        <v>6</v>
      </c>
      <c r="H513" t="s">
        <v>31</v>
      </c>
      <c r="I513" t="s">
        <v>307</v>
      </c>
      <c r="J513" s="16"/>
      <c r="K513"/>
      <c r="L513" t="s">
        <v>301</v>
      </c>
      <c r="M513" s="12">
        <v>680000</v>
      </c>
      <c r="N513" s="14">
        <v>12</v>
      </c>
      <c r="O513" s="14">
        <v>0</v>
      </c>
      <c r="P513" s="14">
        <v>1</v>
      </c>
      <c r="Q513" s="17">
        <v>0.11</v>
      </c>
      <c r="R513" s="18">
        <v>23780</v>
      </c>
      <c r="S513">
        <v>1</v>
      </c>
      <c r="T513" s="18">
        <v>16600</v>
      </c>
      <c r="U513" s="18">
        <f t="shared" si="24"/>
        <v>7140</v>
      </c>
      <c r="V513">
        <v>1</v>
      </c>
      <c r="W513" s="18">
        <v>59276</v>
      </c>
      <c r="X513">
        <v>1</v>
      </c>
      <c r="Y513">
        <v>1</v>
      </c>
      <c r="Z513" s="17">
        <v>0.22260837706763145</v>
      </c>
      <c r="AA513" t="str">
        <f t="shared" si="21"/>
        <v>1-CT</v>
      </c>
      <c r="AB513" s="9">
        <f t="shared" si="22"/>
        <v>74800</v>
      </c>
      <c r="AC513" s="9">
        <f t="shared" si="23"/>
        <v>151373.69640598938</v>
      </c>
    </row>
    <row r="514" spans="1:29" x14ac:dyDescent="0.25">
      <c r="A514" t="s">
        <v>272</v>
      </c>
      <c r="B514">
        <v>30008</v>
      </c>
      <c r="C514" s="8">
        <v>45575</v>
      </c>
      <c r="D514">
        <v>326186</v>
      </c>
      <c r="E514" s="14">
        <v>2</v>
      </c>
      <c r="F514" t="s">
        <v>308</v>
      </c>
      <c r="G514" s="14">
        <v>6</v>
      </c>
      <c r="H514" t="s">
        <v>31</v>
      </c>
      <c r="I514" t="s">
        <v>309</v>
      </c>
      <c r="J514" s="16"/>
      <c r="K514"/>
      <c r="L514" t="s">
        <v>310</v>
      </c>
      <c r="M514" s="12">
        <v>2600000</v>
      </c>
      <c r="N514" s="14">
        <v>12</v>
      </c>
      <c r="O514" s="14">
        <v>0</v>
      </c>
      <c r="P514" s="14">
        <v>1</v>
      </c>
      <c r="Q514" s="17">
        <v>0.11</v>
      </c>
      <c r="R514" s="18">
        <v>23780</v>
      </c>
      <c r="S514">
        <v>1</v>
      </c>
      <c r="T514" s="18">
        <v>25600</v>
      </c>
      <c r="U514" s="18">
        <f t="shared" si="24"/>
        <v>27300</v>
      </c>
      <c r="V514">
        <v>1</v>
      </c>
      <c r="W514" s="18">
        <v>232505</v>
      </c>
      <c r="X514">
        <v>1</v>
      </c>
      <c r="Y514">
        <v>1</v>
      </c>
      <c r="Z514" s="17">
        <v>0.18970489682359115</v>
      </c>
      <c r="AA514" t="str">
        <f t="shared" si="21"/>
        <v>1-CT</v>
      </c>
      <c r="AB514" s="9">
        <f t="shared" si="22"/>
        <v>286000</v>
      </c>
      <c r="AC514" s="9">
        <f t="shared" si="23"/>
        <v>493232.73174133699</v>
      </c>
    </row>
    <row r="515" spans="1:29" x14ac:dyDescent="0.25">
      <c r="A515" t="s">
        <v>272</v>
      </c>
      <c r="B515">
        <v>30008</v>
      </c>
      <c r="C515" s="8">
        <v>45575</v>
      </c>
      <c r="D515">
        <v>326186</v>
      </c>
      <c r="E515" s="14">
        <v>2</v>
      </c>
      <c r="F515" t="s">
        <v>311</v>
      </c>
      <c r="G515" s="14">
        <v>6</v>
      </c>
      <c r="H515" t="s">
        <v>31</v>
      </c>
      <c r="I515" t="s">
        <v>312</v>
      </c>
      <c r="J515" s="16"/>
      <c r="K515"/>
      <c r="L515" t="s">
        <v>276</v>
      </c>
      <c r="M515" s="12">
        <v>1000000</v>
      </c>
      <c r="N515" s="14">
        <v>12</v>
      </c>
      <c r="O515" s="14">
        <v>0</v>
      </c>
      <c r="P515" s="14">
        <v>1</v>
      </c>
      <c r="Q515" s="17">
        <v>0.11</v>
      </c>
      <c r="R515" s="18">
        <v>23780</v>
      </c>
      <c r="S515">
        <v>1</v>
      </c>
      <c r="T515" s="18">
        <v>16000</v>
      </c>
      <c r="U515" s="18">
        <f t="shared" si="24"/>
        <v>10500</v>
      </c>
      <c r="V515">
        <v>1</v>
      </c>
      <c r="W515" s="18">
        <v>89425</v>
      </c>
      <c r="X515">
        <v>1</v>
      </c>
      <c r="Y515">
        <v>1</v>
      </c>
      <c r="Z515" s="17">
        <v>0.2317196145031887</v>
      </c>
      <c r="AA515" t="str">
        <f t="shared" ref="AA515:AA578" si="25">IF(N515&lt;=24,"1-CT",IF(N515&gt;60,"3-LT","2-MT"))</f>
        <v>1-CT</v>
      </c>
      <c r="AB515" s="9">
        <f t="shared" ref="AB515:AB578" si="26">Q515*M515</f>
        <v>110000</v>
      </c>
      <c r="AC515" s="9">
        <f t="shared" ref="AC515:AC578" si="27">Z515*M515</f>
        <v>231719.6145031887</v>
      </c>
    </row>
    <row r="516" spans="1:29" x14ac:dyDescent="0.25">
      <c r="A516" t="s">
        <v>272</v>
      </c>
      <c r="B516">
        <v>30008</v>
      </c>
      <c r="C516" s="8">
        <v>45575</v>
      </c>
      <c r="D516">
        <v>326186</v>
      </c>
      <c r="E516" s="14">
        <v>2</v>
      </c>
      <c r="F516" t="s">
        <v>313</v>
      </c>
      <c r="G516" s="14">
        <v>6</v>
      </c>
      <c r="H516" t="s">
        <v>31</v>
      </c>
      <c r="I516" t="s">
        <v>283</v>
      </c>
      <c r="J516" s="16"/>
      <c r="K516"/>
      <c r="L516" t="s">
        <v>276</v>
      </c>
      <c r="M516" s="12">
        <v>2000000</v>
      </c>
      <c r="N516" s="14">
        <v>12</v>
      </c>
      <c r="O516" s="14">
        <v>0</v>
      </c>
      <c r="P516" s="14">
        <v>1</v>
      </c>
      <c r="Q516" s="17">
        <v>0.11</v>
      </c>
      <c r="R516" s="18">
        <v>23780</v>
      </c>
      <c r="S516">
        <v>1</v>
      </c>
      <c r="T516" s="18">
        <v>17800</v>
      </c>
      <c r="U516" s="18">
        <f t="shared" si="24"/>
        <v>21000</v>
      </c>
      <c r="V516">
        <v>1</v>
      </c>
      <c r="W516" s="18">
        <v>178847</v>
      </c>
      <c r="X516">
        <v>1</v>
      </c>
      <c r="Y516">
        <v>1</v>
      </c>
      <c r="Z516" s="17">
        <v>0.19325383171830718</v>
      </c>
      <c r="AA516" t="str">
        <f t="shared" si="25"/>
        <v>1-CT</v>
      </c>
      <c r="AB516" s="9">
        <f t="shared" si="26"/>
        <v>220000</v>
      </c>
      <c r="AC516" s="9">
        <f t="shared" si="27"/>
        <v>386507.66343661438</v>
      </c>
    </row>
    <row r="517" spans="1:29" x14ac:dyDescent="0.25">
      <c r="A517" t="s">
        <v>272</v>
      </c>
      <c r="B517">
        <v>30008</v>
      </c>
      <c r="C517" s="8">
        <v>45575</v>
      </c>
      <c r="D517">
        <v>326186</v>
      </c>
      <c r="E517" s="14">
        <v>2</v>
      </c>
      <c r="F517" t="s">
        <v>314</v>
      </c>
      <c r="G517" s="14">
        <v>6</v>
      </c>
      <c r="H517" t="s">
        <v>31</v>
      </c>
      <c r="I517" t="s">
        <v>287</v>
      </c>
      <c r="J517" s="16"/>
      <c r="K517"/>
      <c r="L517" t="s">
        <v>276</v>
      </c>
      <c r="M517" s="12">
        <v>5000000</v>
      </c>
      <c r="N517" s="14">
        <v>12</v>
      </c>
      <c r="O517" s="14">
        <v>0</v>
      </c>
      <c r="P517" s="14">
        <v>1</v>
      </c>
      <c r="Q517" s="17">
        <v>0.11</v>
      </c>
      <c r="R517" s="18">
        <v>23780</v>
      </c>
      <c r="S517">
        <v>1</v>
      </c>
      <c r="T517" s="18">
        <v>37000</v>
      </c>
      <c r="U517" s="18">
        <f t="shared" si="24"/>
        <v>52500</v>
      </c>
      <c r="V517">
        <v>1</v>
      </c>
      <c r="W517" s="18">
        <v>447126</v>
      </c>
      <c r="X517">
        <v>1</v>
      </c>
      <c r="Y517">
        <v>1</v>
      </c>
      <c r="Z517" s="17">
        <v>0.17617770165659052</v>
      </c>
      <c r="AA517" t="str">
        <f t="shared" si="25"/>
        <v>1-CT</v>
      </c>
      <c r="AB517" s="9">
        <f t="shared" si="26"/>
        <v>550000</v>
      </c>
      <c r="AC517" s="9">
        <f t="shared" si="27"/>
        <v>880888.50828295259</v>
      </c>
    </row>
    <row r="518" spans="1:29" x14ac:dyDescent="0.25">
      <c r="A518" t="s">
        <v>272</v>
      </c>
      <c r="B518">
        <v>30008</v>
      </c>
      <c r="C518" s="8">
        <v>45575</v>
      </c>
      <c r="D518">
        <v>326186</v>
      </c>
      <c r="E518" s="14">
        <v>2</v>
      </c>
      <c r="F518" t="s">
        <v>315</v>
      </c>
      <c r="G518" s="14">
        <v>6</v>
      </c>
      <c r="H518" t="s">
        <v>31</v>
      </c>
      <c r="I518" t="s">
        <v>291</v>
      </c>
      <c r="J518" s="16"/>
      <c r="K518"/>
      <c r="L518" t="s">
        <v>316</v>
      </c>
      <c r="M518" s="12">
        <v>4000000</v>
      </c>
      <c r="N518" s="14">
        <v>12</v>
      </c>
      <c r="O518" s="14">
        <v>0</v>
      </c>
      <c r="P518" s="14">
        <v>1</v>
      </c>
      <c r="Q518" s="17">
        <v>0.11</v>
      </c>
      <c r="R518" s="18">
        <v>23780</v>
      </c>
      <c r="S518">
        <v>1</v>
      </c>
      <c r="T518" s="18">
        <v>34000</v>
      </c>
      <c r="U518" s="18">
        <f t="shared" si="24"/>
        <v>42000</v>
      </c>
      <c r="V518">
        <v>1</v>
      </c>
      <c r="W518" s="18">
        <v>357701</v>
      </c>
      <c r="X518">
        <v>1</v>
      </c>
      <c r="Y518">
        <v>1</v>
      </c>
      <c r="Z518" s="17">
        <v>0.18069414782934021</v>
      </c>
      <c r="AA518" t="str">
        <f t="shared" si="25"/>
        <v>1-CT</v>
      </c>
      <c r="AB518" s="9">
        <f t="shared" si="26"/>
        <v>440000</v>
      </c>
      <c r="AC518" s="9">
        <f t="shared" si="27"/>
        <v>722776.59131736087</v>
      </c>
    </row>
    <row r="519" spans="1:29" x14ac:dyDescent="0.25">
      <c r="A519" t="s">
        <v>272</v>
      </c>
      <c r="B519">
        <v>30008</v>
      </c>
      <c r="C519" s="8">
        <v>45575</v>
      </c>
      <c r="D519">
        <v>326186</v>
      </c>
      <c r="E519" s="14">
        <v>2</v>
      </c>
      <c r="F519" t="s">
        <v>317</v>
      </c>
      <c r="G519" s="14">
        <v>6</v>
      </c>
      <c r="H519" t="s">
        <v>31</v>
      </c>
      <c r="I519" t="s">
        <v>287</v>
      </c>
      <c r="J519" s="16"/>
      <c r="K519"/>
      <c r="L519" t="s">
        <v>276</v>
      </c>
      <c r="M519" s="12">
        <v>1500000</v>
      </c>
      <c r="N519" s="14">
        <v>12</v>
      </c>
      <c r="O519" s="14">
        <v>0</v>
      </c>
      <c r="P519" s="14">
        <v>1</v>
      </c>
      <c r="Q519" s="17">
        <v>0.11</v>
      </c>
      <c r="R519" s="18">
        <v>23780</v>
      </c>
      <c r="S519">
        <v>1</v>
      </c>
      <c r="T519" s="18">
        <v>22700</v>
      </c>
      <c r="U519" s="18">
        <v>15750.000000000002</v>
      </c>
      <c r="V519">
        <v>1</v>
      </c>
      <c r="W519" s="18">
        <v>134139</v>
      </c>
      <c r="X519">
        <v>1</v>
      </c>
      <c r="Y519">
        <v>1</v>
      </c>
      <c r="Z519" s="17">
        <v>0.21380659659158591</v>
      </c>
      <c r="AA519" t="str">
        <f t="shared" si="25"/>
        <v>1-CT</v>
      </c>
      <c r="AB519" s="9">
        <f t="shared" si="26"/>
        <v>165000</v>
      </c>
      <c r="AC519" s="9">
        <f t="shared" si="27"/>
        <v>320709.89488737885</v>
      </c>
    </row>
    <row r="520" spans="1:29" x14ac:dyDescent="0.25">
      <c r="A520" t="s">
        <v>272</v>
      </c>
      <c r="B520">
        <v>30008</v>
      </c>
      <c r="C520" s="8">
        <v>45575</v>
      </c>
      <c r="D520">
        <v>326186</v>
      </c>
      <c r="E520" s="14">
        <v>2</v>
      </c>
      <c r="F520" t="s">
        <v>318</v>
      </c>
      <c r="G520" s="14">
        <v>6</v>
      </c>
      <c r="H520" t="s">
        <v>31</v>
      </c>
      <c r="I520" t="s">
        <v>319</v>
      </c>
      <c r="J520" s="16"/>
      <c r="K520"/>
      <c r="L520" t="s">
        <v>276</v>
      </c>
      <c r="M520" s="12">
        <v>1000000</v>
      </c>
      <c r="N520" s="14">
        <v>12</v>
      </c>
      <c r="O520" s="14">
        <v>0</v>
      </c>
      <c r="P520" s="14">
        <v>1</v>
      </c>
      <c r="Q520" s="17">
        <v>0.11</v>
      </c>
      <c r="R520" s="18">
        <v>23780</v>
      </c>
      <c r="S520">
        <v>1</v>
      </c>
      <c r="T520" s="18">
        <v>16000</v>
      </c>
      <c r="U520" s="18">
        <f t="shared" ref="U520:U583" si="28">M520*(1.05/100)</f>
        <v>10500</v>
      </c>
      <c r="V520">
        <v>1</v>
      </c>
      <c r="W520" s="18">
        <v>89425</v>
      </c>
      <c r="X520">
        <v>1</v>
      </c>
      <c r="Y520">
        <v>1</v>
      </c>
      <c r="Z520" s="17">
        <v>0.2317196145031887</v>
      </c>
      <c r="AA520" t="str">
        <f t="shared" si="25"/>
        <v>1-CT</v>
      </c>
      <c r="AB520" s="9">
        <f t="shared" si="26"/>
        <v>110000</v>
      </c>
      <c r="AC520" s="9">
        <f t="shared" si="27"/>
        <v>231719.6145031887</v>
      </c>
    </row>
    <row r="521" spans="1:29" x14ac:dyDescent="0.25">
      <c r="A521" t="s">
        <v>272</v>
      </c>
      <c r="B521">
        <v>30008</v>
      </c>
      <c r="C521" s="8">
        <v>45575</v>
      </c>
      <c r="D521">
        <v>326186</v>
      </c>
      <c r="E521" s="14">
        <v>2</v>
      </c>
      <c r="F521" t="s">
        <v>320</v>
      </c>
      <c r="G521" s="14">
        <v>6</v>
      </c>
      <c r="H521" t="s">
        <v>31</v>
      </c>
      <c r="I521" t="s">
        <v>321</v>
      </c>
      <c r="J521" s="16"/>
      <c r="K521"/>
      <c r="L521" t="s">
        <v>322</v>
      </c>
      <c r="M521" s="12">
        <v>12000000</v>
      </c>
      <c r="N521" s="14">
        <v>24</v>
      </c>
      <c r="O521" s="14">
        <v>0</v>
      </c>
      <c r="P521" s="14">
        <v>1</v>
      </c>
      <c r="Q521" s="17">
        <v>0.12</v>
      </c>
      <c r="R521" s="18">
        <v>237800</v>
      </c>
      <c r="S521">
        <v>1</v>
      </c>
      <c r="T521" s="18">
        <v>159000</v>
      </c>
      <c r="U521" s="18">
        <f t="shared" si="28"/>
        <v>126000.00000000001</v>
      </c>
      <c r="V521">
        <v>1</v>
      </c>
      <c r="W521" s="18">
        <v>578713</v>
      </c>
      <c r="X521">
        <v>1</v>
      </c>
      <c r="Y521">
        <v>1</v>
      </c>
      <c r="Z521" s="17">
        <v>0.19029268147905454</v>
      </c>
      <c r="AA521" t="str">
        <f t="shared" si="25"/>
        <v>1-CT</v>
      </c>
      <c r="AB521" s="9">
        <f t="shared" si="26"/>
        <v>1440000</v>
      </c>
      <c r="AC521" s="9">
        <f t="shared" si="27"/>
        <v>2283512.1777486545</v>
      </c>
    </row>
    <row r="522" spans="1:29" x14ac:dyDescent="0.25">
      <c r="A522" t="s">
        <v>272</v>
      </c>
      <c r="B522">
        <v>30008</v>
      </c>
      <c r="C522" s="8">
        <v>45575</v>
      </c>
      <c r="D522">
        <v>326186</v>
      </c>
      <c r="E522" s="14">
        <v>2</v>
      </c>
      <c r="F522" t="s">
        <v>323</v>
      </c>
      <c r="G522" s="14">
        <v>6</v>
      </c>
      <c r="H522" t="s">
        <v>31</v>
      </c>
      <c r="I522" t="s">
        <v>324</v>
      </c>
      <c r="J522" s="16"/>
      <c r="K522"/>
      <c r="L522" t="s">
        <v>276</v>
      </c>
      <c r="M522" s="12">
        <v>5500000</v>
      </c>
      <c r="N522" s="14">
        <v>22</v>
      </c>
      <c r="O522" s="14">
        <v>0</v>
      </c>
      <c r="P522" s="14">
        <v>1</v>
      </c>
      <c r="Q522" s="17">
        <v>0.13</v>
      </c>
      <c r="R522" s="18">
        <v>178350</v>
      </c>
      <c r="S522">
        <v>1</v>
      </c>
      <c r="T522" s="18">
        <v>54900</v>
      </c>
      <c r="U522" s="18">
        <f t="shared" si="28"/>
        <v>57750</v>
      </c>
      <c r="V522">
        <v>1</v>
      </c>
      <c r="W522" s="18">
        <v>290050</v>
      </c>
      <c r="X522">
        <v>1</v>
      </c>
      <c r="Y522">
        <v>1</v>
      </c>
      <c r="Z522" s="17">
        <v>0.22075123062041635</v>
      </c>
      <c r="AA522" t="str">
        <f t="shared" si="25"/>
        <v>1-CT</v>
      </c>
      <c r="AB522" s="9">
        <f t="shared" si="26"/>
        <v>715000</v>
      </c>
      <c r="AC522" s="9">
        <f t="shared" si="27"/>
        <v>1214131.7684122899</v>
      </c>
    </row>
    <row r="523" spans="1:29" x14ac:dyDescent="0.25">
      <c r="A523" t="s">
        <v>272</v>
      </c>
      <c r="B523">
        <v>30008</v>
      </c>
      <c r="C523" s="8">
        <v>45575</v>
      </c>
      <c r="D523">
        <v>316286</v>
      </c>
      <c r="E523" s="14">
        <v>2</v>
      </c>
      <c r="F523" t="s">
        <v>325</v>
      </c>
      <c r="G523" s="14">
        <v>6</v>
      </c>
      <c r="H523" t="s">
        <v>31</v>
      </c>
      <c r="I523" t="s">
        <v>291</v>
      </c>
      <c r="J523" s="16"/>
      <c r="K523"/>
      <c r="L523" t="s">
        <v>276</v>
      </c>
      <c r="M523" s="12">
        <v>10000000</v>
      </c>
      <c r="N523" s="14">
        <v>36</v>
      </c>
      <c r="O523" s="14">
        <v>0</v>
      </c>
      <c r="P523" s="14">
        <v>1</v>
      </c>
      <c r="Q523" s="17">
        <v>0.11</v>
      </c>
      <c r="R523" s="18">
        <v>178350</v>
      </c>
      <c r="S523">
        <v>1</v>
      </c>
      <c r="T523" s="18">
        <v>195000</v>
      </c>
      <c r="U523" s="18">
        <f t="shared" si="28"/>
        <v>105000</v>
      </c>
      <c r="V523">
        <v>1</v>
      </c>
      <c r="W523" s="18">
        <v>338160</v>
      </c>
      <c r="X523">
        <v>1</v>
      </c>
      <c r="Y523">
        <v>1</v>
      </c>
      <c r="Z523" s="17">
        <v>0.16722660563936934</v>
      </c>
      <c r="AA523" t="str">
        <f t="shared" si="25"/>
        <v>2-MT</v>
      </c>
      <c r="AB523" s="9">
        <f t="shared" si="26"/>
        <v>1100000</v>
      </c>
      <c r="AC523" s="9">
        <f t="shared" si="27"/>
        <v>1672266.0563936934</v>
      </c>
    </row>
    <row r="524" spans="1:29" x14ac:dyDescent="0.25">
      <c r="A524" t="s">
        <v>272</v>
      </c>
      <c r="B524">
        <v>30008</v>
      </c>
      <c r="C524" s="8">
        <v>45576</v>
      </c>
      <c r="D524">
        <v>326186</v>
      </c>
      <c r="E524" s="14">
        <v>2</v>
      </c>
      <c r="F524" t="s">
        <v>326</v>
      </c>
      <c r="G524" s="14">
        <v>6</v>
      </c>
      <c r="H524" t="s">
        <v>31</v>
      </c>
      <c r="I524" t="s">
        <v>287</v>
      </c>
      <c r="J524" s="16"/>
      <c r="K524"/>
      <c r="L524" t="s">
        <v>276</v>
      </c>
      <c r="M524" s="12">
        <v>400000</v>
      </c>
      <c r="N524" s="14">
        <v>12</v>
      </c>
      <c r="O524" s="14">
        <v>0</v>
      </c>
      <c r="P524" s="14">
        <v>1</v>
      </c>
      <c r="Q524" s="17">
        <v>0.11</v>
      </c>
      <c r="R524" s="18">
        <v>5945</v>
      </c>
      <c r="S524">
        <v>1</v>
      </c>
      <c r="T524" s="18">
        <v>12400</v>
      </c>
      <c r="U524" s="18">
        <f t="shared" si="28"/>
        <v>4200</v>
      </c>
      <c r="V524">
        <v>1</v>
      </c>
      <c r="W524" s="18">
        <v>35770</v>
      </c>
      <c r="X524">
        <v>1</v>
      </c>
      <c r="Y524">
        <v>1</v>
      </c>
      <c r="Z524" s="17">
        <v>0.24426798993020754</v>
      </c>
      <c r="AA524" t="str">
        <f t="shared" si="25"/>
        <v>1-CT</v>
      </c>
      <c r="AB524" s="9">
        <f t="shared" si="26"/>
        <v>44000</v>
      </c>
      <c r="AC524" s="9">
        <f t="shared" si="27"/>
        <v>97707.19597208302</v>
      </c>
    </row>
    <row r="525" spans="1:29" x14ac:dyDescent="0.25">
      <c r="A525" t="s">
        <v>272</v>
      </c>
      <c r="B525">
        <v>30008</v>
      </c>
      <c r="C525" s="8">
        <v>45576</v>
      </c>
      <c r="D525">
        <v>326186</v>
      </c>
      <c r="E525" s="14">
        <v>2</v>
      </c>
      <c r="F525" t="s">
        <v>327</v>
      </c>
      <c r="G525" s="14">
        <v>6</v>
      </c>
      <c r="H525" t="s">
        <v>31</v>
      </c>
      <c r="I525" t="s">
        <v>324</v>
      </c>
      <c r="J525" s="16"/>
      <c r="K525"/>
      <c r="L525" t="s">
        <v>276</v>
      </c>
      <c r="M525" s="12">
        <v>5000000</v>
      </c>
      <c r="N525" s="14">
        <v>12</v>
      </c>
      <c r="O525" s="14">
        <v>0</v>
      </c>
      <c r="P525" s="14">
        <v>1</v>
      </c>
      <c r="Q525" s="17">
        <v>0.11</v>
      </c>
      <c r="R525" s="18">
        <v>23780</v>
      </c>
      <c r="S525">
        <v>1</v>
      </c>
      <c r="T525" s="18">
        <v>40000</v>
      </c>
      <c r="U525" s="18">
        <f t="shared" si="28"/>
        <v>52500</v>
      </c>
      <c r="V525">
        <v>1</v>
      </c>
      <c r="W525" s="18">
        <v>447287</v>
      </c>
      <c r="X525">
        <v>1</v>
      </c>
      <c r="Y525">
        <v>1</v>
      </c>
      <c r="Z525" s="17">
        <v>0.17805294728234081</v>
      </c>
      <c r="AA525" t="str">
        <f t="shared" si="25"/>
        <v>1-CT</v>
      </c>
      <c r="AB525" s="9">
        <f t="shared" si="26"/>
        <v>550000</v>
      </c>
      <c r="AC525" s="9">
        <f t="shared" si="27"/>
        <v>890264.73641170398</v>
      </c>
    </row>
    <row r="526" spans="1:29" x14ac:dyDescent="0.25">
      <c r="A526" t="s">
        <v>272</v>
      </c>
      <c r="B526">
        <v>30008</v>
      </c>
      <c r="C526" s="8">
        <v>45576</v>
      </c>
      <c r="D526">
        <v>326186</v>
      </c>
      <c r="E526" s="14">
        <v>2</v>
      </c>
      <c r="F526" t="s">
        <v>328</v>
      </c>
      <c r="G526" s="14">
        <v>6</v>
      </c>
      <c r="H526" t="s">
        <v>31</v>
      </c>
      <c r="I526" t="s">
        <v>287</v>
      </c>
      <c r="J526" s="16"/>
      <c r="K526"/>
      <c r="L526" t="s">
        <v>310</v>
      </c>
      <c r="M526" s="12">
        <v>1200000</v>
      </c>
      <c r="N526" s="14">
        <v>12</v>
      </c>
      <c r="O526" s="14">
        <v>0</v>
      </c>
      <c r="P526" s="14">
        <v>1</v>
      </c>
      <c r="Q526" s="17">
        <v>0.11</v>
      </c>
      <c r="R526" s="18">
        <v>23780</v>
      </c>
      <c r="S526">
        <v>1</v>
      </c>
      <c r="T526" s="18">
        <v>5200</v>
      </c>
      <c r="U526" s="18">
        <f t="shared" si="28"/>
        <v>12600</v>
      </c>
      <c r="V526">
        <v>1</v>
      </c>
      <c r="W526" s="18">
        <v>106828</v>
      </c>
      <c r="X526">
        <v>1</v>
      </c>
      <c r="Y526">
        <v>1</v>
      </c>
      <c r="Z526" s="17">
        <v>0.19130164914105663</v>
      </c>
      <c r="AA526" t="str">
        <f t="shared" si="25"/>
        <v>1-CT</v>
      </c>
      <c r="AB526" s="9">
        <f t="shared" si="26"/>
        <v>132000</v>
      </c>
      <c r="AC526" s="9">
        <f t="shared" si="27"/>
        <v>229561.97896926795</v>
      </c>
    </row>
    <row r="527" spans="1:29" x14ac:dyDescent="0.25">
      <c r="A527" t="s">
        <v>272</v>
      </c>
      <c r="B527">
        <v>30008</v>
      </c>
      <c r="C527" s="8">
        <v>45576</v>
      </c>
      <c r="D527">
        <v>326186</v>
      </c>
      <c r="E527" s="14">
        <v>2</v>
      </c>
      <c r="F527" t="s">
        <v>329</v>
      </c>
      <c r="G527" s="14">
        <v>6</v>
      </c>
      <c r="H527" t="s">
        <v>31</v>
      </c>
      <c r="I527" t="s">
        <v>291</v>
      </c>
      <c r="J527" s="16"/>
      <c r="K527"/>
      <c r="L527" t="s">
        <v>330</v>
      </c>
      <c r="M527" s="12">
        <v>1000000</v>
      </c>
      <c r="N527" s="14">
        <v>12</v>
      </c>
      <c r="O527" s="14">
        <v>0</v>
      </c>
      <c r="P527" s="14">
        <v>1</v>
      </c>
      <c r="Q527" s="17">
        <v>0.11</v>
      </c>
      <c r="R527" s="18">
        <v>23780</v>
      </c>
      <c r="S527">
        <v>1</v>
      </c>
      <c r="T527" s="18">
        <v>16000</v>
      </c>
      <c r="U527" s="18">
        <f t="shared" si="28"/>
        <v>10500</v>
      </c>
      <c r="V527">
        <v>1</v>
      </c>
      <c r="W527" s="18">
        <v>89425</v>
      </c>
      <c r="X527">
        <v>1</v>
      </c>
      <c r="Y527">
        <v>1</v>
      </c>
      <c r="Z527" s="17">
        <v>0.2317196145031887</v>
      </c>
      <c r="AA527" t="str">
        <f t="shared" si="25"/>
        <v>1-CT</v>
      </c>
      <c r="AB527" s="9">
        <f t="shared" si="26"/>
        <v>110000</v>
      </c>
      <c r="AC527" s="9">
        <f t="shared" si="27"/>
        <v>231719.6145031887</v>
      </c>
    </row>
    <row r="528" spans="1:29" x14ac:dyDescent="0.25">
      <c r="A528" t="s">
        <v>272</v>
      </c>
      <c r="B528">
        <v>30008</v>
      </c>
      <c r="C528" s="8">
        <v>45580</v>
      </c>
      <c r="D528">
        <v>316286</v>
      </c>
      <c r="E528" s="14">
        <v>2</v>
      </c>
      <c r="F528" t="s">
        <v>331</v>
      </c>
      <c r="G528" s="14">
        <v>6</v>
      </c>
      <c r="H528" t="s">
        <v>31</v>
      </c>
      <c r="I528" t="s">
        <v>291</v>
      </c>
      <c r="J528" s="16"/>
      <c r="K528"/>
      <c r="L528" t="s">
        <v>276</v>
      </c>
      <c r="M528" s="12">
        <v>4800000</v>
      </c>
      <c r="N528" s="14">
        <v>36</v>
      </c>
      <c r="O528" s="14">
        <v>0</v>
      </c>
      <c r="P528" s="14">
        <v>1</v>
      </c>
      <c r="Q528" s="17">
        <v>0.12</v>
      </c>
      <c r="R528" s="18">
        <v>175350</v>
      </c>
      <c r="S528">
        <v>1</v>
      </c>
      <c r="T528" s="18">
        <v>125200</v>
      </c>
      <c r="U528" s="18">
        <f t="shared" si="28"/>
        <v>50400</v>
      </c>
      <c r="V528">
        <v>1</v>
      </c>
      <c r="W528" s="18">
        <v>164170</v>
      </c>
      <c r="X528">
        <v>1</v>
      </c>
      <c r="Y528">
        <v>1</v>
      </c>
      <c r="Z528" s="17">
        <v>0.19481679638861377</v>
      </c>
      <c r="AA528" t="str">
        <f t="shared" si="25"/>
        <v>2-MT</v>
      </c>
      <c r="AB528" s="9">
        <f t="shared" si="26"/>
        <v>576000</v>
      </c>
      <c r="AC528" s="9">
        <f t="shared" si="27"/>
        <v>935120.62266534613</v>
      </c>
    </row>
    <row r="529" spans="1:29" x14ac:dyDescent="0.25">
      <c r="A529" t="s">
        <v>272</v>
      </c>
      <c r="B529">
        <v>30008</v>
      </c>
      <c r="C529" s="8">
        <v>45580</v>
      </c>
      <c r="D529">
        <v>326186</v>
      </c>
      <c r="E529" s="14">
        <v>2</v>
      </c>
      <c r="F529" t="s">
        <v>332</v>
      </c>
      <c r="G529" s="14">
        <v>6</v>
      </c>
      <c r="H529" t="s">
        <v>31</v>
      </c>
      <c r="I529" t="s">
        <v>291</v>
      </c>
      <c r="J529" s="16"/>
      <c r="K529"/>
      <c r="L529" t="s">
        <v>276</v>
      </c>
      <c r="M529" s="12">
        <v>1000000</v>
      </c>
      <c r="N529" s="14">
        <v>12</v>
      </c>
      <c r="O529" s="14">
        <v>0</v>
      </c>
      <c r="P529" s="14">
        <v>1</v>
      </c>
      <c r="Q529" s="17">
        <v>0.11</v>
      </c>
      <c r="R529" s="18">
        <v>21713</v>
      </c>
      <c r="S529">
        <v>1</v>
      </c>
      <c r="T529" s="18">
        <v>22000</v>
      </c>
      <c r="U529" s="18">
        <f t="shared" si="28"/>
        <v>10500</v>
      </c>
      <c r="V529">
        <v>1</v>
      </c>
      <c r="W529" s="18">
        <v>89629</v>
      </c>
      <c r="X529">
        <v>1</v>
      </c>
      <c r="Y529">
        <v>1</v>
      </c>
      <c r="Z529" s="17">
        <v>0.2442745348530099</v>
      </c>
      <c r="AA529" t="str">
        <f t="shared" si="25"/>
        <v>1-CT</v>
      </c>
      <c r="AB529" s="9">
        <f t="shared" si="26"/>
        <v>110000</v>
      </c>
      <c r="AC529" s="9">
        <f t="shared" si="27"/>
        <v>244274.53485300991</v>
      </c>
    </row>
    <row r="530" spans="1:29" x14ac:dyDescent="0.25">
      <c r="A530" t="s">
        <v>272</v>
      </c>
      <c r="B530">
        <v>30008</v>
      </c>
      <c r="C530" s="8">
        <v>45581</v>
      </c>
      <c r="D530">
        <v>326186</v>
      </c>
      <c r="E530" s="14">
        <v>2</v>
      </c>
      <c r="F530" t="s">
        <v>333</v>
      </c>
      <c r="G530" s="14">
        <v>6</v>
      </c>
      <c r="H530" t="s">
        <v>31</v>
      </c>
      <c r="I530" t="s">
        <v>275</v>
      </c>
      <c r="J530" s="16"/>
      <c r="K530"/>
      <c r="L530" t="s">
        <v>276</v>
      </c>
      <c r="M530" s="12">
        <v>1000000</v>
      </c>
      <c r="N530" s="14">
        <v>12</v>
      </c>
      <c r="O530" s="14">
        <v>0</v>
      </c>
      <c r="P530" s="14">
        <v>1</v>
      </c>
      <c r="Q530" s="17">
        <v>0.11</v>
      </c>
      <c r="R530" s="18">
        <v>23780</v>
      </c>
      <c r="S530">
        <v>1</v>
      </c>
      <c r="T530" s="18">
        <v>16600</v>
      </c>
      <c r="U530" s="18">
        <f t="shared" si="28"/>
        <v>10500</v>
      </c>
      <c r="V530">
        <v>1</v>
      </c>
      <c r="W530" s="18">
        <v>89425</v>
      </c>
      <c r="X530">
        <v>1</v>
      </c>
      <c r="Y530">
        <v>1</v>
      </c>
      <c r="Z530" s="17">
        <v>0.23295220272832412</v>
      </c>
      <c r="AA530" t="str">
        <f t="shared" si="25"/>
        <v>1-CT</v>
      </c>
      <c r="AB530" s="9">
        <f t="shared" si="26"/>
        <v>110000</v>
      </c>
      <c r="AC530" s="9">
        <f t="shared" si="27"/>
        <v>232952.20272832413</v>
      </c>
    </row>
    <row r="531" spans="1:29" x14ac:dyDescent="0.25">
      <c r="A531" t="s">
        <v>272</v>
      </c>
      <c r="B531">
        <v>30008</v>
      </c>
      <c r="C531" s="8">
        <v>45581</v>
      </c>
      <c r="D531">
        <v>326186</v>
      </c>
      <c r="E531" s="14">
        <v>2</v>
      </c>
      <c r="F531" t="s">
        <v>334</v>
      </c>
      <c r="G531" s="14">
        <v>6</v>
      </c>
      <c r="H531" t="s">
        <v>31</v>
      </c>
      <c r="I531" t="s">
        <v>335</v>
      </c>
      <c r="J531" s="16"/>
      <c r="K531"/>
      <c r="L531" t="s">
        <v>276</v>
      </c>
      <c r="M531" s="12">
        <v>1000000</v>
      </c>
      <c r="N531" s="14">
        <v>12</v>
      </c>
      <c r="O531" s="14">
        <v>0</v>
      </c>
      <c r="P531" s="14">
        <v>1</v>
      </c>
      <c r="Q531" s="17">
        <v>0.11</v>
      </c>
      <c r="R531" s="18">
        <v>23780</v>
      </c>
      <c r="S531">
        <v>1</v>
      </c>
      <c r="T531" s="18">
        <v>16000</v>
      </c>
      <c r="U531" s="18">
        <f t="shared" si="28"/>
        <v>10500</v>
      </c>
      <c r="V531">
        <v>1</v>
      </c>
      <c r="W531" s="18">
        <v>89457</v>
      </c>
      <c r="X531">
        <v>1</v>
      </c>
      <c r="Y531">
        <v>1</v>
      </c>
      <c r="Z531" s="17">
        <v>0.23241738238995513</v>
      </c>
      <c r="AA531" t="str">
        <f t="shared" si="25"/>
        <v>1-CT</v>
      </c>
      <c r="AB531" s="9">
        <f t="shared" si="26"/>
        <v>110000</v>
      </c>
      <c r="AC531" s="9">
        <f t="shared" si="27"/>
        <v>232417.38238995514</v>
      </c>
    </row>
    <row r="532" spans="1:29" x14ac:dyDescent="0.25">
      <c r="A532" t="s">
        <v>272</v>
      </c>
      <c r="B532">
        <v>30008</v>
      </c>
      <c r="C532" s="8">
        <v>45581</v>
      </c>
      <c r="D532">
        <v>326186</v>
      </c>
      <c r="E532" s="14">
        <v>2</v>
      </c>
      <c r="F532" t="s">
        <v>336</v>
      </c>
      <c r="G532" s="14">
        <v>6</v>
      </c>
      <c r="H532" t="s">
        <v>31</v>
      </c>
      <c r="I532" t="s">
        <v>285</v>
      </c>
      <c r="J532" s="16"/>
      <c r="K532"/>
      <c r="L532" t="s">
        <v>337</v>
      </c>
      <c r="M532" s="12">
        <v>4500000</v>
      </c>
      <c r="N532" s="14">
        <v>12</v>
      </c>
      <c r="O532" s="14">
        <v>0</v>
      </c>
      <c r="P532" s="14">
        <v>1</v>
      </c>
      <c r="Q532" s="17">
        <v>0.11</v>
      </c>
      <c r="R532" s="18">
        <v>23780</v>
      </c>
      <c r="S532">
        <v>1</v>
      </c>
      <c r="T532" s="18">
        <v>37000</v>
      </c>
      <c r="U532" s="18">
        <f t="shared" si="28"/>
        <v>47250</v>
      </c>
      <c r="V532">
        <v>1</v>
      </c>
      <c r="W532" s="18">
        <v>399135</v>
      </c>
      <c r="X532">
        <v>1</v>
      </c>
      <c r="Y532">
        <v>1</v>
      </c>
      <c r="Z532" s="17">
        <v>0.16311545635375282</v>
      </c>
      <c r="AA532" t="str">
        <f t="shared" si="25"/>
        <v>1-CT</v>
      </c>
      <c r="AB532" s="9">
        <f t="shared" si="26"/>
        <v>495000</v>
      </c>
      <c r="AC532" s="9">
        <f t="shared" si="27"/>
        <v>734019.5535918877</v>
      </c>
    </row>
    <row r="533" spans="1:29" x14ac:dyDescent="0.25">
      <c r="A533" t="s">
        <v>272</v>
      </c>
      <c r="B533">
        <v>30008</v>
      </c>
      <c r="C533" s="8">
        <v>45581</v>
      </c>
      <c r="D533">
        <v>326186</v>
      </c>
      <c r="E533" s="14">
        <v>2</v>
      </c>
      <c r="F533" t="s">
        <v>338</v>
      </c>
      <c r="G533" s="14">
        <v>6</v>
      </c>
      <c r="H533" t="s">
        <v>31</v>
      </c>
      <c r="I533" t="s">
        <v>291</v>
      </c>
      <c r="J533" s="16"/>
      <c r="K533"/>
      <c r="L533" t="s">
        <v>276</v>
      </c>
      <c r="M533" s="12">
        <v>2000000</v>
      </c>
      <c r="N533" s="14">
        <v>12</v>
      </c>
      <c r="O533" s="14">
        <v>0</v>
      </c>
      <c r="P533" s="14">
        <v>1</v>
      </c>
      <c r="Q533" s="17">
        <v>0.11</v>
      </c>
      <c r="R533" s="18">
        <v>23780</v>
      </c>
      <c r="S533">
        <v>1</v>
      </c>
      <c r="T533" s="18">
        <v>21000</v>
      </c>
      <c r="U533" s="18">
        <f t="shared" si="28"/>
        <v>21000</v>
      </c>
      <c r="V533">
        <v>1</v>
      </c>
      <c r="W533" s="18">
        <v>178850</v>
      </c>
      <c r="X533">
        <v>1</v>
      </c>
      <c r="Y533">
        <v>1</v>
      </c>
      <c r="Z533" s="17">
        <v>0.19648191104585955</v>
      </c>
      <c r="AA533" t="str">
        <f t="shared" si="25"/>
        <v>1-CT</v>
      </c>
      <c r="AB533" s="9">
        <f t="shared" si="26"/>
        <v>220000</v>
      </c>
      <c r="AC533" s="9">
        <f t="shared" si="27"/>
        <v>392963.82209171908</v>
      </c>
    </row>
    <row r="534" spans="1:29" x14ac:dyDescent="0.25">
      <c r="A534" t="s">
        <v>272</v>
      </c>
      <c r="B534">
        <v>30008</v>
      </c>
      <c r="C534" s="8">
        <v>45581</v>
      </c>
      <c r="D534">
        <v>326186</v>
      </c>
      <c r="E534" s="14">
        <v>2</v>
      </c>
      <c r="F534" t="s">
        <v>339</v>
      </c>
      <c r="G534" s="14">
        <v>6</v>
      </c>
      <c r="H534" t="s">
        <v>31</v>
      </c>
      <c r="I534" t="s">
        <v>291</v>
      </c>
      <c r="J534" s="16"/>
      <c r="K534"/>
      <c r="L534" t="s">
        <v>276</v>
      </c>
      <c r="M534" s="12">
        <v>3000000</v>
      </c>
      <c r="N534" s="14">
        <v>12</v>
      </c>
      <c r="O534" s="14">
        <v>0</v>
      </c>
      <c r="P534" s="14">
        <v>1</v>
      </c>
      <c r="Q534" s="17">
        <v>0.11</v>
      </c>
      <c r="R534" s="18">
        <v>23780</v>
      </c>
      <c r="S534">
        <v>1</v>
      </c>
      <c r="T534" s="18">
        <v>40400</v>
      </c>
      <c r="U534" s="18">
        <f t="shared" si="28"/>
        <v>31500.000000000004</v>
      </c>
      <c r="V534">
        <v>1</v>
      </c>
      <c r="W534" s="18">
        <v>268275</v>
      </c>
      <c r="X534">
        <v>1</v>
      </c>
      <c r="Y534">
        <v>1</v>
      </c>
      <c r="Z534" s="17">
        <v>0.19449037442567152</v>
      </c>
      <c r="AA534" t="str">
        <f t="shared" si="25"/>
        <v>1-CT</v>
      </c>
      <c r="AB534" s="9">
        <f t="shared" si="26"/>
        <v>330000</v>
      </c>
      <c r="AC534" s="9">
        <f t="shared" si="27"/>
        <v>583471.12327701459</v>
      </c>
    </row>
    <row r="535" spans="1:29" x14ac:dyDescent="0.25">
      <c r="A535" t="s">
        <v>272</v>
      </c>
      <c r="B535">
        <v>30008</v>
      </c>
      <c r="C535" s="8">
        <v>45581</v>
      </c>
      <c r="D535">
        <v>326186</v>
      </c>
      <c r="E535" s="14">
        <v>2</v>
      </c>
      <c r="F535" t="s">
        <v>340</v>
      </c>
      <c r="G535" s="14">
        <v>6</v>
      </c>
      <c r="H535" t="s">
        <v>31</v>
      </c>
      <c r="I535" t="s">
        <v>341</v>
      </c>
      <c r="J535" s="16"/>
      <c r="K535"/>
      <c r="L535" t="s">
        <v>276</v>
      </c>
      <c r="M535" s="12">
        <v>3000000</v>
      </c>
      <c r="N535" s="14">
        <v>12</v>
      </c>
      <c r="O535" s="14">
        <v>0</v>
      </c>
      <c r="P535" s="14">
        <v>1</v>
      </c>
      <c r="Q535" s="17">
        <v>0.11</v>
      </c>
      <c r="R535" s="18">
        <v>23780</v>
      </c>
      <c r="S535">
        <v>1</v>
      </c>
      <c r="T535" s="18">
        <v>28000</v>
      </c>
      <c r="U535" s="18">
        <f t="shared" si="28"/>
        <v>31500.000000000004</v>
      </c>
      <c r="V535">
        <v>1</v>
      </c>
      <c r="W535" s="18">
        <v>268332</v>
      </c>
      <c r="X535">
        <v>1</v>
      </c>
      <c r="Y535">
        <v>1</v>
      </c>
      <c r="Z535" s="17">
        <v>0.18667282037196439</v>
      </c>
      <c r="AA535" t="str">
        <f t="shared" si="25"/>
        <v>1-CT</v>
      </c>
      <c r="AB535" s="9">
        <f t="shared" si="26"/>
        <v>330000</v>
      </c>
      <c r="AC535" s="9">
        <f t="shared" si="27"/>
        <v>560018.46111589321</v>
      </c>
    </row>
    <row r="536" spans="1:29" x14ac:dyDescent="0.25">
      <c r="A536" t="s">
        <v>272</v>
      </c>
      <c r="B536">
        <v>30008</v>
      </c>
      <c r="C536" s="8">
        <v>45582</v>
      </c>
      <c r="D536">
        <v>326186</v>
      </c>
      <c r="E536" s="14">
        <v>2</v>
      </c>
      <c r="F536" t="s">
        <v>342</v>
      </c>
      <c r="G536" s="14">
        <v>6</v>
      </c>
      <c r="H536" t="s">
        <v>31</v>
      </c>
      <c r="I536" t="s">
        <v>275</v>
      </c>
      <c r="J536" s="16"/>
      <c r="K536"/>
      <c r="L536" t="s">
        <v>276</v>
      </c>
      <c r="M536" s="12">
        <v>700000</v>
      </c>
      <c r="N536" s="14">
        <v>12</v>
      </c>
      <c r="O536" s="14">
        <v>0</v>
      </c>
      <c r="P536" s="14">
        <v>1</v>
      </c>
      <c r="Q536" s="17">
        <v>0.11</v>
      </c>
      <c r="R536" s="18">
        <v>19024</v>
      </c>
      <c r="S536">
        <v>1</v>
      </c>
      <c r="T536" s="18">
        <v>14200</v>
      </c>
      <c r="U536" s="18">
        <f t="shared" si="28"/>
        <v>7350.0000000000009</v>
      </c>
      <c r="V536">
        <v>1</v>
      </c>
      <c r="W536" s="18">
        <v>62403</v>
      </c>
      <c r="X536">
        <v>1</v>
      </c>
      <c r="Y536">
        <v>1</v>
      </c>
      <c r="Z536" s="17">
        <v>0.24150203712237422</v>
      </c>
      <c r="AA536" t="str">
        <f t="shared" si="25"/>
        <v>1-CT</v>
      </c>
      <c r="AB536" s="9">
        <f t="shared" si="26"/>
        <v>77000</v>
      </c>
      <c r="AC536" s="9">
        <f t="shared" si="27"/>
        <v>169051.42598566195</v>
      </c>
    </row>
    <row r="537" spans="1:29" x14ac:dyDescent="0.25">
      <c r="A537" t="s">
        <v>272</v>
      </c>
      <c r="B537">
        <v>30008</v>
      </c>
      <c r="C537" s="8">
        <v>45582</v>
      </c>
      <c r="D537">
        <v>326186</v>
      </c>
      <c r="E537" s="14">
        <v>2</v>
      </c>
      <c r="F537" t="s">
        <v>343</v>
      </c>
      <c r="G537" s="14">
        <v>6</v>
      </c>
      <c r="H537" t="s">
        <v>31</v>
      </c>
      <c r="I537" t="s">
        <v>344</v>
      </c>
      <c r="J537" s="16"/>
      <c r="K537"/>
      <c r="L537" t="s">
        <v>276</v>
      </c>
      <c r="M537" s="12">
        <v>1500000</v>
      </c>
      <c r="N537" s="14">
        <v>12</v>
      </c>
      <c r="O537" s="14">
        <v>0</v>
      </c>
      <c r="P537" s="14">
        <v>1</v>
      </c>
      <c r="Q537" s="17">
        <v>0.11</v>
      </c>
      <c r="R537" s="18">
        <v>23780</v>
      </c>
      <c r="S537">
        <v>1</v>
      </c>
      <c r="T537" s="18">
        <v>19000</v>
      </c>
      <c r="U537" s="18">
        <f t="shared" si="28"/>
        <v>15750.000000000002</v>
      </c>
      <c r="V537">
        <v>1</v>
      </c>
      <c r="W537" s="18">
        <v>134166</v>
      </c>
      <c r="X537">
        <v>1</v>
      </c>
      <c r="Y537">
        <v>1</v>
      </c>
      <c r="Z537" s="17">
        <v>0.20920907340545733</v>
      </c>
      <c r="AA537" t="str">
        <f t="shared" si="25"/>
        <v>1-CT</v>
      </c>
      <c r="AB537" s="9">
        <f t="shared" si="26"/>
        <v>165000</v>
      </c>
      <c r="AC537" s="9">
        <f t="shared" si="27"/>
        <v>313813.61010818597</v>
      </c>
    </row>
    <row r="538" spans="1:29" x14ac:dyDescent="0.25">
      <c r="A538" t="s">
        <v>272</v>
      </c>
      <c r="B538">
        <v>30008</v>
      </c>
      <c r="C538" s="8">
        <v>45582</v>
      </c>
      <c r="D538">
        <v>316261</v>
      </c>
      <c r="E538" s="14">
        <v>2</v>
      </c>
      <c r="F538" t="s">
        <v>345</v>
      </c>
      <c r="G538" s="14">
        <v>6</v>
      </c>
      <c r="H538" t="s">
        <v>31</v>
      </c>
      <c r="I538" t="s">
        <v>291</v>
      </c>
      <c r="J538" s="16"/>
      <c r="K538"/>
      <c r="L538" t="s">
        <v>276</v>
      </c>
      <c r="M538" s="12">
        <v>2500000</v>
      </c>
      <c r="N538" s="14">
        <v>36</v>
      </c>
      <c r="O538" s="14">
        <v>0</v>
      </c>
      <c r="P538" s="14">
        <v>1</v>
      </c>
      <c r="Q538" s="17">
        <v>0.12</v>
      </c>
      <c r="R538" s="18">
        <v>95120</v>
      </c>
      <c r="S538">
        <v>1</v>
      </c>
      <c r="T538" s="18">
        <v>59011</v>
      </c>
      <c r="U538" s="18">
        <f t="shared" si="28"/>
        <v>26250</v>
      </c>
      <c r="V538">
        <v>1</v>
      </c>
      <c r="W538" s="18">
        <v>85859</v>
      </c>
      <c r="X538">
        <v>1</v>
      </c>
      <c r="Y538">
        <v>1</v>
      </c>
      <c r="Z538" s="17">
        <v>0.19706622121042311</v>
      </c>
      <c r="AA538" t="str">
        <f t="shared" si="25"/>
        <v>2-MT</v>
      </c>
      <c r="AB538" s="9">
        <f t="shared" si="26"/>
        <v>300000</v>
      </c>
      <c r="AC538" s="9">
        <f t="shared" si="27"/>
        <v>492665.55302605778</v>
      </c>
    </row>
    <row r="539" spans="1:29" x14ac:dyDescent="0.25">
      <c r="A539" t="s">
        <v>272</v>
      </c>
      <c r="B539">
        <v>30008</v>
      </c>
      <c r="C539" s="8">
        <v>45582</v>
      </c>
      <c r="D539">
        <v>326186</v>
      </c>
      <c r="E539" s="14">
        <v>2</v>
      </c>
      <c r="F539" t="s">
        <v>346</v>
      </c>
      <c r="G539" s="14">
        <v>6</v>
      </c>
      <c r="H539" t="s">
        <v>31</v>
      </c>
      <c r="I539" t="s">
        <v>291</v>
      </c>
      <c r="J539" s="16"/>
      <c r="K539"/>
      <c r="L539" t="s">
        <v>295</v>
      </c>
      <c r="M539" s="12">
        <v>4000000</v>
      </c>
      <c r="N539" s="14">
        <v>12</v>
      </c>
      <c r="O539" s="14">
        <v>0</v>
      </c>
      <c r="P539" s="14">
        <v>1</v>
      </c>
      <c r="Q539" s="17">
        <v>0.11</v>
      </c>
      <c r="R539" s="18">
        <v>23780</v>
      </c>
      <c r="S539">
        <v>1</v>
      </c>
      <c r="T539" s="18">
        <v>103000</v>
      </c>
      <c r="U539" s="18">
        <f t="shared" si="28"/>
        <v>42000</v>
      </c>
      <c r="V539">
        <v>1</v>
      </c>
      <c r="W539" s="18">
        <v>357701</v>
      </c>
      <c r="X539">
        <v>1</v>
      </c>
      <c r="Y539">
        <v>1</v>
      </c>
      <c r="Z539" s="17">
        <v>0.21522610675884801</v>
      </c>
      <c r="AA539" t="str">
        <f t="shared" si="25"/>
        <v>1-CT</v>
      </c>
      <c r="AB539" s="9">
        <f t="shared" si="26"/>
        <v>440000</v>
      </c>
      <c r="AC539" s="9">
        <f t="shared" si="27"/>
        <v>860904.42703539203</v>
      </c>
    </row>
    <row r="540" spans="1:29" x14ac:dyDescent="0.25">
      <c r="A540" t="s">
        <v>272</v>
      </c>
      <c r="B540">
        <v>30008</v>
      </c>
      <c r="C540" s="8">
        <v>45583</v>
      </c>
      <c r="D540">
        <v>326161</v>
      </c>
      <c r="E540" s="14">
        <v>2</v>
      </c>
      <c r="F540" t="s">
        <v>347</v>
      </c>
      <c r="G540" s="14">
        <v>6</v>
      </c>
      <c r="H540" t="s">
        <v>31</v>
      </c>
      <c r="I540" t="s">
        <v>348</v>
      </c>
      <c r="J540" s="16"/>
      <c r="K540"/>
      <c r="L540" t="s">
        <v>301</v>
      </c>
      <c r="M540" s="12">
        <v>1800000</v>
      </c>
      <c r="N540" s="14">
        <v>24</v>
      </c>
      <c r="O540" s="14">
        <v>0</v>
      </c>
      <c r="P540" s="14">
        <v>1</v>
      </c>
      <c r="Q540" s="17">
        <v>0.13</v>
      </c>
      <c r="R540" s="18">
        <v>95120</v>
      </c>
      <c r="S540">
        <v>1</v>
      </c>
      <c r="T540" s="18">
        <v>31600</v>
      </c>
      <c r="U540" s="18">
        <f t="shared" si="28"/>
        <v>18900</v>
      </c>
      <c r="V540">
        <v>1</v>
      </c>
      <c r="W540" s="18">
        <v>87830</v>
      </c>
      <c r="X540">
        <v>1</v>
      </c>
      <c r="Y540">
        <v>1</v>
      </c>
      <c r="Z540" s="17">
        <v>0.24436832135770886</v>
      </c>
      <c r="AA540" t="str">
        <f t="shared" si="25"/>
        <v>1-CT</v>
      </c>
      <c r="AB540" s="9">
        <f t="shared" si="26"/>
        <v>234000</v>
      </c>
      <c r="AC540" s="9">
        <f t="shared" si="27"/>
        <v>439862.97844387597</v>
      </c>
    </row>
    <row r="541" spans="1:29" x14ac:dyDescent="0.25">
      <c r="A541" t="s">
        <v>272</v>
      </c>
      <c r="B541">
        <v>30008</v>
      </c>
      <c r="C541" s="8">
        <v>45583</v>
      </c>
      <c r="D541">
        <v>316261</v>
      </c>
      <c r="E541" s="14">
        <v>2</v>
      </c>
      <c r="F541" t="s">
        <v>349</v>
      </c>
      <c r="G541" s="14">
        <v>6</v>
      </c>
      <c r="H541" t="s">
        <v>31</v>
      </c>
      <c r="I541" t="s">
        <v>350</v>
      </c>
      <c r="J541" s="16"/>
      <c r="K541"/>
      <c r="L541" t="s">
        <v>276</v>
      </c>
      <c r="M541" s="12">
        <v>3300000</v>
      </c>
      <c r="N541" s="14">
        <v>36</v>
      </c>
      <c r="O541" s="14">
        <v>0</v>
      </c>
      <c r="P541" s="14">
        <v>1</v>
      </c>
      <c r="Q541" s="17">
        <v>0.11</v>
      </c>
      <c r="R541" s="18">
        <v>101065</v>
      </c>
      <c r="S541">
        <v>1</v>
      </c>
      <c r="T541" s="18">
        <v>69400</v>
      </c>
      <c r="U541" s="18">
        <f t="shared" si="28"/>
        <v>34650</v>
      </c>
      <c r="V541">
        <v>1</v>
      </c>
      <c r="W541" s="18">
        <v>111643</v>
      </c>
      <c r="X541">
        <v>1</v>
      </c>
      <c r="Y541">
        <v>1</v>
      </c>
      <c r="Z541" s="17">
        <v>0.17842414542055596</v>
      </c>
      <c r="AA541" t="str">
        <f t="shared" si="25"/>
        <v>2-MT</v>
      </c>
      <c r="AB541" s="9">
        <f t="shared" si="26"/>
        <v>363000</v>
      </c>
      <c r="AC541" s="9">
        <f t="shared" si="27"/>
        <v>588799.6798878347</v>
      </c>
    </row>
    <row r="542" spans="1:29" x14ac:dyDescent="0.25">
      <c r="A542" t="s">
        <v>272</v>
      </c>
      <c r="B542">
        <v>30008</v>
      </c>
      <c r="C542" s="8">
        <v>45583</v>
      </c>
      <c r="D542">
        <v>316261</v>
      </c>
      <c r="E542" s="14">
        <v>2</v>
      </c>
      <c r="F542" t="s">
        <v>351</v>
      </c>
      <c r="G542" s="14">
        <v>6</v>
      </c>
      <c r="H542" t="s">
        <v>31</v>
      </c>
      <c r="I542" t="s">
        <v>352</v>
      </c>
      <c r="J542" s="16"/>
      <c r="K542"/>
      <c r="L542" t="s">
        <v>276</v>
      </c>
      <c r="M542" s="12">
        <v>5000000</v>
      </c>
      <c r="N542" s="14">
        <v>36</v>
      </c>
      <c r="O542" s="14">
        <v>0</v>
      </c>
      <c r="P542" s="14">
        <v>1</v>
      </c>
      <c r="Q542" s="17">
        <v>0.12</v>
      </c>
      <c r="R542" s="18">
        <v>172405</v>
      </c>
      <c r="S542">
        <v>1</v>
      </c>
      <c r="T542" s="18">
        <v>45000</v>
      </c>
      <c r="U542" s="18">
        <f t="shared" si="28"/>
        <v>52500</v>
      </c>
      <c r="V542">
        <v>1</v>
      </c>
      <c r="W542" s="18">
        <v>174020</v>
      </c>
      <c r="X542">
        <v>1</v>
      </c>
      <c r="Y542">
        <v>1</v>
      </c>
      <c r="Z542" s="17">
        <v>0.19264639415068513</v>
      </c>
      <c r="AA542" t="str">
        <f t="shared" si="25"/>
        <v>2-MT</v>
      </c>
      <c r="AB542" s="9">
        <f t="shared" si="26"/>
        <v>600000</v>
      </c>
      <c r="AC542" s="9">
        <f t="shared" si="27"/>
        <v>963231.97075342562</v>
      </c>
    </row>
    <row r="543" spans="1:29" x14ac:dyDescent="0.25">
      <c r="A543" t="s">
        <v>272</v>
      </c>
      <c r="B543">
        <v>30008</v>
      </c>
      <c r="C543" s="8">
        <v>45583</v>
      </c>
      <c r="D543">
        <v>316261</v>
      </c>
      <c r="E543" s="14">
        <v>2</v>
      </c>
      <c r="F543" t="s">
        <v>353</v>
      </c>
      <c r="G543" s="14">
        <v>6</v>
      </c>
      <c r="H543" t="s">
        <v>31</v>
      </c>
      <c r="I543" t="s">
        <v>354</v>
      </c>
      <c r="J543" s="16"/>
      <c r="K543"/>
      <c r="L543" t="s">
        <v>276</v>
      </c>
      <c r="M543" s="12">
        <v>2300000</v>
      </c>
      <c r="N543" s="14">
        <v>36</v>
      </c>
      <c r="O543" s="14">
        <v>0</v>
      </c>
      <c r="P543" s="14">
        <v>1</v>
      </c>
      <c r="Q543" s="17">
        <v>0.12</v>
      </c>
      <c r="R543" s="18">
        <v>59450</v>
      </c>
      <c r="S543">
        <v>1</v>
      </c>
      <c r="T543" s="18">
        <v>51400</v>
      </c>
      <c r="U543" s="18">
        <f t="shared" si="28"/>
        <v>24150</v>
      </c>
      <c r="V543">
        <v>1</v>
      </c>
      <c r="W543" s="18">
        <v>79120</v>
      </c>
      <c r="X543">
        <v>1</v>
      </c>
      <c r="Y543">
        <v>1</v>
      </c>
      <c r="Z543" s="17">
        <v>0.18780298343671276</v>
      </c>
      <c r="AA543" t="str">
        <f t="shared" si="25"/>
        <v>2-MT</v>
      </c>
      <c r="AB543" s="9">
        <f t="shared" si="26"/>
        <v>276000</v>
      </c>
      <c r="AC543" s="9">
        <f t="shared" si="27"/>
        <v>431946.86190443934</v>
      </c>
    </row>
    <row r="544" spans="1:29" x14ac:dyDescent="0.25">
      <c r="A544" t="s">
        <v>272</v>
      </c>
      <c r="B544">
        <v>30008</v>
      </c>
      <c r="C544" s="8">
        <v>45583</v>
      </c>
      <c r="D544">
        <v>326186</v>
      </c>
      <c r="E544" s="14">
        <v>2</v>
      </c>
      <c r="F544" t="s">
        <v>355</v>
      </c>
      <c r="G544" s="14">
        <v>6</v>
      </c>
      <c r="H544" t="s">
        <v>31</v>
      </c>
      <c r="I544" t="s">
        <v>275</v>
      </c>
      <c r="J544" s="16"/>
      <c r="K544"/>
      <c r="L544" t="s">
        <v>276</v>
      </c>
      <c r="M544" s="12">
        <v>3000000</v>
      </c>
      <c r="N544" s="14">
        <v>12</v>
      </c>
      <c r="O544" s="14">
        <v>0</v>
      </c>
      <c r="P544" s="14">
        <v>1</v>
      </c>
      <c r="Q544" s="17">
        <v>0.11</v>
      </c>
      <c r="R544" s="18">
        <v>23780</v>
      </c>
      <c r="S544">
        <v>1</v>
      </c>
      <c r="T544" s="18">
        <v>40900</v>
      </c>
      <c r="U544" s="18">
        <f t="shared" si="28"/>
        <v>31500.000000000004</v>
      </c>
      <c r="V544">
        <v>1</v>
      </c>
      <c r="W544" s="18">
        <v>261790</v>
      </c>
      <c r="X544">
        <v>1</v>
      </c>
      <c r="Y544">
        <v>1</v>
      </c>
      <c r="Z544" s="17">
        <v>0.14778146894430066</v>
      </c>
      <c r="AA544" t="str">
        <f t="shared" si="25"/>
        <v>1-CT</v>
      </c>
      <c r="AB544" s="9">
        <f t="shared" si="26"/>
        <v>330000</v>
      </c>
      <c r="AC544" s="9">
        <f t="shared" si="27"/>
        <v>443344.40683290199</v>
      </c>
    </row>
    <row r="545" spans="1:29" x14ac:dyDescent="0.25">
      <c r="A545" t="s">
        <v>272</v>
      </c>
      <c r="B545">
        <v>30008</v>
      </c>
      <c r="C545" s="8">
        <v>45586</v>
      </c>
      <c r="D545">
        <v>326186</v>
      </c>
      <c r="E545" s="14">
        <v>2</v>
      </c>
      <c r="F545" t="s">
        <v>356</v>
      </c>
      <c r="G545" s="14">
        <v>6</v>
      </c>
      <c r="H545" t="s">
        <v>31</v>
      </c>
      <c r="I545" t="s">
        <v>287</v>
      </c>
      <c r="J545" s="16"/>
      <c r="K545"/>
      <c r="L545" t="s">
        <v>276</v>
      </c>
      <c r="M545" s="12">
        <v>5000000</v>
      </c>
      <c r="N545" s="14">
        <v>4</v>
      </c>
      <c r="O545" s="14">
        <v>0</v>
      </c>
      <c r="P545" s="14">
        <v>1</v>
      </c>
      <c r="Q545" s="17">
        <v>0.11</v>
      </c>
      <c r="R545" s="18">
        <v>23780</v>
      </c>
      <c r="S545">
        <v>1</v>
      </c>
      <c r="T545" s="18">
        <v>20000</v>
      </c>
      <c r="U545" s="18">
        <f t="shared" si="28"/>
        <v>52500</v>
      </c>
      <c r="V545">
        <v>1</v>
      </c>
      <c r="W545" s="18">
        <v>1284702</v>
      </c>
      <c r="X545">
        <v>1</v>
      </c>
      <c r="Y545">
        <v>1</v>
      </c>
      <c r="Z545" s="17">
        <v>0.22797067038345267</v>
      </c>
      <c r="AA545" t="str">
        <f t="shared" si="25"/>
        <v>1-CT</v>
      </c>
      <c r="AB545" s="9">
        <f t="shared" si="26"/>
        <v>550000</v>
      </c>
      <c r="AC545" s="9">
        <f t="shared" si="27"/>
        <v>1139853.3519172634</v>
      </c>
    </row>
    <row r="546" spans="1:29" x14ac:dyDescent="0.25">
      <c r="A546" t="s">
        <v>272</v>
      </c>
      <c r="B546">
        <v>30008</v>
      </c>
      <c r="C546" s="8">
        <v>45586</v>
      </c>
      <c r="D546">
        <v>326186</v>
      </c>
      <c r="E546" s="14">
        <v>2</v>
      </c>
      <c r="F546" t="s">
        <v>357</v>
      </c>
      <c r="G546" s="14">
        <v>6</v>
      </c>
      <c r="H546" t="s">
        <v>31</v>
      </c>
      <c r="I546" t="s">
        <v>358</v>
      </c>
      <c r="J546" s="16"/>
      <c r="K546"/>
      <c r="L546" t="s">
        <v>301</v>
      </c>
      <c r="M546" s="12">
        <v>1000000</v>
      </c>
      <c r="N546" s="14">
        <v>12</v>
      </c>
      <c r="O546" s="14">
        <v>0</v>
      </c>
      <c r="P546" s="14">
        <v>1</v>
      </c>
      <c r="Q546" s="17">
        <v>0.11</v>
      </c>
      <c r="R546" s="18">
        <v>23780</v>
      </c>
      <c r="S546">
        <v>1</v>
      </c>
      <c r="T546" s="18">
        <v>16000</v>
      </c>
      <c r="U546" s="18">
        <f t="shared" si="28"/>
        <v>10500</v>
      </c>
      <c r="V546">
        <v>1</v>
      </c>
      <c r="W546" s="18">
        <v>89439</v>
      </c>
      <c r="X546">
        <v>1</v>
      </c>
      <c r="Y546">
        <v>1</v>
      </c>
      <c r="Z546" s="17">
        <v>0.2320249044933928</v>
      </c>
      <c r="AA546" t="str">
        <f t="shared" si="25"/>
        <v>1-CT</v>
      </c>
      <c r="AB546" s="9">
        <f t="shared" si="26"/>
        <v>110000</v>
      </c>
      <c r="AC546" s="9">
        <f t="shared" si="27"/>
        <v>232024.90449339279</v>
      </c>
    </row>
    <row r="547" spans="1:29" x14ac:dyDescent="0.25">
      <c r="A547" t="s">
        <v>272</v>
      </c>
      <c r="B547">
        <v>30008</v>
      </c>
      <c r="C547" s="8">
        <v>45586</v>
      </c>
      <c r="D547">
        <v>326186</v>
      </c>
      <c r="E547" s="14">
        <v>2</v>
      </c>
      <c r="F547" t="s">
        <v>359</v>
      </c>
      <c r="G547" s="14">
        <v>6</v>
      </c>
      <c r="H547" t="s">
        <v>31</v>
      </c>
      <c r="I547" t="s">
        <v>291</v>
      </c>
      <c r="J547" s="16"/>
      <c r="K547"/>
      <c r="L547" t="s">
        <v>276</v>
      </c>
      <c r="M547" s="12">
        <v>3000000</v>
      </c>
      <c r="N547" s="14">
        <v>7</v>
      </c>
      <c r="O547" s="14">
        <v>0</v>
      </c>
      <c r="P547" s="14">
        <v>1</v>
      </c>
      <c r="Q547" s="17">
        <v>0.11</v>
      </c>
      <c r="R547" s="18">
        <v>23780</v>
      </c>
      <c r="S547">
        <v>1</v>
      </c>
      <c r="T547" s="18">
        <v>20500</v>
      </c>
      <c r="U547" s="18">
        <f t="shared" si="28"/>
        <v>31500.000000000004</v>
      </c>
      <c r="V547">
        <v>1</v>
      </c>
      <c r="W547" s="18">
        <v>447800</v>
      </c>
      <c r="X547">
        <v>1</v>
      </c>
      <c r="Y547">
        <v>1</v>
      </c>
      <c r="Z547" s="17">
        <v>0.21211617809740535</v>
      </c>
      <c r="AA547" t="str">
        <f t="shared" si="25"/>
        <v>1-CT</v>
      </c>
      <c r="AB547" s="9">
        <f t="shared" si="26"/>
        <v>330000</v>
      </c>
      <c r="AC547" s="9">
        <f t="shared" si="27"/>
        <v>636348.53429221606</v>
      </c>
    </row>
    <row r="548" spans="1:29" x14ac:dyDescent="0.25">
      <c r="A548" t="s">
        <v>272</v>
      </c>
      <c r="B548">
        <v>30008</v>
      </c>
      <c r="C548" s="8">
        <v>45586</v>
      </c>
      <c r="D548">
        <v>326186</v>
      </c>
      <c r="E548" s="14">
        <v>2</v>
      </c>
      <c r="F548" t="s">
        <v>360</v>
      </c>
      <c r="G548" s="14">
        <v>6</v>
      </c>
      <c r="H548" t="s">
        <v>31</v>
      </c>
      <c r="I548" t="s">
        <v>291</v>
      </c>
      <c r="J548" s="16"/>
      <c r="K548"/>
      <c r="L548" t="s">
        <v>276</v>
      </c>
      <c r="M548" s="12">
        <v>1000000</v>
      </c>
      <c r="N548" s="14">
        <v>12</v>
      </c>
      <c r="O548" s="14">
        <v>0</v>
      </c>
      <c r="P548" s="14">
        <v>1</v>
      </c>
      <c r="Q548" s="17">
        <v>0.11</v>
      </c>
      <c r="R548" s="18">
        <v>23780</v>
      </c>
      <c r="S548">
        <v>1</v>
      </c>
      <c r="T548" s="18">
        <v>9300</v>
      </c>
      <c r="U548" s="18">
        <f t="shared" si="28"/>
        <v>10500</v>
      </c>
      <c r="V548">
        <v>1</v>
      </c>
      <c r="W548" s="18">
        <v>89439</v>
      </c>
      <c r="X548">
        <v>1</v>
      </c>
      <c r="Y548">
        <v>1</v>
      </c>
      <c r="Z548" s="17">
        <v>0.21833686268737956</v>
      </c>
      <c r="AA548" t="str">
        <f t="shared" si="25"/>
        <v>1-CT</v>
      </c>
      <c r="AB548" s="9">
        <f t="shared" si="26"/>
        <v>110000</v>
      </c>
      <c r="AC548" s="9">
        <f t="shared" si="27"/>
        <v>218336.86268737956</v>
      </c>
    </row>
    <row r="549" spans="1:29" x14ac:dyDescent="0.25">
      <c r="A549" t="s">
        <v>272</v>
      </c>
      <c r="B549">
        <v>30008</v>
      </c>
      <c r="C549" s="8">
        <v>45586</v>
      </c>
      <c r="D549">
        <v>326186</v>
      </c>
      <c r="E549" s="14">
        <v>2</v>
      </c>
      <c r="F549" t="s">
        <v>361</v>
      </c>
      <c r="G549" s="14">
        <v>6</v>
      </c>
      <c r="H549" t="s">
        <v>31</v>
      </c>
      <c r="I549" t="s">
        <v>291</v>
      </c>
      <c r="J549" s="16"/>
      <c r="K549"/>
      <c r="L549" t="s">
        <v>276</v>
      </c>
      <c r="M549" s="12">
        <v>800000</v>
      </c>
      <c r="N549" s="14">
        <v>12</v>
      </c>
      <c r="O549" s="14">
        <v>0</v>
      </c>
      <c r="P549" s="14">
        <v>1</v>
      </c>
      <c r="Q549" s="17">
        <v>0.11</v>
      </c>
      <c r="R549" s="18">
        <v>23780</v>
      </c>
      <c r="S549">
        <v>1</v>
      </c>
      <c r="T549" s="18">
        <v>8440</v>
      </c>
      <c r="U549" s="18">
        <f t="shared" si="28"/>
        <v>8400</v>
      </c>
      <c r="V549">
        <v>1</v>
      </c>
      <c r="W549" s="18">
        <v>71540</v>
      </c>
      <c r="X549">
        <v>1</v>
      </c>
      <c r="Y549">
        <v>1</v>
      </c>
      <c r="Z549" s="17">
        <v>0.23273641758748381</v>
      </c>
      <c r="AA549" t="str">
        <f t="shared" si="25"/>
        <v>1-CT</v>
      </c>
      <c r="AB549" s="9">
        <f t="shared" si="26"/>
        <v>88000</v>
      </c>
      <c r="AC549" s="9">
        <f t="shared" si="27"/>
        <v>186189.13406998705</v>
      </c>
    </row>
    <row r="550" spans="1:29" x14ac:dyDescent="0.25">
      <c r="A550" t="s">
        <v>272</v>
      </c>
      <c r="B550">
        <v>30008</v>
      </c>
      <c r="C550" s="8">
        <v>45586</v>
      </c>
      <c r="D550">
        <v>326186</v>
      </c>
      <c r="E550" s="14">
        <v>2</v>
      </c>
      <c r="F550" t="s">
        <v>362</v>
      </c>
      <c r="G550" s="14">
        <v>6</v>
      </c>
      <c r="H550" t="s">
        <v>31</v>
      </c>
      <c r="I550" t="s">
        <v>291</v>
      </c>
      <c r="J550" s="16"/>
      <c r="K550"/>
      <c r="L550" t="s">
        <v>276</v>
      </c>
      <c r="M550" s="12">
        <v>600000</v>
      </c>
      <c r="N550" s="14">
        <v>12</v>
      </c>
      <c r="O550" s="14">
        <v>0</v>
      </c>
      <c r="P550" s="14">
        <v>1</v>
      </c>
      <c r="Q550" s="17">
        <v>0.11</v>
      </c>
      <c r="R550" s="18">
        <v>23780</v>
      </c>
      <c r="S550">
        <v>1</v>
      </c>
      <c r="T550" s="18">
        <v>13600</v>
      </c>
      <c r="U550" s="18">
        <f t="shared" si="28"/>
        <v>6300</v>
      </c>
      <c r="V550">
        <v>1</v>
      </c>
      <c r="W550" s="18">
        <v>52374</v>
      </c>
      <c r="X550">
        <v>1</v>
      </c>
      <c r="Y550">
        <v>1</v>
      </c>
      <c r="Z550" s="17">
        <v>0.23139500164093027</v>
      </c>
      <c r="AA550" t="str">
        <f t="shared" si="25"/>
        <v>1-CT</v>
      </c>
      <c r="AB550" s="9">
        <f t="shared" si="26"/>
        <v>66000</v>
      </c>
      <c r="AC550" s="9">
        <f t="shared" si="27"/>
        <v>138837.00098455817</v>
      </c>
    </row>
    <row r="551" spans="1:29" x14ac:dyDescent="0.25">
      <c r="A551" t="s">
        <v>272</v>
      </c>
      <c r="B551">
        <v>30008</v>
      </c>
      <c r="C551" s="8">
        <v>45587</v>
      </c>
      <c r="D551">
        <v>316261</v>
      </c>
      <c r="E551" s="14">
        <v>2</v>
      </c>
      <c r="F551" t="s">
        <v>363</v>
      </c>
      <c r="G551" s="14">
        <v>6</v>
      </c>
      <c r="H551" t="s">
        <v>31</v>
      </c>
      <c r="I551" t="s">
        <v>291</v>
      </c>
      <c r="J551" s="16"/>
      <c r="K551"/>
      <c r="L551" t="s">
        <v>276</v>
      </c>
      <c r="M551" s="12">
        <v>2500000</v>
      </c>
      <c r="N551" s="14">
        <v>36</v>
      </c>
      <c r="O551" s="14">
        <v>0</v>
      </c>
      <c r="P551" s="14">
        <v>1</v>
      </c>
      <c r="Q551" s="17">
        <v>0.12</v>
      </c>
      <c r="R551" s="18">
        <v>95120</v>
      </c>
      <c r="S551">
        <v>1</v>
      </c>
      <c r="T551" s="18">
        <v>55000</v>
      </c>
      <c r="U551" s="18">
        <f t="shared" si="28"/>
        <v>26250</v>
      </c>
      <c r="V551">
        <v>1</v>
      </c>
      <c r="W551" s="18">
        <v>86000</v>
      </c>
      <c r="X551">
        <v>1</v>
      </c>
      <c r="Y551">
        <v>1</v>
      </c>
      <c r="Z551" s="17">
        <v>0.19700303186496326</v>
      </c>
      <c r="AA551" t="str">
        <f t="shared" si="25"/>
        <v>2-MT</v>
      </c>
      <c r="AB551" s="9">
        <f t="shared" si="26"/>
        <v>300000</v>
      </c>
      <c r="AC551" s="9">
        <f t="shared" si="27"/>
        <v>492507.57966240816</v>
      </c>
    </row>
    <row r="552" spans="1:29" x14ac:dyDescent="0.25">
      <c r="A552" t="s">
        <v>272</v>
      </c>
      <c r="B552">
        <v>30008</v>
      </c>
      <c r="C552" s="8">
        <v>45587</v>
      </c>
      <c r="D552">
        <v>326186</v>
      </c>
      <c r="E552" s="14">
        <v>2</v>
      </c>
      <c r="F552" t="s">
        <v>364</v>
      </c>
      <c r="G552" s="14">
        <v>6</v>
      </c>
      <c r="H552" t="s">
        <v>31</v>
      </c>
      <c r="I552" t="s">
        <v>291</v>
      </c>
      <c r="J552" s="16"/>
      <c r="K552"/>
      <c r="L552" t="s">
        <v>276</v>
      </c>
      <c r="M552" s="12">
        <v>2000000</v>
      </c>
      <c r="N552" s="14">
        <v>12</v>
      </c>
      <c r="O552" s="14">
        <v>0</v>
      </c>
      <c r="P552" s="14">
        <v>1</v>
      </c>
      <c r="Q552" s="17">
        <v>0.11</v>
      </c>
      <c r="R552" s="18">
        <v>23780</v>
      </c>
      <c r="S552">
        <v>1</v>
      </c>
      <c r="T552" s="18">
        <v>22000</v>
      </c>
      <c r="U552" s="18">
        <f t="shared" si="28"/>
        <v>21000</v>
      </c>
      <c r="V552">
        <v>1</v>
      </c>
      <c r="W552" s="18">
        <v>178730</v>
      </c>
      <c r="X552">
        <v>1</v>
      </c>
      <c r="Y552">
        <v>1</v>
      </c>
      <c r="Z552" s="17">
        <v>0.19618401826312493</v>
      </c>
      <c r="AA552" t="str">
        <f t="shared" si="25"/>
        <v>1-CT</v>
      </c>
      <c r="AB552" s="9">
        <f t="shared" si="26"/>
        <v>220000</v>
      </c>
      <c r="AC552" s="9">
        <f t="shared" si="27"/>
        <v>392368.03652624984</v>
      </c>
    </row>
    <row r="553" spans="1:29" x14ac:dyDescent="0.25">
      <c r="A553" t="s">
        <v>272</v>
      </c>
      <c r="B553">
        <v>30008</v>
      </c>
      <c r="C553" s="8">
        <v>45587</v>
      </c>
      <c r="D553">
        <v>326186</v>
      </c>
      <c r="E553" s="14">
        <v>2</v>
      </c>
      <c r="F553" t="s">
        <v>365</v>
      </c>
      <c r="G553" s="14">
        <v>6</v>
      </c>
      <c r="H553" t="s">
        <v>31</v>
      </c>
      <c r="I553" t="s">
        <v>291</v>
      </c>
      <c r="J553" s="16"/>
      <c r="K553"/>
      <c r="L553" t="s">
        <v>276</v>
      </c>
      <c r="M553" s="12">
        <v>2500000</v>
      </c>
      <c r="N553" s="14">
        <v>12</v>
      </c>
      <c r="O553" s="14">
        <v>0</v>
      </c>
      <c r="P553" s="14">
        <v>1</v>
      </c>
      <c r="Q553" s="17">
        <v>0.11</v>
      </c>
      <c r="R553" s="18">
        <v>23780</v>
      </c>
      <c r="S553">
        <v>1</v>
      </c>
      <c r="T553" s="18">
        <v>34500</v>
      </c>
      <c r="U553" s="18">
        <f t="shared" si="28"/>
        <v>26250</v>
      </c>
      <c r="V553">
        <v>1</v>
      </c>
      <c r="W553" s="18">
        <v>223563</v>
      </c>
      <c r="X553">
        <v>1</v>
      </c>
      <c r="Y553">
        <v>1</v>
      </c>
      <c r="Z553" s="17">
        <v>0.19833124171150196</v>
      </c>
      <c r="AA553" t="str">
        <f t="shared" si="25"/>
        <v>1-CT</v>
      </c>
      <c r="AB553" s="9">
        <f t="shared" si="26"/>
        <v>275000</v>
      </c>
      <c r="AC553" s="9">
        <f t="shared" si="27"/>
        <v>495828.10427875491</v>
      </c>
    </row>
    <row r="554" spans="1:29" x14ac:dyDescent="0.25">
      <c r="A554" t="s">
        <v>272</v>
      </c>
      <c r="B554">
        <v>30008</v>
      </c>
      <c r="C554" s="8">
        <v>45587</v>
      </c>
      <c r="D554">
        <v>316261</v>
      </c>
      <c r="E554" s="14">
        <v>2</v>
      </c>
      <c r="F554" t="s">
        <v>366</v>
      </c>
      <c r="G554" s="14">
        <v>6</v>
      </c>
      <c r="H554" t="s">
        <v>31</v>
      </c>
      <c r="I554" t="s">
        <v>287</v>
      </c>
      <c r="J554" s="16"/>
      <c r="K554"/>
      <c r="L554" t="s">
        <v>276</v>
      </c>
      <c r="M554" s="12">
        <v>2500000</v>
      </c>
      <c r="N554" s="14">
        <v>36</v>
      </c>
      <c r="O554" s="14">
        <v>0</v>
      </c>
      <c r="P554" s="14">
        <v>1</v>
      </c>
      <c r="Q554" s="17">
        <v>0.12</v>
      </c>
      <c r="R554" s="18">
        <v>95120</v>
      </c>
      <c r="S554">
        <v>1</v>
      </c>
      <c r="T554" s="18">
        <v>55000</v>
      </c>
      <c r="U554" s="18">
        <f t="shared" si="28"/>
        <v>26250</v>
      </c>
      <c r="V554">
        <v>1</v>
      </c>
      <c r="W554" s="18">
        <v>86004</v>
      </c>
      <c r="X554">
        <v>1</v>
      </c>
      <c r="Y554">
        <v>1</v>
      </c>
      <c r="Z554" s="17">
        <v>0.19703689473363689</v>
      </c>
      <c r="AA554" t="str">
        <f t="shared" si="25"/>
        <v>2-MT</v>
      </c>
      <c r="AB554" s="9">
        <f t="shared" si="26"/>
        <v>300000</v>
      </c>
      <c r="AC554" s="9">
        <f t="shared" si="27"/>
        <v>492592.23683409224</v>
      </c>
    </row>
    <row r="555" spans="1:29" x14ac:dyDescent="0.25">
      <c r="A555" t="s">
        <v>272</v>
      </c>
      <c r="B555">
        <v>30008</v>
      </c>
      <c r="C555" s="8">
        <v>45587</v>
      </c>
      <c r="D555">
        <v>326186</v>
      </c>
      <c r="E555" s="14">
        <v>2</v>
      </c>
      <c r="F555" t="s">
        <v>367</v>
      </c>
      <c r="G555" s="14">
        <v>6</v>
      </c>
      <c r="H555" t="s">
        <v>31</v>
      </c>
      <c r="I555" t="s">
        <v>287</v>
      </c>
      <c r="J555" s="16"/>
      <c r="K555"/>
      <c r="L555" t="s">
        <v>276</v>
      </c>
      <c r="M555" s="12">
        <v>720000</v>
      </c>
      <c r="N555" s="14">
        <v>12</v>
      </c>
      <c r="O555" s="14">
        <v>0</v>
      </c>
      <c r="P555" s="14">
        <v>1</v>
      </c>
      <c r="Q555" s="17">
        <v>0.11</v>
      </c>
      <c r="R555" s="18">
        <v>17835</v>
      </c>
      <c r="S555">
        <v>1</v>
      </c>
      <c r="T555" s="18">
        <v>14320</v>
      </c>
      <c r="U555" s="18">
        <f t="shared" si="28"/>
        <v>7560.0000000000009</v>
      </c>
      <c r="V555">
        <v>1</v>
      </c>
      <c r="W555" s="18">
        <v>64396</v>
      </c>
      <c r="X555">
        <v>1</v>
      </c>
      <c r="Y555">
        <v>1</v>
      </c>
      <c r="Z555" s="17">
        <v>0.24208084608164235</v>
      </c>
      <c r="AA555" t="str">
        <f t="shared" si="25"/>
        <v>1-CT</v>
      </c>
      <c r="AB555" s="9">
        <f t="shared" si="26"/>
        <v>79200</v>
      </c>
      <c r="AC555" s="9">
        <f t="shared" si="27"/>
        <v>174298.2091787825</v>
      </c>
    </row>
    <row r="556" spans="1:29" x14ac:dyDescent="0.25">
      <c r="A556" t="s">
        <v>272</v>
      </c>
      <c r="B556">
        <v>30008</v>
      </c>
      <c r="C556" s="8">
        <v>45587</v>
      </c>
      <c r="D556">
        <v>326186</v>
      </c>
      <c r="E556" s="14">
        <v>2</v>
      </c>
      <c r="F556" t="s">
        <v>368</v>
      </c>
      <c r="G556" s="14">
        <v>6</v>
      </c>
      <c r="H556" t="s">
        <v>31</v>
      </c>
      <c r="I556" t="s">
        <v>283</v>
      </c>
      <c r="J556" s="16"/>
      <c r="K556"/>
      <c r="L556" t="s">
        <v>369</v>
      </c>
      <c r="M556" s="12">
        <v>6000000</v>
      </c>
      <c r="N556" s="14">
        <v>20</v>
      </c>
      <c r="O556" s="14">
        <v>0</v>
      </c>
      <c r="P556" s="14">
        <v>1</v>
      </c>
      <c r="Q556" s="17">
        <v>0.13</v>
      </c>
      <c r="R556" s="18">
        <v>178350</v>
      </c>
      <c r="S556">
        <v>1</v>
      </c>
      <c r="T556" s="18">
        <v>70000</v>
      </c>
      <c r="U556" s="18">
        <f t="shared" si="28"/>
        <v>63000.000000000007</v>
      </c>
      <c r="V556">
        <v>1</v>
      </c>
      <c r="W556" s="18">
        <v>342769</v>
      </c>
      <c r="X556">
        <v>1</v>
      </c>
      <c r="Y556">
        <v>1</v>
      </c>
      <c r="Z556" s="17">
        <v>0.22158720162760626</v>
      </c>
      <c r="AA556" t="str">
        <f t="shared" si="25"/>
        <v>1-CT</v>
      </c>
      <c r="AB556" s="9">
        <f t="shared" si="26"/>
        <v>780000</v>
      </c>
      <c r="AC556" s="9">
        <f t="shared" si="27"/>
        <v>1329523.2097656375</v>
      </c>
    </row>
    <row r="557" spans="1:29" x14ac:dyDescent="0.25">
      <c r="A557" t="s">
        <v>272</v>
      </c>
      <c r="B557">
        <v>30008</v>
      </c>
      <c r="C557" s="8">
        <v>45587</v>
      </c>
      <c r="D557">
        <v>316261</v>
      </c>
      <c r="E557" s="14">
        <v>2</v>
      </c>
      <c r="F557" t="s">
        <v>370</v>
      </c>
      <c r="G557" s="14">
        <v>6</v>
      </c>
      <c r="H557" t="s">
        <v>31</v>
      </c>
      <c r="I557" t="s">
        <v>358</v>
      </c>
      <c r="J557" s="16"/>
      <c r="K557"/>
      <c r="L557" t="s">
        <v>276</v>
      </c>
      <c r="M557" s="12">
        <v>3000000</v>
      </c>
      <c r="N557" s="14">
        <v>36</v>
      </c>
      <c r="O557" s="14">
        <v>0</v>
      </c>
      <c r="P557" s="14">
        <v>1</v>
      </c>
      <c r="Q557" s="17">
        <v>0.12</v>
      </c>
      <c r="R557" s="18">
        <v>116522</v>
      </c>
      <c r="S557">
        <v>1</v>
      </c>
      <c r="T557" s="18">
        <v>64000</v>
      </c>
      <c r="U557" s="18">
        <f t="shared" si="28"/>
        <v>31500.000000000004</v>
      </c>
      <c r="V557">
        <v>1</v>
      </c>
      <c r="W557" s="18">
        <v>103201</v>
      </c>
      <c r="X557">
        <v>1</v>
      </c>
      <c r="Y557">
        <v>1</v>
      </c>
      <c r="Z557" s="17">
        <v>0.19710879544744814</v>
      </c>
      <c r="AA557" t="str">
        <f t="shared" si="25"/>
        <v>2-MT</v>
      </c>
      <c r="AB557" s="9">
        <f t="shared" si="26"/>
        <v>360000</v>
      </c>
      <c r="AC557" s="9">
        <f t="shared" si="27"/>
        <v>591326.38634234446</v>
      </c>
    </row>
    <row r="558" spans="1:29" x14ac:dyDescent="0.25">
      <c r="A558" t="s">
        <v>272</v>
      </c>
      <c r="B558">
        <v>30008</v>
      </c>
      <c r="C558" s="8">
        <v>45587</v>
      </c>
      <c r="D558">
        <v>316261</v>
      </c>
      <c r="E558" s="14">
        <v>2</v>
      </c>
      <c r="F558" t="s">
        <v>371</v>
      </c>
      <c r="G558" s="14">
        <v>6</v>
      </c>
      <c r="H558" t="s">
        <v>31</v>
      </c>
      <c r="I558" t="s">
        <v>372</v>
      </c>
      <c r="J558" s="16"/>
      <c r="K558"/>
      <c r="L558" t="s">
        <v>301</v>
      </c>
      <c r="M558" s="12">
        <v>3500000</v>
      </c>
      <c r="N558" s="14">
        <v>36</v>
      </c>
      <c r="O558" s="14">
        <v>0</v>
      </c>
      <c r="P558" s="14">
        <v>1</v>
      </c>
      <c r="Q558" s="17">
        <v>0.12</v>
      </c>
      <c r="R558" s="18">
        <v>118900</v>
      </c>
      <c r="S558">
        <v>1</v>
      </c>
      <c r="T558" s="18">
        <v>73000</v>
      </c>
      <c r="U558" s="18">
        <f t="shared" si="28"/>
        <v>36750</v>
      </c>
      <c r="V558">
        <v>1</v>
      </c>
      <c r="W558" s="18">
        <v>120426</v>
      </c>
      <c r="X558">
        <v>1</v>
      </c>
      <c r="Y558">
        <v>1</v>
      </c>
      <c r="Z558" s="17">
        <v>0.19308778547375982</v>
      </c>
      <c r="AA558" t="str">
        <f t="shared" si="25"/>
        <v>2-MT</v>
      </c>
      <c r="AB558" s="9">
        <f t="shared" si="26"/>
        <v>420000</v>
      </c>
      <c r="AC558" s="9">
        <f t="shared" si="27"/>
        <v>675807.24915815936</v>
      </c>
    </row>
    <row r="559" spans="1:29" x14ac:dyDescent="0.25">
      <c r="A559" t="s">
        <v>272</v>
      </c>
      <c r="B559">
        <v>30008</v>
      </c>
      <c r="C559" s="8">
        <v>45587</v>
      </c>
      <c r="D559">
        <v>316261</v>
      </c>
      <c r="E559" s="14">
        <v>2</v>
      </c>
      <c r="F559" t="s">
        <v>373</v>
      </c>
      <c r="G559" s="14">
        <v>6</v>
      </c>
      <c r="H559" t="s">
        <v>31</v>
      </c>
      <c r="I559" t="s">
        <v>374</v>
      </c>
      <c r="J559" s="16"/>
      <c r="K559"/>
      <c r="L559" t="s">
        <v>301</v>
      </c>
      <c r="M559" s="12">
        <v>15000000</v>
      </c>
      <c r="N559" s="14">
        <v>36</v>
      </c>
      <c r="O559" s="14">
        <v>0</v>
      </c>
      <c r="P559" s="14">
        <v>1</v>
      </c>
      <c r="Q559" s="17">
        <v>0.12</v>
      </c>
      <c r="R559" s="18">
        <v>356700</v>
      </c>
      <c r="S559">
        <v>1</v>
      </c>
      <c r="T559" s="18">
        <v>225500</v>
      </c>
      <c r="U559" s="18">
        <f t="shared" si="28"/>
        <v>157500</v>
      </c>
      <c r="V559">
        <v>1</v>
      </c>
      <c r="W559" s="18">
        <v>518680</v>
      </c>
      <c r="X559">
        <v>1</v>
      </c>
      <c r="Y559">
        <v>1</v>
      </c>
      <c r="Z559" s="17">
        <v>0.18437620962620363</v>
      </c>
      <c r="AA559" t="str">
        <f t="shared" si="25"/>
        <v>2-MT</v>
      </c>
      <c r="AB559" s="9">
        <f t="shared" si="26"/>
        <v>1800000</v>
      </c>
      <c r="AC559" s="9">
        <f t="shared" si="27"/>
        <v>2765643.1443930543</v>
      </c>
    </row>
    <row r="560" spans="1:29" x14ac:dyDescent="0.25">
      <c r="A560" t="s">
        <v>272</v>
      </c>
      <c r="B560">
        <v>30008</v>
      </c>
      <c r="C560" s="8">
        <v>45588</v>
      </c>
      <c r="D560">
        <v>326186</v>
      </c>
      <c r="E560" s="14">
        <v>2</v>
      </c>
      <c r="F560" t="s">
        <v>375</v>
      </c>
      <c r="G560" s="14">
        <v>6</v>
      </c>
      <c r="H560" t="s">
        <v>31</v>
      </c>
      <c r="I560" t="s">
        <v>291</v>
      </c>
      <c r="J560" s="16"/>
      <c r="K560"/>
      <c r="L560" t="s">
        <v>276</v>
      </c>
      <c r="M560" s="12">
        <v>2000000</v>
      </c>
      <c r="N560" s="14">
        <v>12</v>
      </c>
      <c r="O560" s="14">
        <v>0</v>
      </c>
      <c r="P560" s="14">
        <v>1</v>
      </c>
      <c r="Q560" s="17">
        <v>0.11</v>
      </c>
      <c r="R560" s="18">
        <v>23780</v>
      </c>
      <c r="S560">
        <v>1</v>
      </c>
      <c r="T560" s="18">
        <v>28600</v>
      </c>
      <c r="U560" s="18">
        <f t="shared" si="28"/>
        <v>21000</v>
      </c>
      <c r="V560">
        <v>1</v>
      </c>
      <c r="W560" s="18">
        <v>178876</v>
      </c>
      <c r="X560">
        <v>1</v>
      </c>
      <c r="Y560">
        <v>1</v>
      </c>
      <c r="Z560" s="17">
        <v>0.20438423549754209</v>
      </c>
      <c r="AA560" t="str">
        <f t="shared" si="25"/>
        <v>1-CT</v>
      </c>
      <c r="AB560" s="9">
        <f t="shared" si="26"/>
        <v>220000</v>
      </c>
      <c r="AC560" s="9">
        <f t="shared" si="27"/>
        <v>408768.47099508415</v>
      </c>
    </row>
    <row r="561" spans="1:29" x14ac:dyDescent="0.25">
      <c r="A561" t="s">
        <v>272</v>
      </c>
      <c r="B561">
        <v>30008</v>
      </c>
      <c r="C561" s="8">
        <v>45588</v>
      </c>
      <c r="D561">
        <v>326186</v>
      </c>
      <c r="E561" s="14">
        <v>2</v>
      </c>
      <c r="F561" t="s">
        <v>376</v>
      </c>
      <c r="G561" s="14">
        <v>6</v>
      </c>
      <c r="H561" t="s">
        <v>31</v>
      </c>
      <c r="I561" t="s">
        <v>377</v>
      </c>
      <c r="J561" s="16"/>
      <c r="K561"/>
      <c r="L561" t="s">
        <v>276</v>
      </c>
      <c r="M561" s="12">
        <v>1500000</v>
      </c>
      <c r="N561" s="14">
        <v>12</v>
      </c>
      <c r="O561" s="14">
        <v>0</v>
      </c>
      <c r="P561" s="14">
        <v>1</v>
      </c>
      <c r="Q561" s="17">
        <v>0.11</v>
      </c>
      <c r="R561" s="18">
        <v>23780</v>
      </c>
      <c r="S561">
        <v>1</v>
      </c>
      <c r="T561" s="18">
        <v>11450</v>
      </c>
      <c r="U561" s="18">
        <f t="shared" si="28"/>
        <v>15750.000000000002</v>
      </c>
      <c r="V561">
        <v>1</v>
      </c>
      <c r="W561" s="18">
        <v>134138</v>
      </c>
      <c r="X561">
        <v>1</v>
      </c>
      <c r="Y561">
        <v>1</v>
      </c>
      <c r="Z561" s="17">
        <v>0.19868393969100798</v>
      </c>
      <c r="AA561" t="str">
        <f t="shared" si="25"/>
        <v>1-CT</v>
      </c>
      <c r="AB561" s="9">
        <f t="shared" si="26"/>
        <v>165000</v>
      </c>
      <c r="AC561" s="9">
        <f t="shared" si="27"/>
        <v>298025.90953651199</v>
      </c>
    </row>
    <row r="562" spans="1:29" x14ac:dyDescent="0.25">
      <c r="A562" t="s">
        <v>272</v>
      </c>
      <c r="B562">
        <v>30008</v>
      </c>
      <c r="C562" s="8">
        <v>45588</v>
      </c>
      <c r="D562">
        <v>326186</v>
      </c>
      <c r="E562" s="14">
        <v>2</v>
      </c>
      <c r="F562" t="s">
        <v>378</v>
      </c>
      <c r="G562" s="14">
        <v>6</v>
      </c>
      <c r="H562" t="s">
        <v>31</v>
      </c>
      <c r="I562" t="s">
        <v>275</v>
      </c>
      <c r="J562" s="16"/>
      <c r="K562"/>
      <c r="L562" t="s">
        <v>301</v>
      </c>
      <c r="M562" s="12">
        <v>4250000</v>
      </c>
      <c r="N562" s="14">
        <v>12</v>
      </c>
      <c r="O562" s="14">
        <v>0</v>
      </c>
      <c r="P562" s="14">
        <v>1</v>
      </c>
      <c r="Q562" s="17">
        <v>0.11</v>
      </c>
      <c r="R562" s="18">
        <v>23780</v>
      </c>
      <c r="S562">
        <v>1</v>
      </c>
      <c r="T562" s="18">
        <v>35500</v>
      </c>
      <c r="U562" s="18">
        <f t="shared" si="28"/>
        <v>44625</v>
      </c>
      <c r="V562">
        <v>1</v>
      </c>
      <c r="W562" s="18">
        <v>380057</v>
      </c>
      <c r="X562">
        <v>1</v>
      </c>
      <c r="Y562">
        <v>1</v>
      </c>
      <c r="Z562" s="17">
        <v>0.17971131652748248</v>
      </c>
      <c r="AA562" t="str">
        <f t="shared" si="25"/>
        <v>1-CT</v>
      </c>
      <c r="AB562" s="9">
        <f t="shared" si="26"/>
        <v>467500</v>
      </c>
      <c r="AC562" s="9">
        <f t="shared" si="27"/>
        <v>763773.09524180053</v>
      </c>
    </row>
    <row r="563" spans="1:29" x14ac:dyDescent="0.25">
      <c r="A563" t="s">
        <v>272</v>
      </c>
      <c r="B563">
        <v>30008</v>
      </c>
      <c r="C563" s="8">
        <v>45588</v>
      </c>
      <c r="D563">
        <v>326186</v>
      </c>
      <c r="E563" s="14">
        <v>2</v>
      </c>
      <c r="F563" t="s">
        <v>379</v>
      </c>
      <c r="G563" s="14">
        <v>6</v>
      </c>
      <c r="H563" t="s">
        <v>31</v>
      </c>
      <c r="I563" t="s">
        <v>319</v>
      </c>
      <c r="J563" s="16"/>
      <c r="K563"/>
      <c r="L563" t="s">
        <v>301</v>
      </c>
      <c r="M563" s="12">
        <v>700000</v>
      </c>
      <c r="N563" s="14">
        <v>12</v>
      </c>
      <c r="O563" s="14">
        <v>0</v>
      </c>
      <c r="P563" s="14">
        <v>1</v>
      </c>
      <c r="Q563" s="17">
        <v>0.11</v>
      </c>
      <c r="R563" s="18">
        <v>23780</v>
      </c>
      <c r="S563">
        <v>1</v>
      </c>
      <c r="T563" s="18">
        <v>14200</v>
      </c>
      <c r="U563" s="18">
        <f t="shared" si="28"/>
        <v>7350.0000000000009</v>
      </c>
      <c r="V563">
        <v>1</v>
      </c>
      <c r="W563" s="18">
        <v>61269</v>
      </c>
      <c r="X563">
        <v>1</v>
      </c>
      <c r="Y563">
        <v>1</v>
      </c>
      <c r="Z563" s="17">
        <v>0.21985931615450649</v>
      </c>
      <c r="AA563" t="str">
        <f t="shared" si="25"/>
        <v>1-CT</v>
      </c>
      <c r="AB563" s="9">
        <f t="shared" si="26"/>
        <v>77000</v>
      </c>
      <c r="AC563" s="9">
        <f t="shared" si="27"/>
        <v>153901.52130815454</v>
      </c>
    </row>
    <row r="564" spans="1:29" x14ac:dyDescent="0.25">
      <c r="A564" t="s">
        <v>272</v>
      </c>
      <c r="B564">
        <v>30008</v>
      </c>
      <c r="C564" s="8">
        <v>45588</v>
      </c>
      <c r="D564">
        <v>326186</v>
      </c>
      <c r="E564" s="14">
        <v>2</v>
      </c>
      <c r="F564" t="s">
        <v>380</v>
      </c>
      <c r="G564" s="14">
        <v>6</v>
      </c>
      <c r="H564" t="s">
        <v>31</v>
      </c>
      <c r="I564" t="s">
        <v>285</v>
      </c>
      <c r="J564" s="16"/>
      <c r="K564"/>
      <c r="L564" t="s">
        <v>276</v>
      </c>
      <c r="M564" s="12">
        <v>1150000</v>
      </c>
      <c r="N564" s="14">
        <v>12</v>
      </c>
      <c r="O564" s="14">
        <v>0</v>
      </c>
      <c r="P564" s="14">
        <v>1</v>
      </c>
      <c r="Q564" s="17">
        <v>0.11</v>
      </c>
      <c r="R564" s="18">
        <v>23780</v>
      </c>
      <c r="S564">
        <v>1</v>
      </c>
      <c r="T564" s="18">
        <v>16900</v>
      </c>
      <c r="U564" s="18">
        <f t="shared" si="28"/>
        <v>12075</v>
      </c>
      <c r="V564">
        <v>1</v>
      </c>
      <c r="W564" s="18">
        <v>102839</v>
      </c>
      <c r="X564">
        <v>1</v>
      </c>
      <c r="Y564">
        <v>1</v>
      </c>
      <c r="Z564" s="17">
        <v>0.22270758912623639</v>
      </c>
      <c r="AA564" t="str">
        <f t="shared" si="25"/>
        <v>1-CT</v>
      </c>
      <c r="AB564" s="9">
        <f t="shared" si="26"/>
        <v>126500</v>
      </c>
      <c r="AC564" s="9">
        <f t="shared" si="27"/>
        <v>256113.72749517186</v>
      </c>
    </row>
    <row r="565" spans="1:29" x14ac:dyDescent="0.25">
      <c r="A565" t="s">
        <v>272</v>
      </c>
      <c r="B565">
        <v>30008</v>
      </c>
      <c r="C565" s="8">
        <v>45588</v>
      </c>
      <c r="D565">
        <v>326186</v>
      </c>
      <c r="E565" s="14">
        <v>2</v>
      </c>
      <c r="F565" t="s">
        <v>381</v>
      </c>
      <c r="G565" s="14">
        <v>6</v>
      </c>
      <c r="H565" t="s">
        <v>31</v>
      </c>
      <c r="I565" t="s">
        <v>289</v>
      </c>
      <c r="J565" s="16"/>
      <c r="K565"/>
      <c r="L565" t="s">
        <v>301</v>
      </c>
      <c r="M565" s="12">
        <v>850000</v>
      </c>
      <c r="N565" s="14">
        <v>12</v>
      </c>
      <c r="O565" s="14">
        <v>0</v>
      </c>
      <c r="P565" s="14">
        <v>1</v>
      </c>
      <c r="Q565" s="17">
        <v>0.11</v>
      </c>
      <c r="R565" s="18">
        <v>23780</v>
      </c>
      <c r="S565">
        <v>1</v>
      </c>
      <c r="T565" s="18">
        <v>15100</v>
      </c>
      <c r="U565" s="18">
        <f t="shared" si="28"/>
        <v>8925</v>
      </c>
      <c r="V565">
        <v>1</v>
      </c>
      <c r="W565" s="18">
        <v>74605</v>
      </c>
      <c r="X565">
        <v>1</v>
      </c>
      <c r="Y565">
        <v>1</v>
      </c>
      <c r="Z565" s="17">
        <v>0.20765110146931362</v>
      </c>
      <c r="AA565" t="str">
        <f t="shared" si="25"/>
        <v>1-CT</v>
      </c>
      <c r="AB565" s="9">
        <f t="shared" si="26"/>
        <v>93500</v>
      </c>
      <c r="AC565" s="9">
        <f t="shared" si="27"/>
        <v>176503.43624891658</v>
      </c>
    </row>
    <row r="566" spans="1:29" x14ac:dyDescent="0.25">
      <c r="A566" t="s">
        <v>272</v>
      </c>
      <c r="B566">
        <v>30008</v>
      </c>
      <c r="C566" s="8">
        <v>45588</v>
      </c>
      <c r="D566">
        <v>326186</v>
      </c>
      <c r="E566" s="14">
        <v>2</v>
      </c>
      <c r="F566" t="s">
        <v>382</v>
      </c>
      <c r="G566" s="14">
        <v>6</v>
      </c>
      <c r="H566" t="s">
        <v>31</v>
      </c>
      <c r="I566" t="s">
        <v>287</v>
      </c>
      <c r="J566" s="16"/>
      <c r="K566"/>
      <c r="L566" t="s">
        <v>276</v>
      </c>
      <c r="M566" s="12">
        <v>1350000</v>
      </c>
      <c r="N566" s="14">
        <v>12</v>
      </c>
      <c r="O566" s="14">
        <v>0</v>
      </c>
      <c r="P566" s="14">
        <v>1</v>
      </c>
      <c r="Q566" s="17">
        <v>0.11</v>
      </c>
      <c r="R566" s="18">
        <v>23780</v>
      </c>
      <c r="S566">
        <v>1</v>
      </c>
      <c r="T566" s="18">
        <v>18100</v>
      </c>
      <c r="U566" s="18">
        <f t="shared" si="28"/>
        <v>14175</v>
      </c>
      <c r="V566">
        <v>1</v>
      </c>
      <c r="W566" s="18">
        <v>120768</v>
      </c>
      <c r="X566">
        <v>1</v>
      </c>
      <c r="Y566">
        <v>1</v>
      </c>
      <c r="Z566" s="17">
        <v>0.21456862657760067</v>
      </c>
      <c r="AA566" t="str">
        <f t="shared" si="25"/>
        <v>1-CT</v>
      </c>
      <c r="AB566" s="9">
        <f t="shared" si="26"/>
        <v>148500</v>
      </c>
      <c r="AC566" s="9">
        <f t="shared" si="27"/>
        <v>289667.64587976091</v>
      </c>
    </row>
    <row r="567" spans="1:29" x14ac:dyDescent="0.25">
      <c r="A567" t="s">
        <v>272</v>
      </c>
      <c r="B567">
        <v>30008</v>
      </c>
      <c r="C567" s="8">
        <v>45588</v>
      </c>
      <c r="D567">
        <v>326186</v>
      </c>
      <c r="E567" s="14">
        <v>2</v>
      </c>
      <c r="F567" t="s">
        <v>383</v>
      </c>
      <c r="G567" s="14">
        <v>6</v>
      </c>
      <c r="H567" t="s">
        <v>31</v>
      </c>
      <c r="I567" t="s">
        <v>384</v>
      </c>
      <c r="J567" s="16"/>
      <c r="K567"/>
      <c r="L567" t="s">
        <v>276</v>
      </c>
      <c r="M567" s="12">
        <v>2700000</v>
      </c>
      <c r="N567" s="14">
        <v>12</v>
      </c>
      <c r="O567" s="14">
        <v>0</v>
      </c>
      <c r="P567" s="14">
        <v>1</v>
      </c>
      <c r="Q567" s="17">
        <v>0.11</v>
      </c>
      <c r="R567" s="18">
        <v>23780</v>
      </c>
      <c r="S567">
        <v>1</v>
      </c>
      <c r="T567" s="18">
        <v>26200</v>
      </c>
      <c r="U567" s="18">
        <f t="shared" si="28"/>
        <v>28350</v>
      </c>
      <c r="V567">
        <v>1</v>
      </c>
      <c r="W567" s="18">
        <v>241470</v>
      </c>
      <c r="X567">
        <v>1</v>
      </c>
      <c r="Y567">
        <v>1</v>
      </c>
      <c r="Z567" s="17">
        <v>0.18892778455364309</v>
      </c>
      <c r="AA567" t="str">
        <f t="shared" si="25"/>
        <v>1-CT</v>
      </c>
      <c r="AB567" s="9">
        <f t="shared" si="26"/>
        <v>297000</v>
      </c>
      <c r="AC567" s="9">
        <f t="shared" si="27"/>
        <v>510105.01829483634</v>
      </c>
    </row>
    <row r="568" spans="1:29" x14ac:dyDescent="0.25">
      <c r="A568" t="s">
        <v>272</v>
      </c>
      <c r="B568">
        <v>30008</v>
      </c>
      <c r="C568" s="8">
        <v>45588</v>
      </c>
      <c r="D568">
        <v>326186</v>
      </c>
      <c r="E568" s="14">
        <v>2</v>
      </c>
      <c r="F568" t="s">
        <v>385</v>
      </c>
      <c r="G568" s="14">
        <v>6</v>
      </c>
      <c r="H568" t="s">
        <v>31</v>
      </c>
      <c r="I568" t="s">
        <v>291</v>
      </c>
      <c r="J568" s="16"/>
      <c r="K568"/>
      <c r="L568" t="s">
        <v>276</v>
      </c>
      <c r="M568" s="12">
        <v>1000000</v>
      </c>
      <c r="N568" s="14">
        <v>12</v>
      </c>
      <c r="O568" s="14">
        <v>0</v>
      </c>
      <c r="P568" s="14">
        <v>1</v>
      </c>
      <c r="Q568" s="17">
        <v>0.11</v>
      </c>
      <c r="R568" s="18">
        <v>23780</v>
      </c>
      <c r="S568">
        <v>1</v>
      </c>
      <c r="T568" s="18">
        <v>16000</v>
      </c>
      <c r="U568" s="18">
        <f t="shared" si="28"/>
        <v>10500</v>
      </c>
      <c r="V568">
        <v>1</v>
      </c>
      <c r="W568" s="18">
        <v>89425</v>
      </c>
      <c r="X568">
        <v>1</v>
      </c>
      <c r="Y568">
        <v>1</v>
      </c>
      <c r="Z568" s="17">
        <v>0.2317196145031887</v>
      </c>
      <c r="AA568" t="str">
        <f t="shared" si="25"/>
        <v>1-CT</v>
      </c>
      <c r="AB568" s="9">
        <f t="shared" si="26"/>
        <v>110000</v>
      </c>
      <c r="AC568" s="9">
        <f t="shared" si="27"/>
        <v>231719.6145031887</v>
      </c>
    </row>
    <row r="569" spans="1:29" x14ac:dyDescent="0.25">
      <c r="A569" t="s">
        <v>272</v>
      </c>
      <c r="B569">
        <v>30008</v>
      </c>
      <c r="C569" s="8">
        <v>45589</v>
      </c>
      <c r="D569">
        <v>326186</v>
      </c>
      <c r="E569" s="14">
        <v>2</v>
      </c>
      <c r="F569" t="s">
        <v>386</v>
      </c>
      <c r="G569" s="14">
        <v>6</v>
      </c>
      <c r="H569" t="s">
        <v>31</v>
      </c>
      <c r="I569" t="s">
        <v>291</v>
      </c>
      <c r="J569" s="16"/>
      <c r="K569"/>
      <c r="L569" t="s">
        <v>276</v>
      </c>
      <c r="M569" s="12">
        <v>3300000</v>
      </c>
      <c r="N569" s="14">
        <v>20</v>
      </c>
      <c r="O569" s="14">
        <v>0</v>
      </c>
      <c r="P569" s="14">
        <v>1</v>
      </c>
      <c r="Q569" s="17">
        <v>0.13</v>
      </c>
      <c r="R569" s="18">
        <v>118900</v>
      </c>
      <c r="S569">
        <v>1</v>
      </c>
      <c r="T569" s="18">
        <v>43000</v>
      </c>
      <c r="U569" s="18">
        <f t="shared" si="28"/>
        <v>34650</v>
      </c>
      <c r="V569">
        <v>1</v>
      </c>
      <c r="W569" s="18">
        <v>188513</v>
      </c>
      <c r="X569">
        <v>1</v>
      </c>
      <c r="Y569">
        <v>1</v>
      </c>
      <c r="Z569" s="17">
        <v>0.23157290213160706</v>
      </c>
      <c r="AA569" t="str">
        <f t="shared" si="25"/>
        <v>1-CT</v>
      </c>
      <c r="AB569" s="9">
        <f t="shared" si="26"/>
        <v>429000</v>
      </c>
      <c r="AC569" s="9">
        <f t="shared" si="27"/>
        <v>764190.57703430334</v>
      </c>
    </row>
    <row r="570" spans="1:29" x14ac:dyDescent="0.25">
      <c r="A570" t="s">
        <v>272</v>
      </c>
      <c r="B570">
        <v>30008</v>
      </c>
      <c r="C570" s="8">
        <v>45589</v>
      </c>
      <c r="D570">
        <v>326186</v>
      </c>
      <c r="E570" s="14">
        <v>2</v>
      </c>
      <c r="F570" t="s">
        <v>387</v>
      </c>
      <c r="G570" s="14">
        <v>6</v>
      </c>
      <c r="H570" t="s">
        <v>31</v>
      </c>
      <c r="I570" t="s">
        <v>291</v>
      </c>
      <c r="J570" s="16"/>
      <c r="K570"/>
      <c r="L570" t="s">
        <v>276</v>
      </c>
      <c r="M570" s="12">
        <v>5000000</v>
      </c>
      <c r="N570" s="14">
        <v>24</v>
      </c>
      <c r="O570" s="14">
        <v>0</v>
      </c>
      <c r="P570" s="14">
        <v>1</v>
      </c>
      <c r="Q570" s="17">
        <v>0.13</v>
      </c>
      <c r="R570" s="18">
        <v>178350</v>
      </c>
      <c r="S570">
        <v>1</v>
      </c>
      <c r="T570" s="18">
        <v>70000</v>
      </c>
      <c r="U570" s="18">
        <f t="shared" si="28"/>
        <v>52500</v>
      </c>
      <c r="V570">
        <v>1</v>
      </c>
      <c r="W570" s="18">
        <v>244000</v>
      </c>
      <c r="X570">
        <v>1</v>
      </c>
      <c r="Y570">
        <v>1</v>
      </c>
      <c r="Z570" s="17">
        <v>0.2209338860692438</v>
      </c>
      <c r="AA570" t="str">
        <f t="shared" si="25"/>
        <v>1-CT</v>
      </c>
      <c r="AB570" s="9">
        <f t="shared" si="26"/>
        <v>650000</v>
      </c>
      <c r="AC570" s="9">
        <f t="shared" si="27"/>
        <v>1104669.4303462191</v>
      </c>
    </row>
    <row r="571" spans="1:29" x14ac:dyDescent="0.25">
      <c r="A571" t="s">
        <v>272</v>
      </c>
      <c r="B571">
        <v>30008</v>
      </c>
      <c r="C571" s="8">
        <v>45589</v>
      </c>
      <c r="D571">
        <v>316286</v>
      </c>
      <c r="E571" s="14">
        <v>2</v>
      </c>
      <c r="F571" t="s">
        <v>388</v>
      </c>
      <c r="G571" s="14">
        <v>6</v>
      </c>
      <c r="H571" t="s">
        <v>31</v>
      </c>
      <c r="I571" t="s">
        <v>291</v>
      </c>
      <c r="J571" s="16"/>
      <c r="K571"/>
      <c r="L571" t="s">
        <v>301</v>
      </c>
      <c r="M571" s="12">
        <v>4000000</v>
      </c>
      <c r="N571" s="14">
        <v>36</v>
      </c>
      <c r="O571" s="14">
        <v>0</v>
      </c>
      <c r="P571" s="14">
        <v>1</v>
      </c>
      <c r="Q571" s="17">
        <v>0.11</v>
      </c>
      <c r="R571" s="18">
        <v>152600</v>
      </c>
      <c r="S571">
        <v>1</v>
      </c>
      <c r="T571" s="18">
        <v>82000</v>
      </c>
      <c r="U571" s="18">
        <f t="shared" si="28"/>
        <v>42000</v>
      </c>
      <c r="V571">
        <v>1</v>
      </c>
      <c r="W571" s="18">
        <v>137229</v>
      </c>
      <c r="X571">
        <v>1</v>
      </c>
      <c r="Y571">
        <v>1</v>
      </c>
      <c r="Z571" s="17">
        <v>0.19394591433493574</v>
      </c>
      <c r="AA571" t="str">
        <f t="shared" si="25"/>
        <v>2-MT</v>
      </c>
      <c r="AB571" s="9">
        <f t="shared" si="26"/>
        <v>440000</v>
      </c>
      <c r="AC571" s="9">
        <f t="shared" si="27"/>
        <v>775783.65733974299</v>
      </c>
    </row>
    <row r="572" spans="1:29" x14ac:dyDescent="0.25">
      <c r="A572" t="s">
        <v>272</v>
      </c>
      <c r="B572">
        <v>30008</v>
      </c>
      <c r="C572" s="8">
        <v>45590</v>
      </c>
      <c r="D572">
        <v>316286</v>
      </c>
      <c r="E572" s="14">
        <v>2</v>
      </c>
      <c r="F572" t="s">
        <v>389</v>
      </c>
      <c r="G572" s="14">
        <v>6</v>
      </c>
      <c r="H572" t="s">
        <v>31</v>
      </c>
      <c r="I572" t="s">
        <v>291</v>
      </c>
      <c r="J572" s="16"/>
      <c r="K572"/>
      <c r="L572" t="s">
        <v>276</v>
      </c>
      <c r="M572" s="12">
        <v>3000000</v>
      </c>
      <c r="N572" s="14">
        <v>36</v>
      </c>
      <c r="O572" s="14">
        <v>0</v>
      </c>
      <c r="P572" s="14">
        <v>1</v>
      </c>
      <c r="Q572" s="17">
        <v>0.12</v>
      </c>
      <c r="R572" s="18">
        <v>118900</v>
      </c>
      <c r="S572">
        <v>1</v>
      </c>
      <c r="T572" s="18">
        <v>64000</v>
      </c>
      <c r="U572" s="18">
        <f t="shared" si="28"/>
        <v>31500.000000000004</v>
      </c>
      <c r="V572">
        <v>1</v>
      </c>
      <c r="W572" s="18">
        <v>103185</v>
      </c>
      <c r="X572">
        <v>1</v>
      </c>
      <c r="Y572">
        <v>1</v>
      </c>
      <c r="Z572" s="17">
        <v>0.19761728339082019</v>
      </c>
      <c r="AA572" t="str">
        <f t="shared" si="25"/>
        <v>2-MT</v>
      </c>
      <c r="AB572" s="9">
        <f t="shared" si="26"/>
        <v>360000</v>
      </c>
      <c r="AC572" s="9">
        <f t="shared" si="27"/>
        <v>592851.85017246054</v>
      </c>
    </row>
    <row r="573" spans="1:29" x14ac:dyDescent="0.25">
      <c r="A573" t="s">
        <v>272</v>
      </c>
      <c r="B573">
        <v>30008</v>
      </c>
      <c r="C573" s="8">
        <v>45590</v>
      </c>
      <c r="D573">
        <v>326186</v>
      </c>
      <c r="E573" s="14">
        <v>2</v>
      </c>
      <c r="F573" t="s">
        <v>390</v>
      </c>
      <c r="G573" s="14">
        <v>6</v>
      </c>
      <c r="H573" t="s">
        <v>31</v>
      </c>
      <c r="I573" t="s">
        <v>287</v>
      </c>
      <c r="J573" s="16"/>
      <c r="K573"/>
      <c r="L573" t="s">
        <v>369</v>
      </c>
      <c r="M573" s="12">
        <v>5000000</v>
      </c>
      <c r="N573" s="14">
        <v>12</v>
      </c>
      <c r="O573" s="14">
        <v>0</v>
      </c>
      <c r="P573" s="14">
        <v>1</v>
      </c>
      <c r="Q573" s="17">
        <v>0.11</v>
      </c>
      <c r="R573" s="18">
        <v>23780</v>
      </c>
      <c r="S573">
        <v>1</v>
      </c>
      <c r="T573" s="18">
        <v>64000</v>
      </c>
      <c r="U573" s="18">
        <f t="shared" si="28"/>
        <v>52500</v>
      </c>
      <c r="V573">
        <v>1</v>
      </c>
      <c r="W573" s="18">
        <v>444940</v>
      </c>
      <c r="X573">
        <v>1</v>
      </c>
      <c r="Y573">
        <v>1</v>
      </c>
      <c r="Z573" s="17">
        <v>0.17740871252579271</v>
      </c>
      <c r="AA573" t="str">
        <f t="shared" si="25"/>
        <v>1-CT</v>
      </c>
      <c r="AB573" s="9">
        <f t="shared" si="26"/>
        <v>550000</v>
      </c>
      <c r="AC573" s="9">
        <f t="shared" si="27"/>
        <v>887043.56262896361</v>
      </c>
    </row>
    <row r="574" spans="1:29" x14ac:dyDescent="0.25">
      <c r="A574" t="s">
        <v>272</v>
      </c>
      <c r="B574">
        <v>30008</v>
      </c>
      <c r="C574" s="8">
        <v>45590</v>
      </c>
      <c r="D574">
        <v>326186</v>
      </c>
      <c r="E574" s="14">
        <v>2</v>
      </c>
      <c r="F574" t="s">
        <v>391</v>
      </c>
      <c r="G574" s="14">
        <v>6</v>
      </c>
      <c r="H574" t="s">
        <v>31</v>
      </c>
      <c r="I574" t="s">
        <v>287</v>
      </c>
      <c r="J574" s="16"/>
      <c r="K574"/>
      <c r="L574" t="s">
        <v>369</v>
      </c>
      <c r="M574" s="12">
        <v>5000000</v>
      </c>
      <c r="N574" s="14">
        <v>12</v>
      </c>
      <c r="O574" s="14">
        <v>0</v>
      </c>
      <c r="P574" s="14">
        <v>1</v>
      </c>
      <c r="Q574" s="17">
        <v>0.11</v>
      </c>
      <c r="R574" s="18">
        <v>23780</v>
      </c>
      <c r="S574">
        <v>1</v>
      </c>
      <c r="T574" s="18">
        <v>64000</v>
      </c>
      <c r="U574" s="18">
        <f t="shared" si="28"/>
        <v>52500</v>
      </c>
      <c r="V574">
        <v>1</v>
      </c>
      <c r="W574" s="18">
        <v>444940</v>
      </c>
      <c r="X574">
        <v>1</v>
      </c>
      <c r="Y574">
        <v>1</v>
      </c>
      <c r="Z574" s="17">
        <v>0.17740871252579271</v>
      </c>
      <c r="AA574" t="str">
        <f t="shared" si="25"/>
        <v>1-CT</v>
      </c>
      <c r="AB574" s="9">
        <f t="shared" si="26"/>
        <v>550000</v>
      </c>
      <c r="AC574" s="9">
        <f t="shared" si="27"/>
        <v>887043.56262896361</v>
      </c>
    </row>
    <row r="575" spans="1:29" x14ac:dyDescent="0.25">
      <c r="A575" t="s">
        <v>272</v>
      </c>
      <c r="B575">
        <v>30008</v>
      </c>
      <c r="C575" s="8">
        <v>45590</v>
      </c>
      <c r="D575">
        <v>326186</v>
      </c>
      <c r="E575" s="14">
        <v>2</v>
      </c>
      <c r="F575" t="s">
        <v>392</v>
      </c>
      <c r="G575" s="14">
        <v>6</v>
      </c>
      <c r="H575" t="s">
        <v>31</v>
      </c>
      <c r="I575" t="s">
        <v>287</v>
      </c>
      <c r="J575" s="16"/>
      <c r="K575"/>
      <c r="L575" t="s">
        <v>330</v>
      </c>
      <c r="M575" s="12">
        <v>5000000</v>
      </c>
      <c r="N575" s="14">
        <v>12</v>
      </c>
      <c r="O575" s="14">
        <v>0</v>
      </c>
      <c r="P575" s="14">
        <v>1</v>
      </c>
      <c r="Q575" s="17">
        <v>0.11</v>
      </c>
      <c r="R575" s="18">
        <v>23780</v>
      </c>
      <c r="S575">
        <v>1</v>
      </c>
      <c r="T575" s="18">
        <v>64000</v>
      </c>
      <c r="U575" s="18">
        <f t="shared" si="28"/>
        <v>52500</v>
      </c>
      <c r="V575">
        <v>1</v>
      </c>
      <c r="W575" s="18">
        <v>444940</v>
      </c>
      <c r="X575">
        <v>1</v>
      </c>
      <c r="Y575">
        <v>1</v>
      </c>
      <c r="Z575" s="17">
        <v>0.17740871252579271</v>
      </c>
      <c r="AA575" t="str">
        <f t="shared" si="25"/>
        <v>1-CT</v>
      </c>
      <c r="AB575" s="9">
        <f t="shared" si="26"/>
        <v>550000</v>
      </c>
      <c r="AC575" s="9">
        <f t="shared" si="27"/>
        <v>887043.56262896361</v>
      </c>
    </row>
    <row r="576" spans="1:29" x14ac:dyDescent="0.25">
      <c r="A576" t="s">
        <v>272</v>
      </c>
      <c r="B576">
        <v>30008</v>
      </c>
      <c r="C576" s="8">
        <v>45593</v>
      </c>
      <c r="D576">
        <v>326186</v>
      </c>
      <c r="E576" s="14">
        <v>2</v>
      </c>
      <c r="F576" t="s">
        <v>393</v>
      </c>
      <c r="G576" s="14">
        <v>6</v>
      </c>
      <c r="H576" t="s">
        <v>31</v>
      </c>
      <c r="I576" t="s">
        <v>291</v>
      </c>
      <c r="J576" s="16"/>
      <c r="K576"/>
      <c r="L576" t="s">
        <v>276</v>
      </c>
      <c r="M576" s="12">
        <v>3000000</v>
      </c>
      <c r="N576" s="14">
        <v>12</v>
      </c>
      <c r="O576" s="14">
        <v>0</v>
      </c>
      <c r="P576" s="14">
        <v>1</v>
      </c>
      <c r="Q576" s="17">
        <v>0.11</v>
      </c>
      <c r="R576" s="18">
        <v>23780</v>
      </c>
      <c r="S576">
        <v>1</v>
      </c>
      <c r="T576" s="18">
        <v>40200</v>
      </c>
      <c r="U576" s="18">
        <f t="shared" si="28"/>
        <v>31500.000000000004</v>
      </c>
      <c r="V576">
        <v>1</v>
      </c>
      <c r="W576" s="18">
        <v>268299</v>
      </c>
      <c r="X576">
        <v>1</v>
      </c>
      <c r="Y576">
        <v>1</v>
      </c>
      <c r="Z576" s="17">
        <v>0.19453018678518513</v>
      </c>
      <c r="AA576" t="str">
        <f t="shared" si="25"/>
        <v>1-CT</v>
      </c>
      <c r="AB576" s="9">
        <f t="shared" si="26"/>
        <v>330000</v>
      </c>
      <c r="AC576" s="9">
        <f t="shared" si="27"/>
        <v>583590.56035555538</v>
      </c>
    </row>
    <row r="577" spans="1:29" x14ac:dyDescent="0.25">
      <c r="A577" t="s">
        <v>272</v>
      </c>
      <c r="B577">
        <v>30008</v>
      </c>
      <c r="C577" s="8">
        <v>45593</v>
      </c>
      <c r="D577">
        <v>326186</v>
      </c>
      <c r="E577" s="14">
        <v>2</v>
      </c>
      <c r="F577" t="s">
        <v>394</v>
      </c>
      <c r="G577" s="14">
        <v>6</v>
      </c>
      <c r="H577" t="s">
        <v>31</v>
      </c>
      <c r="I577" t="s">
        <v>275</v>
      </c>
      <c r="J577" s="16"/>
      <c r="K577"/>
      <c r="L577" t="s">
        <v>295</v>
      </c>
      <c r="M577" s="12">
        <v>5000000</v>
      </c>
      <c r="N577" s="14">
        <v>12</v>
      </c>
      <c r="O577" s="14">
        <v>0</v>
      </c>
      <c r="P577" s="14">
        <v>1</v>
      </c>
      <c r="Q577" s="17">
        <v>0.11</v>
      </c>
      <c r="R577" s="18">
        <v>23780</v>
      </c>
      <c r="S577">
        <v>1</v>
      </c>
      <c r="T577" s="18">
        <v>25000</v>
      </c>
      <c r="U577" s="18">
        <f t="shared" si="28"/>
        <v>52500</v>
      </c>
      <c r="V577">
        <v>1</v>
      </c>
      <c r="W577" s="18">
        <v>447220</v>
      </c>
      <c r="X577">
        <v>1</v>
      </c>
      <c r="Y577">
        <v>1</v>
      </c>
      <c r="Z577" s="17">
        <v>0.17186401815720098</v>
      </c>
      <c r="AA577" t="str">
        <f t="shared" si="25"/>
        <v>1-CT</v>
      </c>
      <c r="AB577" s="9">
        <f t="shared" si="26"/>
        <v>550000</v>
      </c>
      <c r="AC577" s="9">
        <f t="shared" si="27"/>
        <v>859320.0907860049</v>
      </c>
    </row>
    <row r="578" spans="1:29" x14ac:dyDescent="0.25">
      <c r="A578" t="s">
        <v>272</v>
      </c>
      <c r="B578">
        <v>30008</v>
      </c>
      <c r="C578" s="8">
        <v>45593</v>
      </c>
      <c r="D578">
        <v>326186</v>
      </c>
      <c r="E578" s="14">
        <v>2</v>
      </c>
      <c r="F578" t="s">
        <v>395</v>
      </c>
      <c r="G578" s="14">
        <v>6</v>
      </c>
      <c r="H578" t="s">
        <v>31</v>
      </c>
      <c r="I578" t="s">
        <v>291</v>
      </c>
      <c r="J578" s="16"/>
      <c r="K578"/>
      <c r="L578" t="s">
        <v>276</v>
      </c>
      <c r="M578" s="12">
        <v>3500000</v>
      </c>
      <c r="N578" s="14">
        <v>12</v>
      </c>
      <c r="O578" s="14">
        <v>0</v>
      </c>
      <c r="P578" s="14">
        <v>1</v>
      </c>
      <c r="Q578" s="17">
        <v>0.11</v>
      </c>
      <c r="R578" s="18">
        <v>23780</v>
      </c>
      <c r="S578">
        <v>1</v>
      </c>
      <c r="T578" s="18">
        <v>20500</v>
      </c>
      <c r="U578" s="18">
        <f t="shared" si="28"/>
        <v>36750</v>
      </c>
      <c r="V578">
        <v>1</v>
      </c>
      <c r="W578" s="18">
        <v>312988</v>
      </c>
      <c r="X578">
        <v>1</v>
      </c>
      <c r="Y578">
        <v>1</v>
      </c>
      <c r="Z578" s="17">
        <v>0.17715246676504207</v>
      </c>
      <c r="AA578" t="str">
        <f t="shared" si="25"/>
        <v>1-CT</v>
      </c>
      <c r="AB578" s="9">
        <f t="shared" si="26"/>
        <v>385000</v>
      </c>
      <c r="AC578" s="9">
        <f t="shared" si="27"/>
        <v>620033.63367764722</v>
      </c>
    </row>
    <row r="579" spans="1:29" x14ac:dyDescent="0.25">
      <c r="A579" t="s">
        <v>272</v>
      </c>
      <c r="B579">
        <v>30008</v>
      </c>
      <c r="C579" s="8">
        <v>45593</v>
      </c>
      <c r="D579">
        <v>326186</v>
      </c>
      <c r="E579" s="14">
        <v>2</v>
      </c>
      <c r="F579" t="s">
        <v>396</v>
      </c>
      <c r="G579" s="14">
        <v>6</v>
      </c>
      <c r="H579" t="s">
        <v>31</v>
      </c>
      <c r="I579" t="s">
        <v>287</v>
      </c>
      <c r="J579" s="16"/>
      <c r="K579"/>
      <c r="L579" t="s">
        <v>276</v>
      </c>
      <c r="M579" s="12">
        <v>4000000</v>
      </c>
      <c r="N579" s="14">
        <v>12</v>
      </c>
      <c r="O579" s="14">
        <v>0</v>
      </c>
      <c r="P579" s="14">
        <v>1</v>
      </c>
      <c r="Q579" s="17">
        <v>0.11</v>
      </c>
      <c r="R579" s="18">
        <v>23780</v>
      </c>
      <c r="S579">
        <v>1</v>
      </c>
      <c r="T579" s="18">
        <v>30600</v>
      </c>
      <c r="U579" s="18">
        <f t="shared" si="28"/>
        <v>42000</v>
      </c>
      <c r="V579">
        <v>1</v>
      </c>
      <c r="W579" s="18">
        <v>357701</v>
      </c>
      <c r="X579">
        <v>1</v>
      </c>
      <c r="Y579">
        <v>1</v>
      </c>
      <c r="Z579" s="17">
        <v>0.17901560556316176</v>
      </c>
      <c r="AA579" t="str">
        <f t="shared" ref="AA579:AA642" si="29">IF(N579&lt;=24,"1-CT",IF(N579&gt;60,"3-LT","2-MT"))</f>
        <v>1-CT</v>
      </c>
      <c r="AB579" s="9">
        <f t="shared" ref="AB579:AB642" si="30">Q579*M579</f>
        <v>440000</v>
      </c>
      <c r="AC579" s="9">
        <f t="shared" ref="AC579:AC642" si="31">Z579*M579</f>
        <v>716062.422252647</v>
      </c>
    </row>
    <row r="580" spans="1:29" x14ac:dyDescent="0.25">
      <c r="A580" t="s">
        <v>272</v>
      </c>
      <c r="B580">
        <v>30008</v>
      </c>
      <c r="C580" s="8">
        <v>45593</v>
      </c>
      <c r="D580">
        <v>326186</v>
      </c>
      <c r="E580" s="14">
        <v>2</v>
      </c>
      <c r="F580" t="s">
        <v>397</v>
      </c>
      <c r="G580" s="14">
        <v>6</v>
      </c>
      <c r="H580" t="s">
        <v>31</v>
      </c>
      <c r="I580" t="s">
        <v>398</v>
      </c>
      <c r="J580" s="16"/>
      <c r="K580"/>
      <c r="L580" t="s">
        <v>276</v>
      </c>
      <c r="M580" s="12">
        <v>5000000</v>
      </c>
      <c r="N580" s="14">
        <v>12</v>
      </c>
      <c r="O580" s="14">
        <v>0</v>
      </c>
      <c r="P580" s="14">
        <v>1</v>
      </c>
      <c r="Q580" s="17">
        <v>0.11</v>
      </c>
      <c r="R580" s="18">
        <v>23780</v>
      </c>
      <c r="S580">
        <v>1</v>
      </c>
      <c r="T580" s="18">
        <v>25000</v>
      </c>
      <c r="U580" s="18">
        <f t="shared" si="28"/>
        <v>52500</v>
      </c>
      <c r="V580">
        <v>1</v>
      </c>
      <c r="W580" s="18">
        <v>447220</v>
      </c>
      <c r="X580">
        <v>1</v>
      </c>
      <c r="Y580">
        <v>1</v>
      </c>
      <c r="Z580" s="17">
        <v>0.17186401815720098</v>
      </c>
      <c r="AA580" t="str">
        <f t="shared" si="29"/>
        <v>1-CT</v>
      </c>
      <c r="AB580" s="9">
        <f t="shared" si="30"/>
        <v>550000</v>
      </c>
      <c r="AC580" s="9">
        <f t="shared" si="31"/>
        <v>859320.0907860049</v>
      </c>
    </row>
    <row r="581" spans="1:29" x14ac:dyDescent="0.25">
      <c r="A581" t="s">
        <v>272</v>
      </c>
      <c r="B581">
        <v>30008</v>
      </c>
      <c r="C581" s="8">
        <v>45593</v>
      </c>
      <c r="D581">
        <v>326186</v>
      </c>
      <c r="E581" s="14">
        <v>2</v>
      </c>
      <c r="F581" t="s">
        <v>399</v>
      </c>
      <c r="G581" s="14">
        <v>6</v>
      </c>
      <c r="H581" t="s">
        <v>31</v>
      </c>
      <c r="I581" t="s">
        <v>291</v>
      </c>
      <c r="J581" s="16"/>
      <c r="K581"/>
      <c r="L581" t="s">
        <v>276</v>
      </c>
      <c r="M581" s="12">
        <v>3500000</v>
      </c>
      <c r="N581" s="14">
        <v>12</v>
      </c>
      <c r="O581" s="14">
        <v>0</v>
      </c>
      <c r="P581" s="14">
        <v>1</v>
      </c>
      <c r="Q581" s="17">
        <v>0.11</v>
      </c>
      <c r="R581" s="18">
        <v>23780</v>
      </c>
      <c r="S581">
        <v>1</v>
      </c>
      <c r="T581" s="18">
        <v>20500</v>
      </c>
      <c r="U581" s="18">
        <f t="shared" si="28"/>
        <v>36750</v>
      </c>
      <c r="V581">
        <v>1</v>
      </c>
      <c r="W581" s="18">
        <v>312988</v>
      </c>
      <c r="X581">
        <v>1</v>
      </c>
      <c r="Y581">
        <v>1</v>
      </c>
      <c r="Z581" s="17">
        <v>0.17715246676504207</v>
      </c>
      <c r="AA581" t="str">
        <f t="shared" si="29"/>
        <v>1-CT</v>
      </c>
      <c r="AB581" s="9">
        <f t="shared" si="30"/>
        <v>385000</v>
      </c>
      <c r="AC581" s="9">
        <f t="shared" si="31"/>
        <v>620033.63367764722</v>
      </c>
    </row>
    <row r="582" spans="1:29" x14ac:dyDescent="0.25">
      <c r="A582" t="s">
        <v>272</v>
      </c>
      <c r="B582">
        <v>30008</v>
      </c>
      <c r="C582" s="8">
        <v>45593</v>
      </c>
      <c r="D582">
        <v>326186</v>
      </c>
      <c r="E582" s="14">
        <v>2</v>
      </c>
      <c r="F582" t="s">
        <v>400</v>
      </c>
      <c r="G582" s="14">
        <v>6</v>
      </c>
      <c r="H582" t="s">
        <v>31</v>
      </c>
      <c r="I582" t="s">
        <v>287</v>
      </c>
      <c r="J582" s="16"/>
      <c r="K582"/>
      <c r="L582" t="s">
        <v>276</v>
      </c>
      <c r="M582" s="12">
        <v>2500000</v>
      </c>
      <c r="N582" s="14">
        <v>10</v>
      </c>
      <c r="O582" s="14">
        <v>0</v>
      </c>
      <c r="P582" s="14">
        <v>1</v>
      </c>
      <c r="Q582" s="17">
        <v>0.11</v>
      </c>
      <c r="R582" s="18">
        <v>23780</v>
      </c>
      <c r="S582">
        <v>1</v>
      </c>
      <c r="T582" s="18">
        <v>22500</v>
      </c>
      <c r="U582" s="18">
        <f t="shared" si="28"/>
        <v>26250</v>
      </c>
      <c r="V582">
        <v>1</v>
      </c>
      <c r="W582" s="18">
        <v>265397</v>
      </c>
      <c r="X582">
        <v>1</v>
      </c>
      <c r="Y582">
        <v>1</v>
      </c>
      <c r="Z582" s="17">
        <v>0.19868701987292881</v>
      </c>
      <c r="AA582" t="str">
        <f t="shared" si="29"/>
        <v>1-CT</v>
      </c>
      <c r="AB582" s="9">
        <f t="shared" si="30"/>
        <v>275000</v>
      </c>
      <c r="AC582" s="9">
        <f t="shared" si="31"/>
        <v>496717.54968232202</v>
      </c>
    </row>
    <row r="583" spans="1:29" x14ac:dyDescent="0.25">
      <c r="A583" t="s">
        <v>272</v>
      </c>
      <c r="B583">
        <v>30008</v>
      </c>
      <c r="C583" s="8">
        <v>45593</v>
      </c>
      <c r="D583">
        <v>326186</v>
      </c>
      <c r="E583" s="14">
        <v>2</v>
      </c>
      <c r="F583" t="s">
        <v>401</v>
      </c>
      <c r="G583" s="14">
        <v>6</v>
      </c>
      <c r="H583" t="s">
        <v>31</v>
      </c>
      <c r="I583" t="s">
        <v>402</v>
      </c>
      <c r="J583" s="16"/>
      <c r="K583"/>
      <c r="L583" t="s">
        <v>337</v>
      </c>
      <c r="M583" s="12">
        <v>3500000</v>
      </c>
      <c r="N583" s="14">
        <v>12</v>
      </c>
      <c r="O583" s="14">
        <v>0</v>
      </c>
      <c r="P583" s="14">
        <v>1</v>
      </c>
      <c r="Q583" s="17">
        <v>0.11</v>
      </c>
      <c r="R583" s="18">
        <v>23780</v>
      </c>
      <c r="S583">
        <v>1</v>
      </c>
      <c r="T583" s="18">
        <v>20500</v>
      </c>
      <c r="U583" s="18">
        <f t="shared" si="28"/>
        <v>36750</v>
      </c>
      <c r="V583">
        <v>1</v>
      </c>
      <c r="W583" s="18">
        <v>312988</v>
      </c>
      <c r="X583">
        <v>1</v>
      </c>
      <c r="Y583">
        <v>1</v>
      </c>
      <c r="Z583" s="17">
        <v>0.17715246676504207</v>
      </c>
      <c r="AA583" t="str">
        <f t="shared" si="29"/>
        <v>1-CT</v>
      </c>
      <c r="AB583" s="9">
        <f t="shared" si="30"/>
        <v>385000</v>
      </c>
      <c r="AC583" s="9">
        <f t="shared" si="31"/>
        <v>620033.63367764722</v>
      </c>
    </row>
    <row r="584" spans="1:29" x14ac:dyDescent="0.25">
      <c r="A584" t="s">
        <v>272</v>
      </c>
      <c r="B584">
        <v>30008</v>
      </c>
      <c r="C584" s="8">
        <v>45594</v>
      </c>
      <c r="D584">
        <v>316286</v>
      </c>
      <c r="E584" s="14">
        <v>2</v>
      </c>
      <c r="F584" t="s">
        <v>403</v>
      </c>
      <c r="G584" s="14">
        <v>6</v>
      </c>
      <c r="H584" t="s">
        <v>31</v>
      </c>
      <c r="I584" t="s">
        <v>324</v>
      </c>
      <c r="J584" s="16"/>
      <c r="K584"/>
      <c r="L584" t="s">
        <v>276</v>
      </c>
      <c r="M584" s="12">
        <v>7300000</v>
      </c>
      <c r="N584" s="14">
        <v>36</v>
      </c>
      <c r="O584" s="14">
        <v>0</v>
      </c>
      <c r="P584" s="14">
        <v>1</v>
      </c>
      <c r="Q584" s="17">
        <v>0.12</v>
      </c>
      <c r="R584" s="18">
        <v>237800</v>
      </c>
      <c r="S584">
        <v>1</v>
      </c>
      <c r="T584" s="18">
        <v>141400</v>
      </c>
      <c r="U584" s="18">
        <f t="shared" ref="U584:U647" si="32">M584*(1.05/100)</f>
        <v>76650</v>
      </c>
      <c r="V584">
        <v>1</v>
      </c>
      <c r="W584" s="18">
        <v>251133</v>
      </c>
      <c r="X584">
        <v>1</v>
      </c>
      <c r="Y584">
        <v>1</v>
      </c>
      <c r="Z584" s="17">
        <v>0.19073294862765783</v>
      </c>
      <c r="AA584" t="str">
        <f t="shared" si="29"/>
        <v>2-MT</v>
      </c>
      <c r="AB584" s="9">
        <f t="shared" si="30"/>
        <v>876000</v>
      </c>
      <c r="AC584" s="9">
        <f t="shared" si="31"/>
        <v>1392350.5249819022</v>
      </c>
    </row>
    <row r="585" spans="1:29" x14ac:dyDescent="0.25">
      <c r="A585" t="s">
        <v>272</v>
      </c>
      <c r="B585">
        <v>30008</v>
      </c>
      <c r="C585" s="8">
        <v>45595</v>
      </c>
      <c r="D585">
        <v>326186</v>
      </c>
      <c r="E585" s="14">
        <v>2</v>
      </c>
      <c r="F585" t="s">
        <v>404</v>
      </c>
      <c r="G585" s="14">
        <v>6</v>
      </c>
      <c r="H585" t="s">
        <v>31</v>
      </c>
      <c r="I585" t="s">
        <v>283</v>
      </c>
      <c r="J585" s="16"/>
      <c r="K585"/>
      <c r="L585" t="s">
        <v>276</v>
      </c>
      <c r="M585" s="12">
        <v>3000000</v>
      </c>
      <c r="N585" s="14">
        <v>12</v>
      </c>
      <c r="O585" s="14">
        <v>0</v>
      </c>
      <c r="P585" s="14">
        <v>1</v>
      </c>
      <c r="Q585" s="17">
        <v>0.11</v>
      </c>
      <c r="R585" s="18">
        <v>23780</v>
      </c>
      <c r="S585">
        <v>1</v>
      </c>
      <c r="T585" s="18">
        <v>28000</v>
      </c>
      <c r="U585" s="18">
        <f t="shared" si="32"/>
        <v>31500.000000000004</v>
      </c>
      <c r="V585">
        <v>1</v>
      </c>
      <c r="W585" s="18">
        <v>268275</v>
      </c>
      <c r="X585">
        <v>1</v>
      </c>
      <c r="Y585">
        <v>1</v>
      </c>
      <c r="Z585" s="17">
        <v>0.18626293753511808</v>
      </c>
      <c r="AA585" t="str">
        <f t="shared" si="29"/>
        <v>1-CT</v>
      </c>
      <c r="AB585" s="9">
        <f t="shared" si="30"/>
        <v>330000</v>
      </c>
      <c r="AC585" s="9">
        <f t="shared" si="31"/>
        <v>558788.81260535424</v>
      </c>
    </row>
    <row r="586" spans="1:29" x14ac:dyDescent="0.25">
      <c r="A586" t="s">
        <v>272</v>
      </c>
      <c r="B586">
        <v>30008</v>
      </c>
      <c r="C586" s="8">
        <v>45595</v>
      </c>
      <c r="D586">
        <v>326186</v>
      </c>
      <c r="E586" s="14">
        <v>2</v>
      </c>
      <c r="F586" t="s">
        <v>405</v>
      </c>
      <c r="G586" s="14">
        <v>6</v>
      </c>
      <c r="H586" t="s">
        <v>31</v>
      </c>
      <c r="I586" t="s">
        <v>275</v>
      </c>
      <c r="J586" s="16"/>
      <c r="K586"/>
      <c r="L586" t="s">
        <v>276</v>
      </c>
      <c r="M586" s="12">
        <v>500000</v>
      </c>
      <c r="N586" s="14">
        <v>12</v>
      </c>
      <c r="O586" s="14">
        <v>0</v>
      </c>
      <c r="P586" s="14">
        <v>1</v>
      </c>
      <c r="Q586" s="17">
        <v>0.11</v>
      </c>
      <c r="R586" s="18">
        <v>8917.5</v>
      </c>
      <c r="S586">
        <v>1</v>
      </c>
      <c r="T586" s="18">
        <v>13000</v>
      </c>
      <c r="U586" s="18">
        <f t="shared" si="32"/>
        <v>5250</v>
      </c>
      <c r="V586">
        <v>1</v>
      </c>
      <c r="W586" s="18">
        <v>44719</v>
      </c>
      <c r="X586">
        <v>1</v>
      </c>
      <c r="Y586">
        <v>1</v>
      </c>
      <c r="Z586" s="17">
        <v>0.24035613219391774</v>
      </c>
      <c r="AA586" t="str">
        <f t="shared" si="29"/>
        <v>1-CT</v>
      </c>
      <c r="AB586" s="9">
        <f t="shared" si="30"/>
        <v>55000</v>
      </c>
      <c r="AC586" s="9">
        <f t="shared" si="31"/>
        <v>120178.06609695886</v>
      </c>
    </row>
    <row r="587" spans="1:29" x14ac:dyDescent="0.25">
      <c r="A587" t="s">
        <v>272</v>
      </c>
      <c r="B587">
        <v>30008</v>
      </c>
      <c r="C587" s="8">
        <v>45595</v>
      </c>
      <c r="D587">
        <v>326186</v>
      </c>
      <c r="E587" s="14">
        <v>2</v>
      </c>
      <c r="F587" t="s">
        <v>406</v>
      </c>
      <c r="G587" s="14">
        <v>6</v>
      </c>
      <c r="H587" t="s">
        <v>31</v>
      </c>
      <c r="I587" t="s">
        <v>291</v>
      </c>
      <c r="J587" s="16"/>
      <c r="K587"/>
      <c r="L587" t="s">
        <v>276</v>
      </c>
      <c r="M587" s="12">
        <v>1000000</v>
      </c>
      <c r="N587" s="14">
        <v>12</v>
      </c>
      <c r="O587" s="14">
        <v>0</v>
      </c>
      <c r="P587" s="14">
        <v>1</v>
      </c>
      <c r="Q587" s="17">
        <v>0.11</v>
      </c>
      <c r="R587" s="18">
        <v>23780</v>
      </c>
      <c r="S587">
        <v>1</v>
      </c>
      <c r="T587" s="18">
        <v>16000</v>
      </c>
      <c r="U587" s="18">
        <f t="shared" si="32"/>
        <v>10500</v>
      </c>
      <c r="V587">
        <v>1</v>
      </c>
      <c r="W587" s="18">
        <v>89425</v>
      </c>
      <c r="X587">
        <v>1</v>
      </c>
      <c r="Y587">
        <v>1</v>
      </c>
      <c r="Z587" s="17">
        <v>0.2317196145031887</v>
      </c>
      <c r="AA587" t="str">
        <f t="shared" si="29"/>
        <v>1-CT</v>
      </c>
      <c r="AB587" s="9">
        <f t="shared" si="30"/>
        <v>110000</v>
      </c>
      <c r="AC587" s="9">
        <f t="shared" si="31"/>
        <v>231719.6145031887</v>
      </c>
    </row>
    <row r="588" spans="1:29" x14ac:dyDescent="0.25">
      <c r="A588" t="s">
        <v>272</v>
      </c>
      <c r="B588">
        <v>30008</v>
      </c>
      <c r="C588" s="8">
        <v>45595</v>
      </c>
      <c r="D588">
        <v>313254</v>
      </c>
      <c r="E588" s="14">
        <v>5</v>
      </c>
      <c r="F588" t="s">
        <v>407</v>
      </c>
      <c r="G588" s="11" t="s">
        <v>205</v>
      </c>
      <c r="H588" t="s">
        <v>31</v>
      </c>
      <c r="I588" t="s">
        <v>287</v>
      </c>
      <c r="J588" s="20">
        <v>5636036543</v>
      </c>
      <c r="K588" s="14">
        <v>268</v>
      </c>
      <c r="M588" s="12">
        <v>1900000000</v>
      </c>
      <c r="N588" s="14">
        <v>48</v>
      </c>
      <c r="O588" s="14">
        <v>0</v>
      </c>
      <c r="P588" s="14">
        <v>1</v>
      </c>
      <c r="Q588" s="17">
        <v>0.1</v>
      </c>
      <c r="R588" s="18">
        <v>19856300</v>
      </c>
      <c r="S588">
        <v>1</v>
      </c>
      <c r="T588" s="18"/>
      <c r="U588" s="18">
        <f t="shared" si="32"/>
        <v>19950000</v>
      </c>
      <c r="V588">
        <v>1</v>
      </c>
      <c r="W588" s="18">
        <v>50084873</v>
      </c>
      <c r="X588">
        <v>1</v>
      </c>
      <c r="Y588">
        <v>1</v>
      </c>
      <c r="Z588" s="17">
        <v>0.1319533522182097</v>
      </c>
      <c r="AA588" t="str">
        <f t="shared" si="29"/>
        <v>2-MT</v>
      </c>
      <c r="AB588" s="9">
        <f t="shared" si="30"/>
        <v>190000000</v>
      </c>
      <c r="AC588" s="9">
        <f t="shared" si="31"/>
        <v>250711369.21459842</v>
      </c>
    </row>
    <row r="589" spans="1:29" x14ac:dyDescent="0.25">
      <c r="A589" t="s">
        <v>272</v>
      </c>
      <c r="B589">
        <v>30008</v>
      </c>
      <c r="C589" s="8">
        <v>45595</v>
      </c>
      <c r="D589">
        <v>326186</v>
      </c>
      <c r="E589" s="14">
        <v>2</v>
      </c>
      <c r="F589" t="s">
        <v>408</v>
      </c>
      <c r="G589" s="14">
        <v>6</v>
      </c>
      <c r="H589" t="s">
        <v>31</v>
      </c>
      <c r="I589" t="s">
        <v>291</v>
      </c>
      <c r="J589" s="16"/>
      <c r="K589"/>
      <c r="L589" t="s">
        <v>276</v>
      </c>
      <c r="M589" s="12">
        <v>1100000</v>
      </c>
      <c r="N589" s="14">
        <v>12</v>
      </c>
      <c r="O589" s="14">
        <v>0</v>
      </c>
      <c r="P589" s="14">
        <v>1</v>
      </c>
      <c r="Q589" s="17">
        <v>0.11</v>
      </c>
      <c r="R589" s="18">
        <v>23780</v>
      </c>
      <c r="S589">
        <v>1</v>
      </c>
      <c r="T589" s="18">
        <v>16600</v>
      </c>
      <c r="U589" s="18">
        <f t="shared" si="32"/>
        <v>11550</v>
      </c>
      <c r="V589">
        <v>1</v>
      </c>
      <c r="W589" s="18">
        <v>98364</v>
      </c>
      <c r="X589">
        <v>1</v>
      </c>
      <c r="Y589">
        <v>1</v>
      </c>
      <c r="Z589" s="17">
        <v>0.22535949027722774</v>
      </c>
      <c r="AA589" t="str">
        <f t="shared" si="29"/>
        <v>1-CT</v>
      </c>
      <c r="AB589" s="9">
        <f t="shared" si="30"/>
        <v>121000</v>
      </c>
      <c r="AC589" s="9">
        <f t="shared" si="31"/>
        <v>247895.4393049505</v>
      </c>
    </row>
    <row r="590" spans="1:29" x14ac:dyDescent="0.25">
      <c r="A590" t="s">
        <v>272</v>
      </c>
      <c r="B590">
        <v>30008</v>
      </c>
      <c r="C590" s="8">
        <v>45595</v>
      </c>
      <c r="D590">
        <v>326186</v>
      </c>
      <c r="E590" s="14">
        <v>2</v>
      </c>
      <c r="F590" t="s">
        <v>409</v>
      </c>
      <c r="G590" s="14">
        <v>6</v>
      </c>
      <c r="H590" t="s">
        <v>31</v>
      </c>
      <c r="I590" t="s">
        <v>279</v>
      </c>
      <c r="J590" s="16"/>
      <c r="K590"/>
      <c r="L590" t="s">
        <v>276</v>
      </c>
      <c r="M590" s="12">
        <v>1800000</v>
      </c>
      <c r="N590" s="14">
        <v>12</v>
      </c>
      <c r="O590" s="14">
        <v>0</v>
      </c>
      <c r="P590" s="14">
        <v>1</v>
      </c>
      <c r="Q590" s="17">
        <v>0.11</v>
      </c>
      <c r="R590" s="18">
        <v>23780</v>
      </c>
      <c r="S590">
        <v>1</v>
      </c>
      <c r="T590" s="18">
        <v>20800</v>
      </c>
      <c r="U590" s="18">
        <f t="shared" si="32"/>
        <v>18900</v>
      </c>
      <c r="V590">
        <v>1</v>
      </c>
      <c r="W590" s="18">
        <v>160965</v>
      </c>
      <c r="X590">
        <v>1</v>
      </c>
      <c r="Y590">
        <v>1</v>
      </c>
      <c r="Z590" s="17">
        <v>0.20124305659896125</v>
      </c>
      <c r="AA590" t="str">
        <f t="shared" si="29"/>
        <v>1-CT</v>
      </c>
      <c r="AB590" s="9">
        <f t="shared" si="30"/>
        <v>198000</v>
      </c>
      <c r="AC590" s="9">
        <f t="shared" si="31"/>
        <v>362237.50187813025</v>
      </c>
    </row>
    <row r="591" spans="1:29" x14ac:dyDescent="0.25">
      <c r="A591" t="s">
        <v>272</v>
      </c>
      <c r="B591">
        <v>30008</v>
      </c>
      <c r="C591" s="8">
        <v>45595</v>
      </c>
      <c r="D591">
        <v>326186</v>
      </c>
      <c r="E591" s="14">
        <v>2</v>
      </c>
      <c r="F591" t="s">
        <v>410</v>
      </c>
      <c r="G591" s="14">
        <v>6</v>
      </c>
      <c r="H591" t="s">
        <v>31</v>
      </c>
      <c r="I591" t="s">
        <v>411</v>
      </c>
      <c r="J591" s="16"/>
      <c r="K591"/>
      <c r="L591" t="s">
        <v>276</v>
      </c>
      <c r="M591" s="12">
        <v>3800000</v>
      </c>
      <c r="N591" s="14">
        <v>12</v>
      </c>
      <c r="O591" s="14">
        <v>0</v>
      </c>
      <c r="P591" s="14">
        <v>1</v>
      </c>
      <c r="Q591" s="17">
        <v>0.11</v>
      </c>
      <c r="R591" s="18">
        <v>23780</v>
      </c>
      <c r="S591">
        <v>1</v>
      </c>
      <c r="T591" s="18">
        <v>32800</v>
      </c>
      <c r="U591" s="18">
        <f t="shared" si="32"/>
        <v>39900</v>
      </c>
      <c r="V591">
        <v>1</v>
      </c>
      <c r="W591" s="18">
        <v>339816</v>
      </c>
      <c r="X591">
        <v>1</v>
      </c>
      <c r="Y591">
        <v>1</v>
      </c>
      <c r="Z591" s="17">
        <v>0.18157300674035703</v>
      </c>
      <c r="AA591" t="str">
        <f t="shared" si="29"/>
        <v>1-CT</v>
      </c>
      <c r="AB591" s="9">
        <f t="shared" si="30"/>
        <v>418000</v>
      </c>
      <c r="AC591" s="9">
        <f t="shared" si="31"/>
        <v>689977.42561335675</v>
      </c>
    </row>
    <row r="592" spans="1:29" x14ac:dyDescent="0.25">
      <c r="A592" t="s">
        <v>272</v>
      </c>
      <c r="B592">
        <v>30008</v>
      </c>
      <c r="C592" s="8">
        <v>45595</v>
      </c>
      <c r="D592">
        <v>326186</v>
      </c>
      <c r="E592" s="14">
        <v>2</v>
      </c>
      <c r="F592" t="s">
        <v>412</v>
      </c>
      <c r="G592" s="14">
        <v>6</v>
      </c>
      <c r="H592" t="s">
        <v>31</v>
      </c>
      <c r="I592" t="s">
        <v>319</v>
      </c>
      <c r="J592" s="16"/>
      <c r="K592"/>
      <c r="L592" t="s">
        <v>337</v>
      </c>
      <c r="M592" s="12">
        <v>1150000</v>
      </c>
      <c r="N592" s="14">
        <v>12</v>
      </c>
      <c r="O592" s="14">
        <v>0</v>
      </c>
      <c r="P592" s="14">
        <v>1</v>
      </c>
      <c r="Q592" s="17">
        <v>0.11</v>
      </c>
      <c r="R592" s="18">
        <v>23780</v>
      </c>
      <c r="S592">
        <v>1</v>
      </c>
      <c r="T592" s="18">
        <v>16900</v>
      </c>
      <c r="U592" s="18">
        <f t="shared" si="32"/>
        <v>12075</v>
      </c>
      <c r="V592">
        <v>1</v>
      </c>
      <c r="W592" s="18">
        <v>102854</v>
      </c>
      <c r="X592">
        <v>1</v>
      </c>
      <c r="Y592">
        <v>1</v>
      </c>
      <c r="Z592" s="17">
        <v>0.22299141490665944</v>
      </c>
      <c r="AA592" t="str">
        <f t="shared" si="29"/>
        <v>1-CT</v>
      </c>
      <c r="AB592" s="9">
        <f t="shared" si="30"/>
        <v>126500</v>
      </c>
      <c r="AC592" s="9">
        <f t="shared" si="31"/>
        <v>256440.12714265837</v>
      </c>
    </row>
    <row r="593" spans="1:29" x14ac:dyDescent="0.25">
      <c r="A593" t="s">
        <v>272</v>
      </c>
      <c r="B593">
        <v>30008</v>
      </c>
      <c r="C593" s="8">
        <v>45595</v>
      </c>
      <c r="D593">
        <v>316261</v>
      </c>
      <c r="E593" s="14">
        <v>2</v>
      </c>
      <c r="F593" t="s">
        <v>413</v>
      </c>
      <c r="G593" s="14">
        <v>6</v>
      </c>
      <c r="H593" t="s">
        <v>31</v>
      </c>
      <c r="I593" t="s">
        <v>291</v>
      </c>
      <c r="J593" s="16"/>
      <c r="K593"/>
      <c r="L593" t="s">
        <v>276</v>
      </c>
      <c r="M593" s="12">
        <v>5500000</v>
      </c>
      <c r="N593" s="14">
        <v>36</v>
      </c>
      <c r="O593" s="14">
        <v>0</v>
      </c>
      <c r="P593" s="14">
        <v>1</v>
      </c>
      <c r="Q593" s="17">
        <v>0.11</v>
      </c>
      <c r="R593" s="18">
        <v>261580</v>
      </c>
      <c r="S593">
        <v>1</v>
      </c>
      <c r="T593" s="18">
        <v>109000</v>
      </c>
      <c r="U593" s="18">
        <f t="shared" si="32"/>
        <v>57750</v>
      </c>
      <c r="V593">
        <v>1</v>
      </c>
      <c r="W593" s="18">
        <v>185999</v>
      </c>
      <c r="X593">
        <v>1</v>
      </c>
      <c r="Y593">
        <v>1</v>
      </c>
      <c r="Z593" s="17">
        <v>0.19035780907078831</v>
      </c>
      <c r="AA593" t="str">
        <f t="shared" si="29"/>
        <v>2-MT</v>
      </c>
      <c r="AB593" s="9">
        <f t="shared" si="30"/>
        <v>605000</v>
      </c>
      <c r="AC593" s="9">
        <f t="shared" si="31"/>
        <v>1046967.9498893357</v>
      </c>
    </row>
    <row r="594" spans="1:29" x14ac:dyDescent="0.25">
      <c r="A594" t="s">
        <v>272</v>
      </c>
      <c r="B594">
        <v>30008</v>
      </c>
      <c r="C594" s="8">
        <v>45596</v>
      </c>
      <c r="D594">
        <v>316261</v>
      </c>
      <c r="E594" s="14">
        <v>2</v>
      </c>
      <c r="F594" t="s">
        <v>414</v>
      </c>
      <c r="G594" s="14">
        <v>6</v>
      </c>
      <c r="H594" t="s">
        <v>31</v>
      </c>
      <c r="I594" t="s">
        <v>285</v>
      </c>
      <c r="J594" s="16"/>
      <c r="K594"/>
      <c r="L594" t="s">
        <v>369</v>
      </c>
      <c r="M594" s="12">
        <v>125000000</v>
      </c>
      <c r="N594" s="14">
        <v>48</v>
      </c>
      <c r="O594" s="14">
        <v>0</v>
      </c>
      <c r="P594" s="14">
        <v>1</v>
      </c>
      <c r="Q594" s="17">
        <v>0.09</v>
      </c>
      <c r="R594" s="18">
        <v>1189000</v>
      </c>
      <c r="S594">
        <v>1</v>
      </c>
      <c r="T594" s="18">
        <v>3125000</v>
      </c>
      <c r="U594" s="18">
        <f t="shared" si="32"/>
        <v>1312500</v>
      </c>
      <c r="V594">
        <v>1</v>
      </c>
      <c r="W594" s="18">
        <v>3221522</v>
      </c>
      <c r="X594">
        <v>1</v>
      </c>
      <c r="Y594">
        <v>1</v>
      </c>
      <c r="Z594" s="17">
        <v>0.13320639758586308</v>
      </c>
      <c r="AA594" t="str">
        <f t="shared" si="29"/>
        <v>2-MT</v>
      </c>
      <c r="AB594" s="9">
        <f t="shared" si="30"/>
        <v>11250000</v>
      </c>
      <c r="AC594" s="9">
        <f t="shared" si="31"/>
        <v>16650799.698232885</v>
      </c>
    </row>
    <row r="595" spans="1:29" x14ac:dyDescent="0.25">
      <c r="A595" t="s">
        <v>272</v>
      </c>
      <c r="B595">
        <v>30008</v>
      </c>
      <c r="C595" s="8">
        <v>45600</v>
      </c>
      <c r="D595">
        <v>316261</v>
      </c>
      <c r="E595" s="14">
        <v>2</v>
      </c>
      <c r="F595" t="s">
        <v>415</v>
      </c>
      <c r="G595" s="14">
        <v>6</v>
      </c>
      <c r="H595" t="s">
        <v>31</v>
      </c>
      <c r="I595" t="s">
        <v>291</v>
      </c>
      <c r="J595" s="21"/>
      <c r="K595"/>
      <c r="L595" t="s">
        <v>276</v>
      </c>
      <c r="M595" s="12">
        <v>3300000</v>
      </c>
      <c r="N595" s="14">
        <v>36</v>
      </c>
      <c r="O595" s="14">
        <v>0</v>
      </c>
      <c r="P595" s="14">
        <v>1</v>
      </c>
      <c r="Q595" s="17">
        <v>0.12</v>
      </c>
      <c r="R595" s="12">
        <v>118900</v>
      </c>
      <c r="S595">
        <v>1</v>
      </c>
      <c r="T595" s="12">
        <v>69400</v>
      </c>
      <c r="U595" s="12">
        <f t="shared" si="32"/>
        <v>34650</v>
      </c>
      <c r="V595">
        <v>1</v>
      </c>
      <c r="W595" s="12">
        <v>113507</v>
      </c>
      <c r="X595">
        <v>1</v>
      </c>
      <c r="Y595">
        <v>1</v>
      </c>
      <c r="Z595" s="17">
        <v>0.19458506750039939</v>
      </c>
      <c r="AA595" t="str">
        <f t="shared" si="29"/>
        <v>2-MT</v>
      </c>
      <c r="AB595" s="9">
        <f t="shared" si="30"/>
        <v>396000</v>
      </c>
      <c r="AC595" s="9">
        <f t="shared" si="31"/>
        <v>642130.72275131801</v>
      </c>
    </row>
    <row r="596" spans="1:29" x14ac:dyDescent="0.25">
      <c r="A596" t="s">
        <v>272</v>
      </c>
      <c r="B596">
        <v>30008</v>
      </c>
      <c r="C596" s="8">
        <v>45600</v>
      </c>
      <c r="D596">
        <v>316261</v>
      </c>
      <c r="E596" s="14">
        <v>2</v>
      </c>
      <c r="F596" t="s">
        <v>416</v>
      </c>
      <c r="G596" s="14">
        <v>6</v>
      </c>
      <c r="H596" t="s">
        <v>31</v>
      </c>
      <c r="I596" t="s">
        <v>275</v>
      </c>
      <c r="J596" s="21"/>
      <c r="K596"/>
      <c r="L596" t="s">
        <v>276</v>
      </c>
      <c r="M596" s="12">
        <v>2500000</v>
      </c>
      <c r="N596" s="14">
        <v>36</v>
      </c>
      <c r="O596" s="14">
        <v>0</v>
      </c>
      <c r="P596" s="14">
        <v>1</v>
      </c>
      <c r="Q596" s="17">
        <v>0.11</v>
      </c>
      <c r="R596" s="12">
        <v>130790</v>
      </c>
      <c r="S596">
        <v>1</v>
      </c>
      <c r="T596" s="12">
        <v>55000</v>
      </c>
      <c r="U596" s="12">
        <f t="shared" si="32"/>
        <v>26250</v>
      </c>
      <c r="V596">
        <v>1</v>
      </c>
      <c r="W596" s="12">
        <v>84555</v>
      </c>
      <c r="X596">
        <v>1</v>
      </c>
      <c r="Y596">
        <v>1</v>
      </c>
      <c r="Z596" s="17">
        <v>0.19592944525348477</v>
      </c>
      <c r="AA596" t="str">
        <f t="shared" si="29"/>
        <v>2-MT</v>
      </c>
      <c r="AB596" s="9">
        <f t="shared" si="30"/>
        <v>275000</v>
      </c>
      <c r="AC596" s="9">
        <f t="shared" si="31"/>
        <v>489823.61313371191</v>
      </c>
    </row>
    <row r="597" spans="1:29" x14ac:dyDescent="0.25">
      <c r="A597" t="s">
        <v>272</v>
      </c>
      <c r="B597">
        <v>30008</v>
      </c>
      <c r="C597" s="8">
        <v>45600</v>
      </c>
      <c r="D597">
        <v>326186</v>
      </c>
      <c r="E597" s="14">
        <v>2</v>
      </c>
      <c r="F597" t="s">
        <v>417</v>
      </c>
      <c r="G597" s="14">
        <v>6</v>
      </c>
      <c r="H597" t="s">
        <v>31</v>
      </c>
      <c r="I597" t="s">
        <v>291</v>
      </c>
      <c r="J597" s="21"/>
      <c r="K597"/>
      <c r="L597" t="s">
        <v>276</v>
      </c>
      <c r="M597" s="12">
        <v>600000</v>
      </c>
      <c r="N597" s="14">
        <v>10</v>
      </c>
      <c r="O597" s="14">
        <v>0</v>
      </c>
      <c r="P597" s="14">
        <v>1</v>
      </c>
      <c r="Q597" s="17">
        <v>0.11</v>
      </c>
      <c r="R597" s="12">
        <v>23780</v>
      </c>
      <c r="S597">
        <v>1</v>
      </c>
      <c r="T597"/>
      <c r="U597" s="12">
        <f t="shared" si="32"/>
        <v>6300</v>
      </c>
      <c r="V597">
        <v>1</v>
      </c>
      <c r="W597" s="12">
        <v>63105</v>
      </c>
      <c r="X597">
        <v>1</v>
      </c>
      <c r="Y597">
        <v>1</v>
      </c>
      <c r="Z597" s="17">
        <v>0.2276118422161244</v>
      </c>
      <c r="AA597" t="str">
        <f t="shared" si="29"/>
        <v>1-CT</v>
      </c>
      <c r="AB597" s="9">
        <f t="shared" si="30"/>
        <v>66000</v>
      </c>
      <c r="AC597" s="9">
        <f t="shared" si="31"/>
        <v>136567.10532967464</v>
      </c>
    </row>
    <row r="598" spans="1:29" x14ac:dyDescent="0.25">
      <c r="A598" t="s">
        <v>272</v>
      </c>
      <c r="B598">
        <v>30008</v>
      </c>
      <c r="C598" s="8">
        <v>45601</v>
      </c>
      <c r="D598">
        <v>326186</v>
      </c>
      <c r="E598" s="14">
        <v>2</v>
      </c>
      <c r="F598" t="s">
        <v>418</v>
      </c>
      <c r="G598" s="14">
        <v>6</v>
      </c>
      <c r="H598" t="s">
        <v>31</v>
      </c>
      <c r="I598" t="s">
        <v>419</v>
      </c>
      <c r="J598" s="21"/>
      <c r="K598"/>
      <c r="L598" t="s">
        <v>310</v>
      </c>
      <c r="M598" s="12">
        <v>800000</v>
      </c>
      <c r="N598" s="14">
        <v>12</v>
      </c>
      <c r="O598" s="14">
        <v>0</v>
      </c>
      <c r="P598" s="14">
        <v>1</v>
      </c>
      <c r="Q598" s="17">
        <v>0.11</v>
      </c>
      <c r="R598" s="12">
        <v>23780</v>
      </c>
      <c r="S598">
        <v>1</v>
      </c>
      <c r="T598" s="12">
        <v>14800</v>
      </c>
      <c r="U598" s="12">
        <f t="shared" si="32"/>
        <v>8400</v>
      </c>
      <c r="V598">
        <v>1</v>
      </c>
      <c r="W598" s="12">
        <v>70951</v>
      </c>
      <c r="X598">
        <v>1</v>
      </c>
      <c r="Y598">
        <v>1</v>
      </c>
      <c r="Z598" s="17">
        <v>0.23301592142063682</v>
      </c>
      <c r="AA598" t="str">
        <f t="shared" si="29"/>
        <v>1-CT</v>
      </c>
      <c r="AB598" s="9">
        <f t="shared" si="30"/>
        <v>88000</v>
      </c>
      <c r="AC598" s="9">
        <f t="shared" si="31"/>
        <v>186412.73713650944</v>
      </c>
    </row>
    <row r="599" spans="1:29" x14ac:dyDescent="0.25">
      <c r="A599" t="s">
        <v>272</v>
      </c>
      <c r="B599">
        <v>30008</v>
      </c>
      <c r="C599" s="8">
        <v>45601</v>
      </c>
      <c r="D599">
        <v>326186</v>
      </c>
      <c r="E599" s="14">
        <v>2</v>
      </c>
      <c r="F599" t="s">
        <v>420</v>
      </c>
      <c r="G599" s="14">
        <v>6</v>
      </c>
      <c r="H599" t="s">
        <v>31</v>
      </c>
      <c r="I599" t="s">
        <v>291</v>
      </c>
      <c r="J599" s="21"/>
      <c r="K599"/>
      <c r="L599" t="s">
        <v>276</v>
      </c>
      <c r="M599" s="12">
        <v>1800000</v>
      </c>
      <c r="N599" s="14">
        <v>12</v>
      </c>
      <c r="O599" s="14">
        <v>0</v>
      </c>
      <c r="P599" s="14">
        <v>1</v>
      </c>
      <c r="Q599" s="17">
        <v>0.11</v>
      </c>
      <c r="R599" s="12">
        <v>23780</v>
      </c>
      <c r="S599">
        <v>1</v>
      </c>
      <c r="T599" s="12">
        <v>20800</v>
      </c>
      <c r="U599" s="12">
        <f t="shared" si="32"/>
        <v>18900</v>
      </c>
      <c r="V599">
        <v>1</v>
      </c>
      <c r="W599" s="12">
        <v>160965</v>
      </c>
      <c r="X599">
        <v>1</v>
      </c>
      <c r="Y599">
        <v>1</v>
      </c>
      <c r="Z599" s="17">
        <v>0.20124305659896125</v>
      </c>
      <c r="AA599" t="str">
        <f t="shared" si="29"/>
        <v>1-CT</v>
      </c>
      <c r="AB599" s="9">
        <f t="shared" si="30"/>
        <v>198000</v>
      </c>
      <c r="AC599" s="9">
        <f t="shared" si="31"/>
        <v>362237.50187813025</v>
      </c>
    </row>
    <row r="600" spans="1:29" x14ac:dyDescent="0.25">
      <c r="A600" t="s">
        <v>272</v>
      </c>
      <c r="B600">
        <v>30008</v>
      </c>
      <c r="C600" s="8">
        <v>45601</v>
      </c>
      <c r="D600">
        <v>326186</v>
      </c>
      <c r="E600" s="14">
        <v>2</v>
      </c>
      <c r="F600" t="s">
        <v>421</v>
      </c>
      <c r="G600" s="14">
        <v>6</v>
      </c>
      <c r="H600" t="s">
        <v>31</v>
      </c>
      <c r="I600" t="s">
        <v>291</v>
      </c>
      <c r="J600" s="21"/>
      <c r="K600"/>
      <c r="L600" t="s">
        <v>276</v>
      </c>
      <c r="M600" s="12">
        <v>500000</v>
      </c>
      <c r="N600" s="14">
        <v>12</v>
      </c>
      <c r="O600" s="14">
        <v>0</v>
      </c>
      <c r="P600" s="14">
        <v>1</v>
      </c>
      <c r="Q600" s="17">
        <v>0.1</v>
      </c>
      <c r="R600" s="12">
        <v>9512</v>
      </c>
      <c r="S600">
        <v>1</v>
      </c>
      <c r="T600" s="12">
        <v>13000</v>
      </c>
      <c r="U600" s="12">
        <f t="shared" si="32"/>
        <v>5250</v>
      </c>
      <c r="V600">
        <v>1</v>
      </c>
      <c r="W600" s="12">
        <v>44675</v>
      </c>
      <c r="X600">
        <v>1</v>
      </c>
      <c r="Y600">
        <v>1</v>
      </c>
      <c r="Z600" s="17">
        <v>0.24089100884962106</v>
      </c>
      <c r="AA600" t="str">
        <f t="shared" si="29"/>
        <v>1-CT</v>
      </c>
      <c r="AB600" s="9">
        <f t="shared" si="30"/>
        <v>50000</v>
      </c>
      <c r="AC600" s="9">
        <f t="shared" si="31"/>
        <v>120445.50442481053</v>
      </c>
    </row>
    <row r="601" spans="1:29" x14ac:dyDescent="0.25">
      <c r="A601" t="s">
        <v>272</v>
      </c>
      <c r="B601">
        <v>30008</v>
      </c>
      <c r="C601" s="8">
        <v>45601</v>
      </c>
      <c r="D601">
        <v>326186</v>
      </c>
      <c r="E601" s="14">
        <v>2</v>
      </c>
      <c r="F601" t="s">
        <v>422</v>
      </c>
      <c r="G601" s="14">
        <v>6</v>
      </c>
      <c r="H601" t="s">
        <v>31</v>
      </c>
      <c r="I601" t="s">
        <v>283</v>
      </c>
      <c r="J601" s="21"/>
      <c r="K601"/>
      <c r="L601" t="s">
        <v>276</v>
      </c>
      <c r="M601" s="12">
        <v>1300000</v>
      </c>
      <c r="N601" s="14">
        <v>12</v>
      </c>
      <c r="O601" s="14">
        <v>0</v>
      </c>
      <c r="P601" s="14">
        <v>1</v>
      </c>
      <c r="Q601" s="17">
        <v>0.11</v>
      </c>
      <c r="R601" s="12">
        <v>23780</v>
      </c>
      <c r="S601">
        <v>1</v>
      </c>
      <c r="T601" s="12">
        <v>17800</v>
      </c>
      <c r="U601" s="12">
        <f t="shared" si="32"/>
        <v>13650</v>
      </c>
      <c r="V601">
        <v>1</v>
      </c>
      <c r="W601" s="12">
        <v>116253</v>
      </c>
      <c r="X601">
        <v>1</v>
      </c>
      <c r="Y601">
        <v>1</v>
      </c>
      <c r="Z601" s="17">
        <v>0.21581653010882038</v>
      </c>
      <c r="AA601" t="str">
        <f t="shared" si="29"/>
        <v>1-CT</v>
      </c>
      <c r="AB601" s="9">
        <f t="shared" si="30"/>
        <v>143000</v>
      </c>
      <c r="AC601" s="9">
        <f t="shared" si="31"/>
        <v>280561.4891414665</v>
      </c>
    </row>
    <row r="602" spans="1:29" x14ac:dyDescent="0.25">
      <c r="A602" t="s">
        <v>272</v>
      </c>
      <c r="B602">
        <v>30008</v>
      </c>
      <c r="C602" s="8">
        <v>45601</v>
      </c>
      <c r="D602">
        <v>326186</v>
      </c>
      <c r="E602" s="14">
        <v>2</v>
      </c>
      <c r="F602" t="s">
        <v>423</v>
      </c>
      <c r="G602" s="14">
        <v>6</v>
      </c>
      <c r="H602" t="s">
        <v>31</v>
      </c>
      <c r="I602" t="s">
        <v>291</v>
      </c>
      <c r="J602" s="21"/>
      <c r="K602"/>
      <c r="L602" t="s">
        <v>276</v>
      </c>
      <c r="M602" s="12">
        <v>900000</v>
      </c>
      <c r="N602" s="14">
        <v>12</v>
      </c>
      <c r="O602" s="14">
        <v>0</v>
      </c>
      <c r="P602" s="14">
        <v>1</v>
      </c>
      <c r="Q602" s="17">
        <v>0.11</v>
      </c>
      <c r="R602" s="12">
        <v>23780</v>
      </c>
      <c r="S602">
        <v>1</v>
      </c>
      <c r="T602" s="12">
        <v>15400</v>
      </c>
      <c r="U602" s="12">
        <f t="shared" si="32"/>
        <v>9450</v>
      </c>
      <c r="V602">
        <v>1</v>
      </c>
      <c r="W602" s="12">
        <v>80483</v>
      </c>
      <c r="X602">
        <v>1</v>
      </c>
      <c r="Y602">
        <v>1</v>
      </c>
      <c r="Z602" s="17">
        <v>0.23946105060563949</v>
      </c>
      <c r="AA602" t="str">
        <f t="shared" si="29"/>
        <v>1-CT</v>
      </c>
      <c r="AB602" s="9">
        <f t="shared" si="30"/>
        <v>99000</v>
      </c>
      <c r="AC602" s="9">
        <f t="shared" si="31"/>
        <v>215514.94554507555</v>
      </c>
    </row>
    <row r="603" spans="1:29" x14ac:dyDescent="0.25">
      <c r="A603" t="s">
        <v>272</v>
      </c>
      <c r="B603">
        <v>30008</v>
      </c>
      <c r="C603" s="8">
        <v>45601</v>
      </c>
      <c r="D603">
        <v>326186</v>
      </c>
      <c r="E603" s="14">
        <v>2</v>
      </c>
      <c r="F603" t="s">
        <v>424</v>
      </c>
      <c r="G603" s="14">
        <v>6</v>
      </c>
      <c r="H603" t="s">
        <v>31</v>
      </c>
      <c r="I603" t="s">
        <v>291</v>
      </c>
      <c r="J603" s="21"/>
      <c r="K603"/>
      <c r="L603" t="s">
        <v>425</v>
      </c>
      <c r="M603" s="12">
        <v>1000000</v>
      </c>
      <c r="N603" s="14">
        <v>12</v>
      </c>
      <c r="O603" s="14">
        <v>0</v>
      </c>
      <c r="P603" s="14">
        <v>1</v>
      </c>
      <c r="Q603" s="17">
        <v>0.11</v>
      </c>
      <c r="R603" s="12">
        <v>23780</v>
      </c>
      <c r="S603">
        <v>1</v>
      </c>
      <c r="U603" s="12">
        <f t="shared" si="32"/>
        <v>10500</v>
      </c>
      <c r="V603">
        <v>1</v>
      </c>
      <c r="W603" s="12">
        <v>89425</v>
      </c>
      <c r="X603">
        <v>1</v>
      </c>
      <c r="Y603">
        <v>1</v>
      </c>
      <c r="Z603" s="17">
        <v>0.19926440629921699</v>
      </c>
      <c r="AA603" t="str">
        <f t="shared" si="29"/>
        <v>1-CT</v>
      </c>
      <c r="AB603" s="9">
        <f t="shared" si="30"/>
        <v>110000</v>
      </c>
      <c r="AC603" s="9">
        <f t="shared" si="31"/>
        <v>199264.40629921699</v>
      </c>
    </row>
    <row r="604" spans="1:29" x14ac:dyDescent="0.25">
      <c r="A604" t="s">
        <v>272</v>
      </c>
      <c r="B604">
        <v>30008</v>
      </c>
      <c r="C604" s="8">
        <v>45601</v>
      </c>
      <c r="D604">
        <v>313254</v>
      </c>
      <c r="E604" s="14">
        <v>5</v>
      </c>
      <c r="F604" t="s">
        <v>426</v>
      </c>
      <c r="G604" s="11" t="s">
        <v>205</v>
      </c>
      <c r="H604" t="s">
        <v>31</v>
      </c>
      <c r="I604" t="s">
        <v>427</v>
      </c>
      <c r="J604" s="21">
        <v>350000000</v>
      </c>
      <c r="K604">
        <v>22</v>
      </c>
      <c r="M604" s="12">
        <v>100000000</v>
      </c>
      <c r="N604" s="14">
        <v>36</v>
      </c>
      <c r="O604" s="14">
        <v>0</v>
      </c>
      <c r="P604" s="14">
        <v>1</v>
      </c>
      <c r="Q604" s="17">
        <v>0.1</v>
      </c>
      <c r="R604" s="12">
        <v>1189000</v>
      </c>
      <c r="S604">
        <v>1</v>
      </c>
      <c r="T604" s="18"/>
      <c r="U604" s="12">
        <f t="shared" si="32"/>
        <v>1050000</v>
      </c>
      <c r="V604">
        <v>1</v>
      </c>
      <c r="W604" s="12">
        <v>3323998</v>
      </c>
      <c r="X604">
        <v>1</v>
      </c>
      <c r="Y604">
        <v>1</v>
      </c>
      <c r="Z604" s="17">
        <v>0.13636337781056551</v>
      </c>
      <c r="AA604" t="str">
        <f t="shared" si="29"/>
        <v>2-MT</v>
      </c>
      <c r="AB604" s="9">
        <f t="shared" si="30"/>
        <v>10000000</v>
      </c>
      <c r="AC604" s="9">
        <f t="shared" si="31"/>
        <v>13636337.781056551</v>
      </c>
    </row>
    <row r="605" spans="1:29" x14ac:dyDescent="0.25">
      <c r="A605" t="s">
        <v>272</v>
      </c>
      <c r="B605">
        <v>30008</v>
      </c>
      <c r="C605" s="8">
        <v>45601</v>
      </c>
      <c r="D605">
        <v>326186</v>
      </c>
      <c r="E605" s="14">
        <v>2</v>
      </c>
      <c r="F605" t="s">
        <v>428</v>
      </c>
      <c r="G605" s="14">
        <v>6</v>
      </c>
      <c r="H605" t="s">
        <v>31</v>
      </c>
      <c r="I605" t="s">
        <v>275</v>
      </c>
      <c r="J605" s="21"/>
      <c r="K605"/>
      <c r="L605" t="s">
        <v>369</v>
      </c>
      <c r="M605" s="12">
        <v>5000000</v>
      </c>
      <c r="N605" s="14">
        <v>12</v>
      </c>
      <c r="O605" s="14">
        <v>0</v>
      </c>
      <c r="P605" s="14">
        <v>1</v>
      </c>
      <c r="Q605" s="17">
        <v>0.11</v>
      </c>
      <c r="R605" s="12">
        <v>23780</v>
      </c>
      <c r="S605">
        <v>1</v>
      </c>
      <c r="T605" s="12">
        <v>64000</v>
      </c>
      <c r="U605" s="12">
        <f t="shared" si="32"/>
        <v>52500</v>
      </c>
      <c r="V605">
        <v>1</v>
      </c>
      <c r="W605" s="12">
        <v>447165</v>
      </c>
      <c r="X605">
        <v>1</v>
      </c>
      <c r="Y605">
        <v>1</v>
      </c>
      <c r="Z605" s="17">
        <v>0.18702304523324653</v>
      </c>
      <c r="AA605" t="str">
        <f t="shared" si="29"/>
        <v>1-CT</v>
      </c>
      <c r="AB605" s="9">
        <f t="shared" si="30"/>
        <v>550000</v>
      </c>
      <c r="AC605" s="9">
        <f t="shared" si="31"/>
        <v>935115.22616623261</v>
      </c>
    </row>
    <row r="606" spans="1:29" x14ac:dyDescent="0.25">
      <c r="A606" t="s">
        <v>272</v>
      </c>
      <c r="B606">
        <v>30008</v>
      </c>
      <c r="C606" s="8">
        <v>45603</v>
      </c>
      <c r="D606">
        <v>326186</v>
      </c>
      <c r="E606" s="14">
        <v>2</v>
      </c>
      <c r="F606" t="s">
        <v>429</v>
      </c>
      <c r="G606" s="14">
        <v>6</v>
      </c>
      <c r="H606" t="s">
        <v>31</v>
      </c>
      <c r="I606" t="s">
        <v>430</v>
      </c>
      <c r="J606" s="21"/>
      <c r="K606"/>
      <c r="L606" t="s">
        <v>276</v>
      </c>
      <c r="M606" s="12">
        <v>1100000</v>
      </c>
      <c r="N606" s="14">
        <v>12</v>
      </c>
      <c r="O606" s="14">
        <v>0</v>
      </c>
      <c r="P606" s="14">
        <v>1</v>
      </c>
      <c r="Q606" s="17">
        <v>0.11</v>
      </c>
      <c r="R606" s="12">
        <v>23780</v>
      </c>
      <c r="S606">
        <v>1</v>
      </c>
      <c r="T606" s="12">
        <v>16600</v>
      </c>
      <c r="U606" s="12">
        <f t="shared" si="32"/>
        <v>11550</v>
      </c>
      <c r="V606">
        <v>1</v>
      </c>
      <c r="W606" s="12">
        <v>98368</v>
      </c>
      <c r="X606">
        <v>1</v>
      </c>
      <c r="Y606">
        <v>1</v>
      </c>
      <c r="Z606" s="17">
        <v>0.22543867239688142</v>
      </c>
      <c r="AA606" t="str">
        <f t="shared" si="29"/>
        <v>1-CT</v>
      </c>
      <c r="AB606" s="9">
        <f t="shared" si="30"/>
        <v>121000</v>
      </c>
      <c r="AC606" s="9">
        <f t="shared" si="31"/>
        <v>247982.53963656956</v>
      </c>
    </row>
    <row r="607" spans="1:29" x14ac:dyDescent="0.25">
      <c r="A607" t="s">
        <v>272</v>
      </c>
      <c r="B607">
        <v>30008</v>
      </c>
      <c r="C607" s="8">
        <v>45603</v>
      </c>
      <c r="D607">
        <v>326186</v>
      </c>
      <c r="E607" s="14">
        <v>2</v>
      </c>
      <c r="F607" t="s">
        <v>431</v>
      </c>
      <c r="G607" s="14">
        <v>6</v>
      </c>
      <c r="H607" t="s">
        <v>31</v>
      </c>
      <c r="I607" t="s">
        <v>287</v>
      </c>
      <c r="J607" s="21"/>
      <c r="K607"/>
      <c r="L607" t="s">
        <v>276</v>
      </c>
      <c r="M607" s="12">
        <v>1000000</v>
      </c>
      <c r="N607" s="14">
        <v>12</v>
      </c>
      <c r="O607" s="14">
        <v>0</v>
      </c>
      <c r="P607" s="14">
        <v>1</v>
      </c>
      <c r="Q607" s="17">
        <v>0.11</v>
      </c>
      <c r="R607" s="12">
        <v>23780</v>
      </c>
      <c r="S607">
        <v>1</v>
      </c>
      <c r="T607" s="12">
        <v>16000</v>
      </c>
      <c r="U607" s="12">
        <f t="shared" si="32"/>
        <v>10500</v>
      </c>
      <c r="V607">
        <v>1</v>
      </c>
      <c r="W607" s="12">
        <v>89457</v>
      </c>
      <c r="X607">
        <v>1</v>
      </c>
      <c r="Y607">
        <v>1</v>
      </c>
      <c r="Z607" s="17">
        <v>0.23241738238995513</v>
      </c>
      <c r="AA607" t="str">
        <f t="shared" si="29"/>
        <v>1-CT</v>
      </c>
      <c r="AB607" s="9">
        <f t="shared" si="30"/>
        <v>110000</v>
      </c>
      <c r="AC607" s="9">
        <f t="shared" si="31"/>
        <v>232417.38238995514</v>
      </c>
    </row>
    <row r="608" spans="1:29" x14ac:dyDescent="0.25">
      <c r="A608" t="s">
        <v>272</v>
      </c>
      <c r="B608">
        <v>30008</v>
      </c>
      <c r="C608" s="8">
        <v>45603</v>
      </c>
      <c r="D608">
        <v>326186</v>
      </c>
      <c r="E608" s="14">
        <v>2</v>
      </c>
      <c r="F608" t="s">
        <v>432</v>
      </c>
      <c r="G608" s="14">
        <v>6</v>
      </c>
      <c r="H608" t="s">
        <v>31</v>
      </c>
      <c r="I608" t="s">
        <v>291</v>
      </c>
      <c r="J608" s="21"/>
      <c r="K608"/>
      <c r="L608" t="s">
        <v>276</v>
      </c>
      <c r="M608" s="12">
        <v>1350000</v>
      </c>
      <c r="N608" s="14">
        <v>12</v>
      </c>
      <c r="O608" s="14">
        <v>0</v>
      </c>
      <c r="P608" s="14">
        <v>1</v>
      </c>
      <c r="Q608" s="17">
        <v>0.11</v>
      </c>
      <c r="R608" s="12">
        <v>23780</v>
      </c>
      <c r="S608">
        <v>1</v>
      </c>
      <c r="T608" s="12">
        <v>18100</v>
      </c>
      <c r="U608" s="12">
        <f t="shared" si="32"/>
        <v>14175</v>
      </c>
      <c r="V608">
        <v>1</v>
      </c>
      <c r="W608" s="12">
        <v>120947</v>
      </c>
      <c r="X608">
        <v>1</v>
      </c>
      <c r="Y608">
        <v>1</v>
      </c>
      <c r="Z608" s="17">
        <v>0.21744619978483171</v>
      </c>
      <c r="AA608" t="str">
        <f t="shared" si="29"/>
        <v>1-CT</v>
      </c>
      <c r="AB608" s="9">
        <f t="shared" si="30"/>
        <v>148500</v>
      </c>
      <c r="AC608" s="9">
        <f t="shared" si="31"/>
        <v>293552.36970952281</v>
      </c>
    </row>
    <row r="609" spans="1:29" x14ac:dyDescent="0.25">
      <c r="A609" t="s">
        <v>272</v>
      </c>
      <c r="B609">
        <v>30008</v>
      </c>
      <c r="C609" s="8">
        <v>45603</v>
      </c>
      <c r="D609">
        <v>326186</v>
      </c>
      <c r="E609" s="14">
        <v>2</v>
      </c>
      <c r="F609" t="s">
        <v>433</v>
      </c>
      <c r="G609" s="14">
        <v>6</v>
      </c>
      <c r="H609" t="s">
        <v>31</v>
      </c>
      <c r="I609" t="s">
        <v>287</v>
      </c>
      <c r="J609" s="21"/>
      <c r="K609"/>
      <c r="L609" t="s">
        <v>276</v>
      </c>
      <c r="M609" s="12">
        <v>1000000</v>
      </c>
      <c r="N609" s="14">
        <v>12</v>
      </c>
      <c r="O609" s="14">
        <v>0</v>
      </c>
      <c r="P609" s="14">
        <v>1</v>
      </c>
      <c r="Q609" s="17">
        <v>0.11</v>
      </c>
      <c r="R609" s="12">
        <v>23780</v>
      </c>
      <c r="S609">
        <v>1</v>
      </c>
      <c r="T609" s="12">
        <v>16000</v>
      </c>
      <c r="U609" s="12">
        <f t="shared" si="32"/>
        <v>10500</v>
      </c>
      <c r="V609">
        <v>1</v>
      </c>
      <c r="W609" s="12">
        <v>89425</v>
      </c>
      <c r="X609">
        <v>1</v>
      </c>
      <c r="Y609">
        <v>1</v>
      </c>
      <c r="Z609" s="17">
        <v>0.2317196145031887</v>
      </c>
      <c r="AA609" t="str">
        <f t="shared" si="29"/>
        <v>1-CT</v>
      </c>
      <c r="AB609" s="9">
        <f t="shared" si="30"/>
        <v>110000</v>
      </c>
      <c r="AC609" s="9">
        <f t="shared" si="31"/>
        <v>231719.6145031887</v>
      </c>
    </row>
    <row r="610" spans="1:29" x14ac:dyDescent="0.25">
      <c r="A610" t="s">
        <v>272</v>
      </c>
      <c r="B610">
        <v>30008</v>
      </c>
      <c r="C610" s="8">
        <v>45603</v>
      </c>
      <c r="D610">
        <v>326186</v>
      </c>
      <c r="E610" s="14">
        <v>2</v>
      </c>
      <c r="F610" t="s">
        <v>434</v>
      </c>
      <c r="G610" s="14">
        <v>6</v>
      </c>
      <c r="H610" t="s">
        <v>31</v>
      </c>
      <c r="I610" t="s">
        <v>291</v>
      </c>
      <c r="J610" s="21"/>
      <c r="K610"/>
      <c r="L610" t="s">
        <v>276</v>
      </c>
      <c r="M610" s="12">
        <v>500000</v>
      </c>
      <c r="N610" s="14">
        <v>12</v>
      </c>
      <c r="O610" s="14">
        <v>0</v>
      </c>
      <c r="P610" s="14">
        <v>1</v>
      </c>
      <c r="Q610" s="17">
        <v>0.1</v>
      </c>
      <c r="R610" s="12">
        <v>9512</v>
      </c>
      <c r="S610">
        <v>1</v>
      </c>
      <c r="T610" s="12">
        <v>13000</v>
      </c>
      <c r="U610" s="12">
        <f t="shared" si="32"/>
        <v>5250</v>
      </c>
      <c r="V610">
        <v>1</v>
      </c>
      <c r="W610" s="12">
        <v>44675</v>
      </c>
      <c r="X610">
        <v>1</v>
      </c>
      <c r="Y610">
        <v>1</v>
      </c>
      <c r="Z610" s="17">
        <v>0.24089100884962106</v>
      </c>
      <c r="AA610" t="str">
        <f t="shared" si="29"/>
        <v>1-CT</v>
      </c>
      <c r="AB610" s="9">
        <f t="shared" si="30"/>
        <v>50000</v>
      </c>
      <c r="AC610" s="9">
        <f t="shared" si="31"/>
        <v>120445.50442481053</v>
      </c>
    </row>
    <row r="611" spans="1:29" x14ac:dyDescent="0.25">
      <c r="A611" t="s">
        <v>272</v>
      </c>
      <c r="B611">
        <v>30008</v>
      </c>
      <c r="C611" s="8">
        <v>45603</v>
      </c>
      <c r="D611">
        <v>326186</v>
      </c>
      <c r="E611" s="14">
        <v>2</v>
      </c>
      <c r="F611" t="s">
        <v>435</v>
      </c>
      <c r="G611" s="14">
        <v>6</v>
      </c>
      <c r="H611" t="s">
        <v>31</v>
      </c>
      <c r="I611" t="s">
        <v>287</v>
      </c>
      <c r="J611" s="21"/>
      <c r="K611"/>
      <c r="L611" t="s">
        <v>276</v>
      </c>
      <c r="M611" s="12">
        <v>1100000</v>
      </c>
      <c r="N611" s="14">
        <v>12</v>
      </c>
      <c r="O611" s="14">
        <v>0</v>
      </c>
      <c r="P611" s="14">
        <v>1</v>
      </c>
      <c r="Q611" s="17">
        <v>0.11</v>
      </c>
      <c r="R611" s="12">
        <v>23780</v>
      </c>
      <c r="S611">
        <v>1</v>
      </c>
      <c r="T611" s="12">
        <v>16600</v>
      </c>
      <c r="U611" s="12">
        <f t="shared" si="32"/>
        <v>11550</v>
      </c>
      <c r="V611">
        <v>1</v>
      </c>
      <c r="W611" s="12">
        <v>98382</v>
      </c>
      <c r="X611">
        <v>1</v>
      </c>
      <c r="Y611">
        <v>1</v>
      </c>
      <c r="Z611" s="17">
        <v>0.22571579614547904</v>
      </c>
      <c r="AA611" t="str">
        <f t="shared" si="29"/>
        <v>1-CT</v>
      </c>
      <c r="AB611" s="9">
        <f t="shared" si="30"/>
        <v>121000</v>
      </c>
      <c r="AC611" s="9">
        <f t="shared" si="31"/>
        <v>248287.37576002695</v>
      </c>
    </row>
    <row r="612" spans="1:29" x14ac:dyDescent="0.25">
      <c r="A612" t="s">
        <v>272</v>
      </c>
      <c r="B612">
        <v>30008</v>
      </c>
      <c r="C612" s="8">
        <v>45603</v>
      </c>
      <c r="D612">
        <v>326186</v>
      </c>
      <c r="E612" s="14">
        <v>2</v>
      </c>
      <c r="F612" t="s">
        <v>436</v>
      </c>
      <c r="G612" s="14">
        <v>6</v>
      </c>
      <c r="H612" t="s">
        <v>31</v>
      </c>
      <c r="I612" t="s">
        <v>402</v>
      </c>
      <c r="J612" s="21"/>
      <c r="K612"/>
      <c r="L612" t="s">
        <v>301</v>
      </c>
      <c r="M612" s="12">
        <v>2550000</v>
      </c>
      <c r="N612" s="14">
        <v>12</v>
      </c>
      <c r="O612" s="14">
        <v>0</v>
      </c>
      <c r="P612" s="14">
        <v>1</v>
      </c>
      <c r="Q612" s="17">
        <v>0.11</v>
      </c>
      <c r="R612" s="12">
        <v>23780</v>
      </c>
      <c r="S612">
        <v>1</v>
      </c>
      <c r="T612" s="12">
        <v>25300</v>
      </c>
      <c r="U612" s="12">
        <f t="shared" si="32"/>
        <v>26775</v>
      </c>
      <c r="V612">
        <v>1</v>
      </c>
      <c r="W612" s="12">
        <v>228068</v>
      </c>
      <c r="X612">
        <v>1</v>
      </c>
      <c r="Y612">
        <v>1</v>
      </c>
      <c r="Z612" s="17">
        <v>0.1905018500282078</v>
      </c>
      <c r="AA612" t="str">
        <f t="shared" si="29"/>
        <v>1-CT</v>
      </c>
      <c r="AB612" s="9">
        <f t="shared" si="30"/>
        <v>280500</v>
      </c>
      <c r="AC612" s="9">
        <f t="shared" si="31"/>
        <v>485779.71757192991</v>
      </c>
    </row>
    <row r="613" spans="1:29" x14ac:dyDescent="0.25">
      <c r="A613" t="s">
        <v>272</v>
      </c>
      <c r="B613">
        <v>30008</v>
      </c>
      <c r="C613" s="8">
        <v>45603</v>
      </c>
      <c r="D613">
        <v>326186</v>
      </c>
      <c r="E613" s="14">
        <v>2</v>
      </c>
      <c r="F613" t="s">
        <v>437</v>
      </c>
      <c r="G613" s="14">
        <v>6</v>
      </c>
      <c r="H613" t="s">
        <v>31</v>
      </c>
      <c r="I613" t="s">
        <v>438</v>
      </c>
      <c r="J613" s="21"/>
      <c r="K613"/>
      <c r="L613" t="s">
        <v>276</v>
      </c>
      <c r="M613" s="12">
        <v>1500000</v>
      </c>
      <c r="N613" s="14">
        <v>12</v>
      </c>
      <c r="O613" s="14">
        <v>0</v>
      </c>
      <c r="P613" s="14">
        <v>1</v>
      </c>
      <c r="Q613" s="17">
        <v>0.11</v>
      </c>
      <c r="R613" s="12">
        <v>23780</v>
      </c>
      <c r="S613">
        <v>1</v>
      </c>
      <c r="T613" s="12">
        <v>19000</v>
      </c>
      <c r="U613" s="12">
        <f t="shared" si="32"/>
        <v>15750.000000000002</v>
      </c>
      <c r="V613">
        <v>1</v>
      </c>
      <c r="W613" s="12">
        <v>134158</v>
      </c>
      <c r="X613">
        <v>1</v>
      </c>
      <c r="Y613">
        <v>1</v>
      </c>
      <c r="Z613" s="17">
        <v>0.20909340820475536</v>
      </c>
      <c r="AA613" t="str">
        <f t="shared" si="29"/>
        <v>1-CT</v>
      </c>
      <c r="AB613" s="9">
        <f t="shared" si="30"/>
        <v>165000</v>
      </c>
      <c r="AC613" s="9">
        <f t="shared" si="31"/>
        <v>313640.11230713304</v>
      </c>
    </row>
    <row r="614" spans="1:29" x14ac:dyDescent="0.25">
      <c r="A614" t="s">
        <v>272</v>
      </c>
      <c r="B614">
        <v>30008</v>
      </c>
      <c r="C614" s="8">
        <v>45604</v>
      </c>
      <c r="D614">
        <v>326186</v>
      </c>
      <c r="E614" s="14">
        <v>2</v>
      </c>
      <c r="F614" t="s">
        <v>439</v>
      </c>
      <c r="G614" s="14">
        <v>6</v>
      </c>
      <c r="H614" t="s">
        <v>31</v>
      </c>
      <c r="I614" t="s">
        <v>291</v>
      </c>
      <c r="J614" s="21"/>
      <c r="K614"/>
      <c r="L614" t="s">
        <v>440</v>
      </c>
      <c r="M614" s="12">
        <v>5000000</v>
      </c>
      <c r="N614" s="14">
        <v>12</v>
      </c>
      <c r="O614" s="14">
        <v>0</v>
      </c>
      <c r="P614" s="14">
        <v>1</v>
      </c>
      <c r="Q614" s="17">
        <v>0.11</v>
      </c>
      <c r="R614" s="12">
        <v>23780</v>
      </c>
      <c r="S614">
        <v>1</v>
      </c>
      <c r="T614" s="12">
        <v>42727</v>
      </c>
      <c r="U614" s="12">
        <f t="shared" si="32"/>
        <v>52500</v>
      </c>
      <c r="V614">
        <v>1</v>
      </c>
      <c r="W614" s="12">
        <v>447220</v>
      </c>
      <c r="X614">
        <v>1</v>
      </c>
      <c r="Y614">
        <v>1</v>
      </c>
      <c r="Z614" s="17">
        <v>0.17884005220382615</v>
      </c>
      <c r="AA614" t="str">
        <f t="shared" si="29"/>
        <v>1-CT</v>
      </c>
      <c r="AB614" s="9">
        <f t="shared" si="30"/>
        <v>550000</v>
      </c>
      <c r="AC614" s="9">
        <f t="shared" si="31"/>
        <v>894200.2610191307</v>
      </c>
    </row>
    <row r="615" spans="1:29" x14ac:dyDescent="0.25">
      <c r="A615" t="s">
        <v>272</v>
      </c>
      <c r="B615">
        <v>30008</v>
      </c>
      <c r="C615" s="8">
        <v>45604</v>
      </c>
      <c r="D615">
        <v>326186</v>
      </c>
      <c r="E615" s="14">
        <v>2</v>
      </c>
      <c r="F615" t="s">
        <v>441</v>
      </c>
      <c r="G615" s="14">
        <v>6</v>
      </c>
      <c r="H615" t="s">
        <v>31</v>
      </c>
      <c r="I615" t="s">
        <v>398</v>
      </c>
      <c r="J615" s="21"/>
      <c r="K615"/>
      <c r="L615" t="s">
        <v>276</v>
      </c>
      <c r="M615" s="12">
        <v>1000000</v>
      </c>
      <c r="N615" s="14">
        <v>12</v>
      </c>
      <c r="O615" s="14">
        <v>0</v>
      </c>
      <c r="P615" s="14">
        <v>1</v>
      </c>
      <c r="Q615" s="17">
        <v>0.11</v>
      </c>
      <c r="R615" s="12">
        <v>23780</v>
      </c>
      <c r="S615">
        <v>1</v>
      </c>
      <c r="T615" s="12">
        <v>15500</v>
      </c>
      <c r="U615" s="12">
        <f t="shared" si="32"/>
        <v>10500</v>
      </c>
      <c r="V615">
        <v>1</v>
      </c>
      <c r="W615" s="12">
        <v>89440</v>
      </c>
      <c r="X615">
        <v>1</v>
      </c>
      <c r="Y615">
        <v>1</v>
      </c>
      <c r="Z615" s="17">
        <v>0.23102034270483177</v>
      </c>
      <c r="AA615" t="str">
        <f t="shared" si="29"/>
        <v>1-CT</v>
      </c>
      <c r="AB615" s="9">
        <f t="shared" si="30"/>
        <v>110000</v>
      </c>
      <c r="AC615" s="9">
        <f t="shared" si="31"/>
        <v>231020.34270483177</v>
      </c>
    </row>
    <row r="616" spans="1:29" x14ac:dyDescent="0.25">
      <c r="A616" t="s">
        <v>272</v>
      </c>
      <c r="B616">
        <v>30008</v>
      </c>
      <c r="C616" s="8">
        <v>45604</v>
      </c>
      <c r="D616">
        <v>326186</v>
      </c>
      <c r="E616" s="14">
        <v>2</v>
      </c>
      <c r="F616" t="s">
        <v>442</v>
      </c>
      <c r="G616" s="14">
        <v>6</v>
      </c>
      <c r="H616" t="s">
        <v>31</v>
      </c>
      <c r="I616" t="s">
        <v>443</v>
      </c>
      <c r="J616" s="21"/>
      <c r="K616"/>
      <c r="L616" t="s">
        <v>276</v>
      </c>
      <c r="M616" s="12">
        <v>1000000</v>
      </c>
      <c r="N616" s="14">
        <v>12</v>
      </c>
      <c r="O616" s="14">
        <v>0</v>
      </c>
      <c r="P616" s="14">
        <v>1</v>
      </c>
      <c r="Q616" s="17">
        <v>0.11</v>
      </c>
      <c r="R616" s="12">
        <v>23780</v>
      </c>
      <c r="S616">
        <v>1</v>
      </c>
      <c r="T616" s="12">
        <v>13080</v>
      </c>
      <c r="U616" s="12">
        <f t="shared" si="32"/>
        <v>10500</v>
      </c>
      <c r="V616">
        <v>1</v>
      </c>
      <c r="W616" s="12">
        <v>89420</v>
      </c>
      <c r="X616">
        <v>1</v>
      </c>
      <c r="Y616">
        <v>1</v>
      </c>
      <c r="Z616" s="17">
        <v>0.22562833952853928</v>
      </c>
      <c r="AA616" t="str">
        <f t="shared" si="29"/>
        <v>1-CT</v>
      </c>
      <c r="AB616" s="9">
        <f t="shared" si="30"/>
        <v>110000</v>
      </c>
      <c r="AC616" s="9">
        <f t="shared" si="31"/>
        <v>225628.33952853928</v>
      </c>
    </row>
    <row r="617" spans="1:29" x14ac:dyDescent="0.25">
      <c r="A617" t="s">
        <v>272</v>
      </c>
      <c r="B617">
        <v>30008</v>
      </c>
      <c r="C617" s="8">
        <v>45604</v>
      </c>
      <c r="D617">
        <v>326186</v>
      </c>
      <c r="E617" s="14">
        <v>2</v>
      </c>
      <c r="F617" t="s">
        <v>444</v>
      </c>
      <c r="G617" s="14">
        <v>6</v>
      </c>
      <c r="H617" t="s">
        <v>31</v>
      </c>
      <c r="I617" t="s">
        <v>291</v>
      </c>
      <c r="J617" s="21"/>
      <c r="K617"/>
      <c r="L617" t="s">
        <v>276</v>
      </c>
      <c r="M617" s="12">
        <v>1000000</v>
      </c>
      <c r="N617" s="14">
        <v>12</v>
      </c>
      <c r="O617" s="14">
        <v>0</v>
      </c>
      <c r="P617" s="14">
        <v>1</v>
      </c>
      <c r="Q617" s="17">
        <v>0.11</v>
      </c>
      <c r="R617" s="12">
        <v>23780</v>
      </c>
      <c r="S617">
        <v>1</v>
      </c>
      <c r="T617" s="12">
        <v>16000</v>
      </c>
      <c r="U617" s="12">
        <f t="shared" si="32"/>
        <v>10500</v>
      </c>
      <c r="V617">
        <v>1</v>
      </c>
      <c r="W617" s="12">
        <v>89425</v>
      </c>
      <c r="X617">
        <v>1</v>
      </c>
      <c r="Y617">
        <v>1</v>
      </c>
      <c r="Z617" s="17">
        <v>0.2317196145031887</v>
      </c>
      <c r="AA617" t="str">
        <f t="shared" si="29"/>
        <v>1-CT</v>
      </c>
      <c r="AB617" s="9">
        <f t="shared" si="30"/>
        <v>110000</v>
      </c>
      <c r="AC617" s="9">
        <f t="shared" si="31"/>
        <v>231719.6145031887</v>
      </c>
    </row>
    <row r="618" spans="1:29" x14ac:dyDescent="0.25">
      <c r="A618" t="s">
        <v>272</v>
      </c>
      <c r="B618">
        <v>30008</v>
      </c>
      <c r="C618" s="8">
        <v>45604</v>
      </c>
      <c r="D618">
        <v>326186</v>
      </c>
      <c r="E618" s="14">
        <v>2</v>
      </c>
      <c r="F618" t="s">
        <v>445</v>
      </c>
      <c r="G618" s="14">
        <v>6</v>
      </c>
      <c r="H618" t="s">
        <v>31</v>
      </c>
      <c r="I618" t="s">
        <v>291</v>
      </c>
      <c r="J618" s="21"/>
      <c r="K618"/>
      <c r="L618" t="s">
        <v>276</v>
      </c>
      <c r="M618" s="12">
        <v>1200000</v>
      </c>
      <c r="N618" s="14">
        <v>12</v>
      </c>
      <c r="O618" s="14">
        <v>0</v>
      </c>
      <c r="P618" s="14">
        <v>1</v>
      </c>
      <c r="Q618" s="17">
        <v>0.11</v>
      </c>
      <c r="R618" s="12">
        <v>23780</v>
      </c>
      <c r="S618">
        <v>1</v>
      </c>
      <c r="T618" s="12">
        <v>17200</v>
      </c>
      <c r="U618" s="12">
        <f t="shared" si="32"/>
        <v>12600</v>
      </c>
      <c r="V618">
        <v>1</v>
      </c>
      <c r="W618" s="12">
        <v>107320</v>
      </c>
      <c r="X618">
        <v>1</v>
      </c>
      <c r="Y618">
        <v>1</v>
      </c>
      <c r="Z618" s="17">
        <v>0.22039022065453087</v>
      </c>
      <c r="AA618" t="str">
        <f t="shared" si="29"/>
        <v>1-CT</v>
      </c>
      <c r="AB618" s="9">
        <f t="shared" si="30"/>
        <v>132000</v>
      </c>
      <c r="AC618" s="9">
        <f t="shared" si="31"/>
        <v>264468.26478543703</v>
      </c>
    </row>
    <row r="619" spans="1:29" x14ac:dyDescent="0.25">
      <c r="A619" t="s">
        <v>272</v>
      </c>
      <c r="B619">
        <v>30008</v>
      </c>
      <c r="C619" s="8">
        <v>45604</v>
      </c>
      <c r="D619">
        <v>326186</v>
      </c>
      <c r="E619" s="14">
        <v>2</v>
      </c>
      <c r="F619" t="s">
        <v>446</v>
      </c>
      <c r="G619" s="14">
        <v>6</v>
      </c>
      <c r="H619" t="s">
        <v>31</v>
      </c>
      <c r="I619" t="s">
        <v>287</v>
      </c>
      <c r="J619" s="21"/>
      <c r="K619"/>
      <c r="L619" t="s">
        <v>369</v>
      </c>
      <c r="M619" s="12">
        <v>5000000</v>
      </c>
      <c r="N619" s="14">
        <v>12</v>
      </c>
      <c r="O619" s="14">
        <v>0</v>
      </c>
      <c r="P619" s="14">
        <v>1</v>
      </c>
      <c r="Q619" s="17">
        <v>0.11</v>
      </c>
      <c r="R619" s="12">
        <v>23780</v>
      </c>
      <c r="S619">
        <v>1</v>
      </c>
      <c r="T619" s="12">
        <v>40000</v>
      </c>
      <c r="U619" s="12">
        <f t="shared" si="32"/>
        <v>52500</v>
      </c>
      <c r="V619">
        <v>1</v>
      </c>
      <c r="W619" s="12">
        <v>449410</v>
      </c>
      <c r="X619">
        <v>1</v>
      </c>
      <c r="Y619">
        <v>1</v>
      </c>
      <c r="Z619" s="17">
        <v>0.18718041880239356</v>
      </c>
      <c r="AA619" t="str">
        <f t="shared" si="29"/>
        <v>1-CT</v>
      </c>
      <c r="AB619" s="9">
        <f t="shared" si="30"/>
        <v>550000</v>
      </c>
      <c r="AC619" s="9">
        <f t="shared" si="31"/>
        <v>935902.09401196777</v>
      </c>
    </row>
    <row r="620" spans="1:29" x14ac:dyDescent="0.25">
      <c r="A620" t="s">
        <v>272</v>
      </c>
      <c r="B620">
        <v>30008</v>
      </c>
      <c r="C620" s="8">
        <v>45607</v>
      </c>
      <c r="D620">
        <v>316286</v>
      </c>
      <c r="E620" s="14">
        <v>2</v>
      </c>
      <c r="F620" t="s">
        <v>447</v>
      </c>
      <c r="G620" s="14">
        <v>6</v>
      </c>
      <c r="H620" t="s">
        <v>31</v>
      </c>
      <c r="I620" t="s">
        <v>291</v>
      </c>
      <c r="J620" s="21"/>
      <c r="K620"/>
      <c r="L620" t="s">
        <v>276</v>
      </c>
      <c r="M620" s="12">
        <v>2800000</v>
      </c>
      <c r="N620" s="14">
        <v>36</v>
      </c>
      <c r="O620" s="14">
        <v>0</v>
      </c>
      <c r="P620" s="14">
        <v>1</v>
      </c>
      <c r="Q620" s="17">
        <v>0.11</v>
      </c>
      <c r="R620" s="12">
        <v>148625</v>
      </c>
      <c r="S620">
        <v>1</v>
      </c>
      <c r="T620" s="12">
        <v>60400</v>
      </c>
      <c r="U620" s="12">
        <f t="shared" si="32"/>
        <v>29400.000000000004</v>
      </c>
      <c r="V620">
        <v>1</v>
      </c>
      <c r="W620" s="12">
        <v>94690</v>
      </c>
      <c r="X620">
        <v>1</v>
      </c>
      <c r="Y620">
        <v>1</v>
      </c>
      <c r="Z620" s="17">
        <v>0.19610733266281924</v>
      </c>
      <c r="AA620" t="str">
        <f t="shared" si="29"/>
        <v>2-MT</v>
      </c>
      <c r="AB620" s="9">
        <f t="shared" si="30"/>
        <v>308000</v>
      </c>
      <c r="AC620" s="9">
        <f t="shared" si="31"/>
        <v>549100.53145589388</v>
      </c>
    </row>
    <row r="621" spans="1:29" x14ac:dyDescent="0.25">
      <c r="A621" t="s">
        <v>272</v>
      </c>
      <c r="B621">
        <v>30008</v>
      </c>
      <c r="C621" s="8">
        <v>45607</v>
      </c>
      <c r="D621">
        <v>316286</v>
      </c>
      <c r="E621" s="14">
        <v>2</v>
      </c>
      <c r="F621" t="s">
        <v>448</v>
      </c>
      <c r="G621" s="14">
        <v>6</v>
      </c>
      <c r="H621" t="s">
        <v>31</v>
      </c>
      <c r="I621" t="s">
        <v>291</v>
      </c>
      <c r="J621" s="21"/>
      <c r="K621"/>
      <c r="L621" t="s">
        <v>301</v>
      </c>
      <c r="M621" s="12">
        <v>3500000</v>
      </c>
      <c r="N621" s="14">
        <v>36</v>
      </c>
      <c r="O621" s="14">
        <v>0</v>
      </c>
      <c r="P621" s="14">
        <v>1</v>
      </c>
      <c r="Q621" s="17">
        <v>0.12</v>
      </c>
      <c r="R621" s="12">
        <v>118900</v>
      </c>
      <c r="S621">
        <v>1</v>
      </c>
      <c r="T621" s="12">
        <v>73000</v>
      </c>
      <c r="U621" s="12">
        <f t="shared" si="32"/>
        <v>36750</v>
      </c>
      <c r="V621">
        <v>1</v>
      </c>
      <c r="W621" s="12">
        <v>120396</v>
      </c>
      <c r="X621">
        <v>1</v>
      </c>
      <c r="Y621">
        <v>1</v>
      </c>
      <c r="Z621" s="17">
        <v>0.19290682754992983</v>
      </c>
      <c r="AA621" t="str">
        <f t="shared" si="29"/>
        <v>2-MT</v>
      </c>
      <c r="AB621" s="9">
        <f t="shared" si="30"/>
        <v>420000</v>
      </c>
      <c r="AC621" s="9">
        <f t="shared" si="31"/>
        <v>675173.89642475441</v>
      </c>
    </row>
    <row r="622" spans="1:29" x14ac:dyDescent="0.25">
      <c r="A622" t="s">
        <v>272</v>
      </c>
      <c r="B622">
        <v>30008</v>
      </c>
      <c r="C622" s="8">
        <v>45610</v>
      </c>
      <c r="D622">
        <v>326186</v>
      </c>
      <c r="E622" s="14">
        <v>2</v>
      </c>
      <c r="F622" t="s">
        <v>449</v>
      </c>
      <c r="G622" s="14">
        <v>6</v>
      </c>
      <c r="H622" t="s">
        <v>31</v>
      </c>
      <c r="I622" t="s">
        <v>291</v>
      </c>
      <c r="J622" s="21"/>
      <c r="K622"/>
      <c r="L622" t="s">
        <v>276</v>
      </c>
      <c r="M622" s="12">
        <v>3500000</v>
      </c>
      <c r="N622" s="14">
        <v>12</v>
      </c>
      <c r="O622" s="14">
        <v>0</v>
      </c>
      <c r="P622" s="14">
        <v>1</v>
      </c>
      <c r="Q622" s="17">
        <v>0.11</v>
      </c>
      <c r="R622" s="12">
        <v>23780</v>
      </c>
      <c r="S622">
        <v>1</v>
      </c>
      <c r="T622" s="12">
        <v>20500</v>
      </c>
      <c r="U622" s="12">
        <f t="shared" si="32"/>
        <v>36750</v>
      </c>
      <c r="V622">
        <v>1</v>
      </c>
      <c r="W622" s="12">
        <v>312988</v>
      </c>
      <c r="X622">
        <v>1</v>
      </c>
      <c r="Y622">
        <v>1</v>
      </c>
      <c r="Z622" s="17">
        <v>0.17715246676504207</v>
      </c>
      <c r="AA622" t="str">
        <f t="shared" si="29"/>
        <v>1-CT</v>
      </c>
      <c r="AB622" s="9">
        <f t="shared" si="30"/>
        <v>385000</v>
      </c>
      <c r="AC622" s="9">
        <f t="shared" si="31"/>
        <v>620033.63367764722</v>
      </c>
    </row>
    <row r="623" spans="1:29" x14ac:dyDescent="0.25">
      <c r="A623" t="s">
        <v>272</v>
      </c>
      <c r="B623">
        <v>30008</v>
      </c>
      <c r="C623" s="8">
        <v>45610</v>
      </c>
      <c r="D623">
        <v>326186</v>
      </c>
      <c r="E623" s="14">
        <v>2</v>
      </c>
      <c r="F623" t="s">
        <v>450</v>
      </c>
      <c r="G623" s="14">
        <v>6</v>
      </c>
      <c r="H623" t="s">
        <v>31</v>
      </c>
      <c r="I623" t="s">
        <v>451</v>
      </c>
      <c r="J623" s="21"/>
      <c r="K623"/>
      <c r="L623" t="s">
        <v>276</v>
      </c>
      <c r="M623" s="12">
        <v>1000000</v>
      </c>
      <c r="N623" s="14">
        <v>12</v>
      </c>
      <c r="O623" s="14">
        <v>0</v>
      </c>
      <c r="P623" s="14">
        <v>1</v>
      </c>
      <c r="Q623" s="17">
        <v>0.11</v>
      </c>
      <c r="R623" s="12">
        <v>23780</v>
      </c>
      <c r="S623">
        <v>1</v>
      </c>
      <c r="T623" s="12">
        <v>9300</v>
      </c>
      <c r="U623" s="12">
        <f t="shared" si="32"/>
        <v>10500</v>
      </c>
      <c r="V623">
        <v>1</v>
      </c>
      <c r="W623" s="12">
        <v>89425</v>
      </c>
      <c r="X623">
        <v>1</v>
      </c>
      <c r="Y623">
        <v>1</v>
      </c>
      <c r="Z623" s="17">
        <v>0.21803256002433927</v>
      </c>
      <c r="AA623" t="str">
        <f t="shared" si="29"/>
        <v>1-CT</v>
      </c>
      <c r="AB623" s="9">
        <f t="shared" si="30"/>
        <v>110000</v>
      </c>
      <c r="AC623" s="9">
        <f t="shared" si="31"/>
        <v>218032.56002433927</v>
      </c>
    </row>
    <row r="624" spans="1:29" x14ac:dyDescent="0.25">
      <c r="A624" t="s">
        <v>272</v>
      </c>
      <c r="B624">
        <v>30008</v>
      </c>
      <c r="C624" s="8">
        <v>45610</v>
      </c>
      <c r="D624">
        <v>326186</v>
      </c>
      <c r="E624" s="14">
        <v>2</v>
      </c>
      <c r="F624" t="s">
        <v>452</v>
      </c>
      <c r="G624" s="14">
        <v>6</v>
      </c>
      <c r="H624" t="s">
        <v>31</v>
      </c>
      <c r="I624" t="s">
        <v>275</v>
      </c>
      <c r="J624" s="21"/>
      <c r="K624"/>
      <c r="L624" t="s">
        <v>453</v>
      </c>
      <c r="M624" s="12">
        <v>5000000</v>
      </c>
      <c r="N624" s="14">
        <v>12</v>
      </c>
      <c r="O624" s="14">
        <v>0</v>
      </c>
      <c r="P624" s="14">
        <v>1</v>
      </c>
      <c r="Q624" s="17">
        <v>0.11</v>
      </c>
      <c r="R624" s="12">
        <v>23780</v>
      </c>
      <c r="S624">
        <v>1</v>
      </c>
      <c r="T624" s="12">
        <v>42727</v>
      </c>
      <c r="U624" s="12">
        <f t="shared" si="32"/>
        <v>52500</v>
      </c>
      <c r="V624">
        <v>1</v>
      </c>
      <c r="W624" s="12">
        <v>447220</v>
      </c>
      <c r="X624">
        <v>1</v>
      </c>
      <c r="Y624">
        <v>1</v>
      </c>
      <c r="Z624" s="17">
        <v>0.17884005220382615</v>
      </c>
      <c r="AA624" t="str">
        <f t="shared" si="29"/>
        <v>1-CT</v>
      </c>
      <c r="AB624" s="9">
        <f t="shared" si="30"/>
        <v>550000</v>
      </c>
      <c r="AC624" s="9">
        <f t="shared" si="31"/>
        <v>894200.2610191307</v>
      </c>
    </row>
    <row r="625" spans="1:29" x14ac:dyDescent="0.25">
      <c r="A625" t="s">
        <v>272</v>
      </c>
      <c r="B625">
        <v>30008</v>
      </c>
      <c r="C625" s="8">
        <v>45610</v>
      </c>
      <c r="D625">
        <v>326186</v>
      </c>
      <c r="E625" s="14">
        <v>2</v>
      </c>
      <c r="F625" t="s">
        <v>454</v>
      </c>
      <c r="G625" s="14">
        <v>6</v>
      </c>
      <c r="H625" t="s">
        <v>31</v>
      </c>
      <c r="I625" t="s">
        <v>451</v>
      </c>
      <c r="J625" s="21"/>
      <c r="K625"/>
      <c r="L625" t="s">
        <v>276</v>
      </c>
      <c r="M625" s="12">
        <v>800000</v>
      </c>
      <c r="N625" s="14">
        <v>12</v>
      </c>
      <c r="O625" s="14">
        <v>0</v>
      </c>
      <c r="P625" s="14">
        <v>1</v>
      </c>
      <c r="Q625" s="17">
        <v>0.11</v>
      </c>
      <c r="R625" s="12">
        <v>23780</v>
      </c>
      <c r="S625">
        <v>1</v>
      </c>
      <c r="T625" s="12">
        <v>8440</v>
      </c>
      <c r="U625" s="12">
        <f t="shared" si="32"/>
        <v>8400</v>
      </c>
      <c r="V625">
        <v>1</v>
      </c>
      <c r="W625" s="12">
        <v>71551</v>
      </c>
      <c r="X625">
        <v>1</v>
      </c>
      <c r="Y625">
        <v>1</v>
      </c>
      <c r="Z625" s="17">
        <v>0.23303632836262278</v>
      </c>
      <c r="AA625" t="str">
        <f t="shared" si="29"/>
        <v>1-CT</v>
      </c>
      <c r="AB625" s="9">
        <f t="shared" si="30"/>
        <v>88000</v>
      </c>
      <c r="AC625" s="9">
        <f t="shared" si="31"/>
        <v>186429.06269009822</v>
      </c>
    </row>
    <row r="626" spans="1:29" x14ac:dyDescent="0.25">
      <c r="A626" t="s">
        <v>272</v>
      </c>
      <c r="B626">
        <v>30008</v>
      </c>
      <c r="C626" s="8">
        <v>45610</v>
      </c>
      <c r="D626">
        <v>326186</v>
      </c>
      <c r="E626" s="14">
        <v>2</v>
      </c>
      <c r="F626" t="s">
        <v>455</v>
      </c>
      <c r="G626" s="14">
        <v>6</v>
      </c>
      <c r="H626" t="s">
        <v>31</v>
      </c>
      <c r="I626" t="s">
        <v>283</v>
      </c>
      <c r="J626" s="21"/>
      <c r="K626"/>
      <c r="L626" t="s">
        <v>276</v>
      </c>
      <c r="M626" s="12">
        <v>2000000</v>
      </c>
      <c r="N626" s="14">
        <v>12</v>
      </c>
      <c r="O626" s="14">
        <v>0</v>
      </c>
      <c r="P626" s="14">
        <v>1</v>
      </c>
      <c r="Q626" s="17">
        <v>0.11</v>
      </c>
      <c r="R626" s="12">
        <v>23780</v>
      </c>
      <c r="S626">
        <v>1</v>
      </c>
      <c r="T626" s="12">
        <v>22000</v>
      </c>
      <c r="U626" s="12">
        <f t="shared" si="32"/>
        <v>21000</v>
      </c>
      <c r="V626">
        <v>1</v>
      </c>
      <c r="W626" s="12">
        <v>178877</v>
      </c>
      <c r="X626">
        <v>1</v>
      </c>
      <c r="Y626">
        <v>1</v>
      </c>
      <c r="Z626" s="17">
        <v>0.19777414847472083</v>
      </c>
      <c r="AA626" t="str">
        <f t="shared" si="29"/>
        <v>1-CT</v>
      </c>
      <c r="AB626" s="9">
        <f t="shared" si="30"/>
        <v>220000</v>
      </c>
      <c r="AC626" s="9">
        <f t="shared" si="31"/>
        <v>395548.29694944166</v>
      </c>
    </row>
    <row r="627" spans="1:29" x14ac:dyDescent="0.25">
      <c r="A627" t="s">
        <v>272</v>
      </c>
      <c r="B627">
        <v>30008</v>
      </c>
      <c r="C627" s="8">
        <v>45610</v>
      </c>
      <c r="D627">
        <v>326186</v>
      </c>
      <c r="E627" s="14">
        <v>2</v>
      </c>
      <c r="F627" t="s">
        <v>456</v>
      </c>
      <c r="G627" s="14">
        <v>6</v>
      </c>
      <c r="H627" t="s">
        <v>31</v>
      </c>
      <c r="I627" t="s">
        <v>372</v>
      </c>
      <c r="J627" s="21"/>
      <c r="K627"/>
      <c r="L627" t="s">
        <v>276</v>
      </c>
      <c r="M627" s="12">
        <v>500000</v>
      </c>
      <c r="N627" s="14">
        <v>12</v>
      </c>
      <c r="O627" s="14">
        <v>0</v>
      </c>
      <c r="P627" s="14">
        <v>1</v>
      </c>
      <c r="Q627" s="17">
        <v>0.11</v>
      </c>
      <c r="R627" s="12">
        <v>11890</v>
      </c>
      <c r="S627">
        <v>1</v>
      </c>
      <c r="T627" s="12">
        <v>13000</v>
      </c>
      <c r="U627" s="12">
        <f t="shared" si="32"/>
        <v>5250</v>
      </c>
      <c r="V627">
        <v>1</v>
      </c>
      <c r="W627" s="12">
        <v>44437</v>
      </c>
      <c r="X627">
        <v>1</v>
      </c>
      <c r="Y627">
        <v>1</v>
      </c>
      <c r="Z627" s="17">
        <v>0.24031785847717213</v>
      </c>
      <c r="AA627" t="str">
        <f t="shared" si="29"/>
        <v>1-CT</v>
      </c>
      <c r="AB627" s="9">
        <f t="shared" si="30"/>
        <v>55000</v>
      </c>
      <c r="AC627" s="9">
        <f t="shared" si="31"/>
        <v>120158.92923858606</v>
      </c>
    </row>
    <row r="628" spans="1:29" x14ac:dyDescent="0.25">
      <c r="A628" t="s">
        <v>272</v>
      </c>
      <c r="B628">
        <v>30008</v>
      </c>
      <c r="C628" s="8">
        <v>45611</v>
      </c>
      <c r="D628">
        <v>326186</v>
      </c>
      <c r="E628" s="14">
        <v>2</v>
      </c>
      <c r="F628" t="s">
        <v>457</v>
      </c>
      <c r="G628" s="14">
        <v>6</v>
      </c>
      <c r="H628" t="s">
        <v>31</v>
      </c>
      <c r="I628" t="s">
        <v>279</v>
      </c>
      <c r="J628" s="21"/>
      <c r="K628"/>
      <c r="L628" t="s">
        <v>276</v>
      </c>
      <c r="M628" s="12">
        <v>1000000</v>
      </c>
      <c r="N628" s="14">
        <v>12</v>
      </c>
      <c r="O628" s="14">
        <v>0</v>
      </c>
      <c r="P628" s="14">
        <v>1</v>
      </c>
      <c r="Q628" s="17">
        <v>0.11</v>
      </c>
      <c r="R628" s="12">
        <v>23780</v>
      </c>
      <c r="S628">
        <v>1</v>
      </c>
      <c r="T628" s="12">
        <v>16000</v>
      </c>
      <c r="U628" s="12">
        <f t="shared" si="32"/>
        <v>10500</v>
      </c>
      <c r="V628">
        <v>1</v>
      </c>
      <c r="W628" s="12">
        <v>89439</v>
      </c>
      <c r="X628">
        <v>1</v>
      </c>
      <c r="Y628">
        <v>1</v>
      </c>
      <c r="Z628" s="17">
        <v>0.2320249044933928</v>
      </c>
      <c r="AA628" t="str">
        <f t="shared" si="29"/>
        <v>1-CT</v>
      </c>
      <c r="AB628" s="9">
        <f t="shared" si="30"/>
        <v>110000</v>
      </c>
      <c r="AC628" s="9">
        <f t="shared" si="31"/>
        <v>232024.90449339279</v>
      </c>
    </row>
    <row r="629" spans="1:29" x14ac:dyDescent="0.25">
      <c r="A629" t="s">
        <v>272</v>
      </c>
      <c r="B629">
        <v>30008</v>
      </c>
      <c r="C629" s="8">
        <v>45611</v>
      </c>
      <c r="D629">
        <v>326186</v>
      </c>
      <c r="E629" s="14">
        <v>2</v>
      </c>
      <c r="F629" t="s">
        <v>458</v>
      </c>
      <c r="G629" s="14">
        <v>6</v>
      </c>
      <c r="H629" t="s">
        <v>31</v>
      </c>
      <c r="I629" t="s">
        <v>291</v>
      </c>
      <c r="J629" s="21"/>
      <c r="K629"/>
      <c r="L629" t="s">
        <v>276</v>
      </c>
      <c r="M629" s="12">
        <v>2000000</v>
      </c>
      <c r="N629" s="14">
        <v>6</v>
      </c>
      <c r="O629" s="14">
        <v>0</v>
      </c>
      <c r="P629" s="14">
        <v>1</v>
      </c>
      <c r="Q629" s="17">
        <v>0.11</v>
      </c>
      <c r="R629" s="12">
        <v>23780</v>
      </c>
      <c r="S629">
        <v>1</v>
      </c>
      <c r="T629" s="12">
        <v>16000</v>
      </c>
      <c r="U629" s="12">
        <f t="shared" si="32"/>
        <v>21000</v>
      </c>
      <c r="V629">
        <v>1</v>
      </c>
      <c r="W629" s="12">
        <v>346473</v>
      </c>
      <c r="X629">
        <v>1</v>
      </c>
      <c r="Y629">
        <v>1</v>
      </c>
      <c r="Z629" s="17">
        <v>0.24279497531508565</v>
      </c>
      <c r="AA629" t="str">
        <f t="shared" si="29"/>
        <v>1-CT</v>
      </c>
      <c r="AB629" s="9">
        <f t="shared" si="30"/>
        <v>220000</v>
      </c>
      <c r="AC629" s="9">
        <f t="shared" si="31"/>
        <v>485589.95063017128</v>
      </c>
    </row>
    <row r="630" spans="1:29" x14ac:dyDescent="0.25">
      <c r="A630" t="s">
        <v>272</v>
      </c>
      <c r="B630">
        <v>30008</v>
      </c>
      <c r="C630" s="8">
        <v>45611</v>
      </c>
      <c r="D630">
        <v>326186</v>
      </c>
      <c r="E630" s="14">
        <v>2</v>
      </c>
      <c r="F630" t="s">
        <v>459</v>
      </c>
      <c r="G630" s="14">
        <v>6</v>
      </c>
      <c r="H630" t="s">
        <v>31</v>
      </c>
      <c r="I630" t="s">
        <v>275</v>
      </c>
      <c r="J630" s="21"/>
      <c r="K630"/>
      <c r="L630" t="s">
        <v>301</v>
      </c>
      <c r="M630" s="12">
        <v>2000000</v>
      </c>
      <c r="N630" s="14">
        <v>6</v>
      </c>
      <c r="O630" s="14">
        <v>0</v>
      </c>
      <c r="P630" s="14">
        <v>1</v>
      </c>
      <c r="Q630" s="17">
        <v>0.11</v>
      </c>
      <c r="R630" s="12">
        <v>23780</v>
      </c>
      <c r="S630">
        <v>1</v>
      </c>
      <c r="T630" s="12">
        <v>16000</v>
      </c>
      <c r="U630" s="12">
        <f t="shared" si="32"/>
        <v>21000</v>
      </c>
      <c r="V630">
        <v>1</v>
      </c>
      <c r="W630" s="12">
        <v>346473</v>
      </c>
      <c r="X630">
        <v>1</v>
      </c>
      <c r="Y630">
        <v>1</v>
      </c>
      <c r="Z630" s="17">
        <v>0.24279497531508565</v>
      </c>
      <c r="AA630" t="str">
        <f t="shared" si="29"/>
        <v>1-CT</v>
      </c>
      <c r="AB630" s="9">
        <f t="shared" si="30"/>
        <v>220000</v>
      </c>
      <c r="AC630" s="9">
        <f t="shared" si="31"/>
        <v>485589.95063017128</v>
      </c>
    </row>
    <row r="631" spans="1:29" x14ac:dyDescent="0.25">
      <c r="A631" t="s">
        <v>272</v>
      </c>
      <c r="B631">
        <v>30008</v>
      </c>
      <c r="C631" s="8">
        <v>45611</v>
      </c>
      <c r="D631">
        <v>326186</v>
      </c>
      <c r="E631" s="14">
        <v>2</v>
      </c>
      <c r="F631" t="s">
        <v>460</v>
      </c>
      <c r="G631" s="14">
        <v>6</v>
      </c>
      <c r="H631" t="s">
        <v>31</v>
      </c>
      <c r="I631" t="s">
        <v>291</v>
      </c>
      <c r="J631" s="21"/>
      <c r="K631"/>
      <c r="L631" t="s">
        <v>316</v>
      </c>
      <c r="M631" s="12">
        <v>3000000</v>
      </c>
      <c r="N631" s="14">
        <v>12</v>
      </c>
      <c r="O631" s="14">
        <v>0</v>
      </c>
      <c r="P631" s="14">
        <v>1</v>
      </c>
      <c r="Q631" s="17">
        <v>0.11</v>
      </c>
      <c r="R631" s="12">
        <v>23780</v>
      </c>
      <c r="S631">
        <v>1</v>
      </c>
      <c r="T631" s="12">
        <v>28000</v>
      </c>
      <c r="U631" s="12">
        <f t="shared" si="32"/>
        <v>31500.000000000004</v>
      </c>
      <c r="V631">
        <v>1</v>
      </c>
      <c r="W631" s="12">
        <v>267450</v>
      </c>
      <c r="X631">
        <v>1</v>
      </c>
      <c r="Y631">
        <v>1</v>
      </c>
      <c r="Z631" s="17">
        <v>0.18032511213945326</v>
      </c>
      <c r="AA631" t="str">
        <f t="shared" si="29"/>
        <v>1-CT</v>
      </c>
      <c r="AB631" s="9">
        <f t="shared" si="30"/>
        <v>330000</v>
      </c>
      <c r="AC631" s="9">
        <f t="shared" si="31"/>
        <v>540975.33641835977</v>
      </c>
    </row>
    <row r="632" spans="1:29" x14ac:dyDescent="0.25">
      <c r="A632" t="s">
        <v>272</v>
      </c>
      <c r="B632">
        <v>30008</v>
      </c>
      <c r="C632" s="8">
        <v>45611</v>
      </c>
      <c r="D632">
        <v>326186</v>
      </c>
      <c r="E632" s="14">
        <v>2</v>
      </c>
      <c r="F632" t="s">
        <v>461</v>
      </c>
      <c r="G632" s="14">
        <v>6</v>
      </c>
      <c r="H632" t="s">
        <v>31</v>
      </c>
      <c r="I632" t="s">
        <v>287</v>
      </c>
      <c r="J632" s="21"/>
      <c r="K632"/>
      <c r="L632" t="s">
        <v>276</v>
      </c>
      <c r="M632" s="12">
        <v>1000000</v>
      </c>
      <c r="N632" s="14">
        <v>12</v>
      </c>
      <c r="O632" s="14">
        <v>0</v>
      </c>
      <c r="P632" s="14">
        <v>1</v>
      </c>
      <c r="Q632" s="17">
        <v>0.11</v>
      </c>
      <c r="R632" s="12">
        <v>23780</v>
      </c>
      <c r="S632">
        <v>1</v>
      </c>
      <c r="T632" s="12">
        <v>16800</v>
      </c>
      <c r="U632" s="12">
        <f t="shared" si="32"/>
        <v>10500</v>
      </c>
      <c r="V632">
        <v>1</v>
      </c>
      <c r="W632" s="12">
        <v>89439</v>
      </c>
      <c r="X632">
        <v>1</v>
      </c>
      <c r="Y632">
        <v>1</v>
      </c>
      <c r="Z632" s="17">
        <v>0.233668727369997</v>
      </c>
      <c r="AA632" t="str">
        <f t="shared" si="29"/>
        <v>1-CT</v>
      </c>
      <c r="AB632" s="9">
        <f t="shared" si="30"/>
        <v>110000</v>
      </c>
      <c r="AC632" s="9">
        <f t="shared" si="31"/>
        <v>233668.72736999701</v>
      </c>
    </row>
    <row r="633" spans="1:29" x14ac:dyDescent="0.25">
      <c r="A633" t="s">
        <v>272</v>
      </c>
      <c r="B633">
        <v>30008</v>
      </c>
      <c r="C633" s="8">
        <v>45611</v>
      </c>
      <c r="D633">
        <v>316286</v>
      </c>
      <c r="E633" s="14">
        <v>2</v>
      </c>
      <c r="F633" t="s">
        <v>462</v>
      </c>
      <c r="G633" s="14">
        <v>6</v>
      </c>
      <c r="H633" t="s">
        <v>31</v>
      </c>
      <c r="I633" t="s">
        <v>291</v>
      </c>
      <c r="J633" s="21"/>
      <c r="K633"/>
      <c r="L633" t="s">
        <v>276</v>
      </c>
      <c r="M633" s="12">
        <v>3500000</v>
      </c>
      <c r="N633" s="14">
        <v>36</v>
      </c>
      <c r="O633" s="14">
        <v>0</v>
      </c>
      <c r="P633" s="14">
        <v>1</v>
      </c>
      <c r="Q633" s="17">
        <v>0.12</v>
      </c>
      <c r="R633" s="12">
        <v>136735</v>
      </c>
      <c r="S633">
        <v>1</v>
      </c>
      <c r="T633" s="12">
        <v>73000</v>
      </c>
      <c r="U633" s="12">
        <f t="shared" si="32"/>
        <v>36750</v>
      </c>
      <c r="V633">
        <v>1</v>
      </c>
      <c r="W633" s="12">
        <v>120420</v>
      </c>
      <c r="X633">
        <v>1</v>
      </c>
      <c r="Y633">
        <v>1</v>
      </c>
      <c r="Z633" s="17">
        <v>0.19702706058733155</v>
      </c>
      <c r="AA633" t="str">
        <f t="shared" si="29"/>
        <v>2-MT</v>
      </c>
      <c r="AB633" s="9">
        <f t="shared" si="30"/>
        <v>420000</v>
      </c>
      <c r="AC633" s="9">
        <f t="shared" si="31"/>
        <v>689594.71205566043</v>
      </c>
    </row>
    <row r="634" spans="1:29" x14ac:dyDescent="0.25">
      <c r="A634" t="s">
        <v>272</v>
      </c>
      <c r="B634">
        <v>30008</v>
      </c>
      <c r="C634" s="8">
        <v>45611</v>
      </c>
      <c r="D634">
        <v>316286</v>
      </c>
      <c r="E634" s="14">
        <v>2</v>
      </c>
      <c r="F634" t="s">
        <v>463</v>
      </c>
      <c r="G634" s="14">
        <v>6</v>
      </c>
      <c r="H634" t="s">
        <v>31</v>
      </c>
      <c r="I634" t="s">
        <v>275</v>
      </c>
      <c r="J634" s="21"/>
      <c r="K634"/>
      <c r="L634" t="s">
        <v>276</v>
      </c>
      <c r="M634" s="12">
        <v>3400000</v>
      </c>
      <c r="N634" s="14">
        <v>36</v>
      </c>
      <c r="O634" s="14">
        <v>0</v>
      </c>
      <c r="P634" s="14">
        <v>1</v>
      </c>
      <c r="Q634" s="17">
        <v>0.12</v>
      </c>
      <c r="R634" s="12">
        <v>89175</v>
      </c>
      <c r="S634">
        <v>1</v>
      </c>
      <c r="T634" s="12">
        <v>71200</v>
      </c>
      <c r="U634" s="12">
        <f t="shared" si="32"/>
        <v>35700</v>
      </c>
      <c r="V634">
        <v>1</v>
      </c>
      <c r="W634" s="12">
        <v>116974</v>
      </c>
      <c r="X634">
        <v>1</v>
      </c>
      <c r="Y634">
        <v>1</v>
      </c>
      <c r="Z634" s="17">
        <v>0.18710061601798922</v>
      </c>
      <c r="AA634" t="str">
        <f t="shared" si="29"/>
        <v>2-MT</v>
      </c>
      <c r="AB634" s="9">
        <f t="shared" si="30"/>
        <v>408000</v>
      </c>
      <c r="AC634" s="9">
        <f t="shared" si="31"/>
        <v>636142.09446116339</v>
      </c>
    </row>
    <row r="635" spans="1:29" x14ac:dyDescent="0.25">
      <c r="A635" t="s">
        <v>272</v>
      </c>
      <c r="B635">
        <v>30008</v>
      </c>
      <c r="C635" s="8">
        <v>45617</v>
      </c>
      <c r="D635">
        <v>326186</v>
      </c>
      <c r="E635" s="14">
        <v>2</v>
      </c>
      <c r="F635" t="s">
        <v>464</v>
      </c>
      <c r="G635" s="14">
        <v>6</v>
      </c>
      <c r="H635" t="s">
        <v>31</v>
      </c>
      <c r="I635" t="s">
        <v>291</v>
      </c>
      <c r="J635" s="21"/>
      <c r="K635"/>
      <c r="L635" t="s">
        <v>276</v>
      </c>
      <c r="M635" s="12">
        <v>1500000</v>
      </c>
      <c r="N635" s="14">
        <v>12</v>
      </c>
      <c r="O635" s="14">
        <v>0</v>
      </c>
      <c r="P635" s="14">
        <v>1</v>
      </c>
      <c r="Q635" s="17">
        <v>0.11</v>
      </c>
      <c r="R635" s="12">
        <v>23780</v>
      </c>
      <c r="S635">
        <v>1</v>
      </c>
      <c r="T635" s="12">
        <v>19000</v>
      </c>
      <c r="U635" s="12">
        <f t="shared" si="32"/>
        <v>15750.000000000002</v>
      </c>
      <c r="V635">
        <v>1</v>
      </c>
      <c r="W635" s="12">
        <v>134139</v>
      </c>
      <c r="X635">
        <v>1</v>
      </c>
      <c r="Y635">
        <v>1</v>
      </c>
      <c r="Z635" s="17">
        <v>0.20881868839760825</v>
      </c>
      <c r="AA635" t="str">
        <f t="shared" si="29"/>
        <v>1-CT</v>
      </c>
      <c r="AB635" s="9">
        <f t="shared" si="30"/>
        <v>165000</v>
      </c>
      <c r="AC635" s="9">
        <f t="shared" si="31"/>
        <v>313228.03259641241</v>
      </c>
    </row>
    <row r="636" spans="1:29" x14ac:dyDescent="0.25">
      <c r="A636" t="s">
        <v>272</v>
      </c>
      <c r="B636">
        <v>30008</v>
      </c>
      <c r="C636" s="8">
        <v>45617</v>
      </c>
      <c r="D636">
        <v>326186</v>
      </c>
      <c r="E636" s="14">
        <v>2</v>
      </c>
      <c r="F636" t="s">
        <v>465</v>
      </c>
      <c r="G636" s="14">
        <v>6</v>
      </c>
      <c r="H636" t="s">
        <v>31</v>
      </c>
      <c r="I636" t="s">
        <v>285</v>
      </c>
      <c r="J636" s="21"/>
      <c r="K636"/>
      <c r="L636" t="s">
        <v>276</v>
      </c>
      <c r="M636" s="12">
        <v>1000000</v>
      </c>
      <c r="N636" s="14">
        <v>12</v>
      </c>
      <c r="O636" s="14">
        <v>0</v>
      </c>
      <c r="P636" s="14">
        <v>1</v>
      </c>
      <c r="Q636" s="17">
        <v>0.11</v>
      </c>
      <c r="R636" s="12">
        <v>23780</v>
      </c>
      <c r="S636">
        <v>1</v>
      </c>
      <c r="T636" s="12">
        <v>16000</v>
      </c>
      <c r="U636" s="12">
        <f t="shared" si="32"/>
        <v>10500</v>
      </c>
      <c r="V636">
        <v>1</v>
      </c>
      <c r="W636" s="12">
        <v>89433</v>
      </c>
      <c r="X636">
        <v>1</v>
      </c>
      <c r="Y636">
        <v>1</v>
      </c>
      <c r="Z636" s="17">
        <v>0.23189406907714311</v>
      </c>
      <c r="AA636" t="str">
        <f t="shared" si="29"/>
        <v>1-CT</v>
      </c>
      <c r="AB636" s="9">
        <f t="shared" si="30"/>
        <v>110000</v>
      </c>
      <c r="AC636" s="9">
        <f t="shared" si="31"/>
        <v>231894.0690771431</v>
      </c>
    </row>
    <row r="637" spans="1:29" x14ac:dyDescent="0.25">
      <c r="A637" t="s">
        <v>272</v>
      </c>
      <c r="B637">
        <v>30008</v>
      </c>
      <c r="C637" s="8">
        <v>45617</v>
      </c>
      <c r="D637">
        <v>326186</v>
      </c>
      <c r="E637" s="14">
        <v>2</v>
      </c>
      <c r="F637" t="s">
        <v>466</v>
      </c>
      <c r="G637" s="14">
        <v>6</v>
      </c>
      <c r="H637" t="s">
        <v>31</v>
      </c>
      <c r="I637" t="s">
        <v>275</v>
      </c>
      <c r="J637" s="21"/>
      <c r="K637"/>
      <c r="L637" t="s">
        <v>301</v>
      </c>
      <c r="M637" s="12">
        <v>1000000</v>
      </c>
      <c r="N637" s="14">
        <v>12</v>
      </c>
      <c r="O637" s="14">
        <v>0</v>
      </c>
      <c r="P637" s="14">
        <v>1</v>
      </c>
      <c r="Q637" s="17">
        <v>0.11</v>
      </c>
      <c r="R637" s="12">
        <v>23780</v>
      </c>
      <c r="S637">
        <v>1</v>
      </c>
      <c r="T637" s="12">
        <v>16000</v>
      </c>
      <c r="U637" s="12">
        <f t="shared" si="32"/>
        <v>10500</v>
      </c>
      <c r="V637">
        <v>1</v>
      </c>
      <c r="W637" s="12">
        <v>89440</v>
      </c>
      <c r="X637">
        <v>1</v>
      </c>
      <c r="Y637">
        <v>1</v>
      </c>
      <c r="Z637" s="17">
        <v>0.23204670993664867</v>
      </c>
      <c r="AA637" t="str">
        <f t="shared" si="29"/>
        <v>1-CT</v>
      </c>
      <c r="AB637" s="9">
        <f t="shared" si="30"/>
        <v>110000</v>
      </c>
      <c r="AC637" s="9">
        <f t="shared" si="31"/>
        <v>232046.70993664867</v>
      </c>
    </row>
    <row r="638" spans="1:29" x14ac:dyDescent="0.25">
      <c r="A638" t="s">
        <v>272</v>
      </c>
      <c r="B638">
        <v>30008</v>
      </c>
      <c r="C638" s="8">
        <v>45617</v>
      </c>
      <c r="D638">
        <v>326186</v>
      </c>
      <c r="E638" s="14">
        <v>2</v>
      </c>
      <c r="F638" t="s">
        <v>467</v>
      </c>
      <c r="G638" s="14">
        <v>6</v>
      </c>
      <c r="H638" t="s">
        <v>31</v>
      </c>
      <c r="I638" t="s">
        <v>275</v>
      </c>
      <c r="J638" s="21"/>
      <c r="K638"/>
      <c r="L638" t="s">
        <v>468</v>
      </c>
      <c r="M638" s="12">
        <v>5000000</v>
      </c>
      <c r="N638" s="14">
        <v>12</v>
      </c>
      <c r="O638" s="14">
        <v>0</v>
      </c>
      <c r="P638" s="14">
        <v>1</v>
      </c>
      <c r="Q638" s="17">
        <v>0.11</v>
      </c>
      <c r="R638" s="12">
        <v>23780</v>
      </c>
      <c r="S638">
        <v>1</v>
      </c>
      <c r="T638" s="12">
        <v>40000</v>
      </c>
      <c r="U638" s="12">
        <f t="shared" si="32"/>
        <v>52500</v>
      </c>
      <c r="V638">
        <v>1</v>
      </c>
      <c r="W638" s="12">
        <v>447079</v>
      </c>
      <c r="X638">
        <v>1</v>
      </c>
      <c r="Y638">
        <v>1</v>
      </c>
      <c r="Z638" s="17">
        <v>0.17715742045746205</v>
      </c>
      <c r="AA638" t="str">
        <f t="shared" si="29"/>
        <v>1-CT</v>
      </c>
      <c r="AB638" s="9">
        <f t="shared" si="30"/>
        <v>550000</v>
      </c>
      <c r="AC638" s="9">
        <f t="shared" si="31"/>
        <v>885787.10228731029</v>
      </c>
    </row>
    <row r="639" spans="1:29" x14ac:dyDescent="0.25">
      <c r="A639" t="s">
        <v>272</v>
      </c>
      <c r="B639">
        <v>30008</v>
      </c>
      <c r="C639" s="8">
        <v>45617</v>
      </c>
      <c r="D639">
        <v>326186</v>
      </c>
      <c r="E639" s="14">
        <v>2</v>
      </c>
      <c r="F639" t="s">
        <v>469</v>
      </c>
      <c r="G639" s="14">
        <v>6</v>
      </c>
      <c r="H639" t="s">
        <v>31</v>
      </c>
      <c r="I639" t="s">
        <v>283</v>
      </c>
      <c r="J639" s="21"/>
      <c r="K639"/>
      <c r="L639" t="s">
        <v>276</v>
      </c>
      <c r="M639" s="12">
        <v>1500000</v>
      </c>
      <c r="N639" s="14">
        <v>12</v>
      </c>
      <c r="O639" s="14">
        <v>0</v>
      </c>
      <c r="P639" s="14">
        <v>1</v>
      </c>
      <c r="Q639" s="17">
        <v>0.11</v>
      </c>
      <c r="R639" s="12">
        <v>23780</v>
      </c>
      <c r="S639">
        <v>1</v>
      </c>
      <c r="T639" s="12">
        <v>14600</v>
      </c>
      <c r="U639" s="12">
        <f t="shared" si="32"/>
        <v>15750.000000000002</v>
      </c>
      <c r="V639">
        <v>1</v>
      </c>
      <c r="W639" s="12">
        <v>134129</v>
      </c>
      <c r="X639">
        <v>1</v>
      </c>
      <c r="Y639">
        <v>1</v>
      </c>
      <c r="Z639" s="17">
        <v>0.20276698511411023</v>
      </c>
      <c r="AA639" t="str">
        <f t="shared" si="29"/>
        <v>1-CT</v>
      </c>
      <c r="AB639" s="9">
        <f t="shared" si="30"/>
        <v>165000</v>
      </c>
      <c r="AC639" s="9">
        <f t="shared" si="31"/>
        <v>304150.47767116537</v>
      </c>
    </row>
    <row r="640" spans="1:29" x14ac:dyDescent="0.25">
      <c r="A640" t="s">
        <v>272</v>
      </c>
      <c r="B640">
        <v>30008</v>
      </c>
      <c r="C640" s="8">
        <v>45617</v>
      </c>
      <c r="D640">
        <v>326186</v>
      </c>
      <c r="E640" s="14">
        <v>2</v>
      </c>
      <c r="F640" t="s">
        <v>470</v>
      </c>
      <c r="G640" s="14">
        <v>6</v>
      </c>
      <c r="H640" t="s">
        <v>31</v>
      </c>
      <c r="I640" t="s">
        <v>291</v>
      </c>
      <c r="J640" s="21"/>
      <c r="K640"/>
      <c r="L640" t="s">
        <v>276</v>
      </c>
      <c r="M640" s="12">
        <v>700000</v>
      </c>
      <c r="N640" s="14">
        <v>12</v>
      </c>
      <c r="O640" s="14">
        <v>0</v>
      </c>
      <c r="P640" s="14">
        <v>1</v>
      </c>
      <c r="Q640" s="17">
        <v>0.11</v>
      </c>
      <c r="R640" s="12">
        <v>17835</v>
      </c>
      <c r="S640">
        <v>1</v>
      </c>
      <c r="T640" s="12">
        <v>14200</v>
      </c>
      <c r="U640" s="12">
        <f t="shared" si="32"/>
        <v>7350.0000000000009</v>
      </c>
      <c r="V640">
        <v>1</v>
      </c>
      <c r="W640" s="12">
        <v>62610</v>
      </c>
      <c r="X640">
        <v>1</v>
      </c>
      <c r="Y640">
        <v>1</v>
      </c>
      <c r="Z640" s="17">
        <v>0.24445496741023953</v>
      </c>
      <c r="AA640" t="str">
        <f t="shared" si="29"/>
        <v>1-CT</v>
      </c>
      <c r="AB640" s="9">
        <f t="shared" si="30"/>
        <v>77000</v>
      </c>
      <c r="AC640" s="9">
        <f t="shared" si="31"/>
        <v>171118.47718716768</v>
      </c>
    </row>
    <row r="641" spans="1:29" x14ac:dyDescent="0.25">
      <c r="A641" t="s">
        <v>272</v>
      </c>
      <c r="B641">
        <v>30008</v>
      </c>
      <c r="C641" s="8">
        <v>45617</v>
      </c>
      <c r="D641">
        <v>326186</v>
      </c>
      <c r="E641" s="14">
        <v>2</v>
      </c>
      <c r="F641" t="s">
        <v>471</v>
      </c>
      <c r="G641" s="14">
        <v>6</v>
      </c>
      <c r="H641" t="s">
        <v>31</v>
      </c>
      <c r="I641" t="s">
        <v>291</v>
      </c>
      <c r="J641" s="21"/>
      <c r="K641"/>
      <c r="L641" t="s">
        <v>472</v>
      </c>
      <c r="M641" s="12">
        <v>1000000</v>
      </c>
      <c r="N641" s="14">
        <v>4</v>
      </c>
      <c r="O641" s="14">
        <v>0</v>
      </c>
      <c r="P641" s="14">
        <v>2</v>
      </c>
      <c r="Q641" s="17">
        <v>0.11</v>
      </c>
      <c r="R641" s="12">
        <v>23780</v>
      </c>
      <c r="S641">
        <v>1</v>
      </c>
      <c r="T641" s="12">
        <v>16000</v>
      </c>
      <c r="U641" s="12">
        <f t="shared" si="32"/>
        <v>10500</v>
      </c>
      <c r="V641">
        <v>1</v>
      </c>
      <c r="W641" s="12">
        <v>272822</v>
      </c>
      <c r="X641">
        <v>1</v>
      </c>
      <c r="Y641">
        <v>1</v>
      </c>
      <c r="Z641" s="17">
        <v>0.23196814316699357</v>
      </c>
      <c r="AA641" t="str">
        <f t="shared" si="29"/>
        <v>1-CT</v>
      </c>
      <c r="AB641" s="9">
        <f t="shared" si="30"/>
        <v>110000</v>
      </c>
      <c r="AC641" s="9">
        <f t="shared" si="31"/>
        <v>231968.14316699357</v>
      </c>
    </row>
    <row r="642" spans="1:29" x14ac:dyDescent="0.25">
      <c r="A642" t="s">
        <v>272</v>
      </c>
      <c r="B642">
        <v>30008</v>
      </c>
      <c r="C642" s="8">
        <v>45618</v>
      </c>
      <c r="D642">
        <v>316286</v>
      </c>
      <c r="E642" s="14">
        <v>2</v>
      </c>
      <c r="F642" t="s">
        <v>473</v>
      </c>
      <c r="G642" s="14">
        <v>6</v>
      </c>
      <c r="H642" t="s">
        <v>31</v>
      </c>
      <c r="I642" t="s">
        <v>372</v>
      </c>
      <c r="J642" s="21"/>
      <c r="K642"/>
      <c r="L642" t="s">
        <v>276</v>
      </c>
      <c r="M642" s="12">
        <v>3000000</v>
      </c>
      <c r="N642" s="14">
        <v>36</v>
      </c>
      <c r="O642" s="14">
        <v>0</v>
      </c>
      <c r="P642" s="14">
        <v>1</v>
      </c>
      <c r="Q642" s="17">
        <v>0.12</v>
      </c>
      <c r="R642" s="12">
        <v>118900</v>
      </c>
      <c r="S642">
        <v>1</v>
      </c>
      <c r="T642" s="12">
        <v>60000</v>
      </c>
      <c r="U642" s="12">
        <f t="shared" si="32"/>
        <v>31500.000000000004</v>
      </c>
      <c r="V642">
        <v>1</v>
      </c>
      <c r="W642" s="12">
        <v>102920</v>
      </c>
      <c r="X642">
        <v>1</v>
      </c>
      <c r="Y642">
        <v>1</v>
      </c>
      <c r="Z642" s="17">
        <v>0.19470183410380743</v>
      </c>
      <c r="AA642" t="str">
        <f t="shared" si="29"/>
        <v>2-MT</v>
      </c>
      <c r="AB642" s="9">
        <f t="shared" si="30"/>
        <v>360000</v>
      </c>
      <c r="AC642" s="9">
        <f t="shared" si="31"/>
        <v>584105.50231142226</v>
      </c>
    </row>
    <row r="643" spans="1:29" x14ac:dyDescent="0.25">
      <c r="A643" t="s">
        <v>272</v>
      </c>
      <c r="B643">
        <v>30008</v>
      </c>
      <c r="C643" s="8">
        <v>45618</v>
      </c>
      <c r="D643">
        <v>326186</v>
      </c>
      <c r="E643" s="14">
        <v>2</v>
      </c>
      <c r="F643" t="s">
        <v>474</v>
      </c>
      <c r="G643" s="14">
        <v>6</v>
      </c>
      <c r="H643" t="s">
        <v>31</v>
      </c>
      <c r="I643" t="s">
        <v>430</v>
      </c>
      <c r="J643" s="21"/>
      <c r="K643"/>
      <c r="L643" t="s">
        <v>276</v>
      </c>
      <c r="M643" s="12">
        <v>1800000</v>
      </c>
      <c r="N643" s="14">
        <v>24</v>
      </c>
      <c r="O643" s="14">
        <v>0</v>
      </c>
      <c r="P643" s="14">
        <v>1</v>
      </c>
      <c r="Q643" s="17">
        <v>0.12</v>
      </c>
      <c r="R643" s="12">
        <v>59450</v>
      </c>
      <c r="S643">
        <v>1</v>
      </c>
      <c r="T643" s="12">
        <v>31600</v>
      </c>
      <c r="U643" s="12">
        <f t="shared" si="32"/>
        <v>18900</v>
      </c>
      <c r="V643">
        <v>1</v>
      </c>
      <c r="W643" s="12">
        <v>86817</v>
      </c>
      <c r="X643">
        <v>1</v>
      </c>
      <c r="Y643">
        <v>1</v>
      </c>
      <c r="Z643" s="17">
        <v>0.20967086653678629</v>
      </c>
      <c r="AA643" t="str">
        <f t="shared" ref="AA643:AA706" si="33">IF(N643&lt;=24,"1-CT",IF(N643&gt;60,"3-LT","2-MT"))</f>
        <v>1-CT</v>
      </c>
      <c r="AB643" s="9">
        <f t="shared" ref="AB643:AB706" si="34">Q643*M643</f>
        <v>216000</v>
      </c>
      <c r="AC643" s="9">
        <f t="shared" ref="AC643:AC706" si="35">Z643*M643</f>
        <v>377407.55976621533</v>
      </c>
    </row>
    <row r="644" spans="1:29" x14ac:dyDescent="0.25">
      <c r="A644" t="s">
        <v>272</v>
      </c>
      <c r="B644">
        <v>30008</v>
      </c>
      <c r="C644" s="8">
        <v>45618</v>
      </c>
      <c r="D644">
        <v>316286</v>
      </c>
      <c r="E644" s="14">
        <v>2</v>
      </c>
      <c r="F644" t="s">
        <v>475</v>
      </c>
      <c r="G644" s="14">
        <v>6</v>
      </c>
      <c r="H644" t="s">
        <v>31</v>
      </c>
      <c r="I644" t="s">
        <v>275</v>
      </c>
      <c r="J644" s="21"/>
      <c r="K644"/>
      <c r="L644" t="s">
        <v>276</v>
      </c>
      <c r="M644" s="12">
        <v>2700000</v>
      </c>
      <c r="N644" s="14">
        <v>36</v>
      </c>
      <c r="O644" s="14">
        <v>0</v>
      </c>
      <c r="P644" s="14">
        <v>1</v>
      </c>
      <c r="Q644" s="17">
        <v>0.12</v>
      </c>
      <c r="R644" s="12">
        <v>83230</v>
      </c>
      <c r="S644">
        <v>1</v>
      </c>
      <c r="T644" s="12">
        <v>58600</v>
      </c>
      <c r="U644" s="12">
        <f t="shared" si="32"/>
        <v>28350</v>
      </c>
      <c r="V644">
        <v>1</v>
      </c>
      <c r="W644" s="12">
        <v>92885</v>
      </c>
      <c r="X644">
        <v>1</v>
      </c>
      <c r="Y644">
        <v>1</v>
      </c>
      <c r="Z644" s="17">
        <v>0.19118677917741281</v>
      </c>
      <c r="AA644" t="str">
        <f t="shared" si="33"/>
        <v>2-MT</v>
      </c>
      <c r="AB644" s="9">
        <f t="shared" si="34"/>
        <v>324000</v>
      </c>
      <c r="AC644" s="9">
        <f t="shared" si="35"/>
        <v>516204.30377901456</v>
      </c>
    </row>
    <row r="645" spans="1:29" x14ac:dyDescent="0.25">
      <c r="A645" t="s">
        <v>272</v>
      </c>
      <c r="B645">
        <v>30008</v>
      </c>
      <c r="C645" s="8">
        <v>45618</v>
      </c>
      <c r="D645">
        <v>316286</v>
      </c>
      <c r="E645" s="14">
        <v>2</v>
      </c>
      <c r="F645" t="s">
        <v>476</v>
      </c>
      <c r="G645" s="14">
        <v>6</v>
      </c>
      <c r="H645" t="s">
        <v>31</v>
      </c>
      <c r="I645" t="s">
        <v>287</v>
      </c>
      <c r="J645" s="21"/>
      <c r="K645"/>
      <c r="L645" t="s">
        <v>276</v>
      </c>
      <c r="M645" s="12">
        <v>3000000</v>
      </c>
      <c r="N645" s="14">
        <v>36</v>
      </c>
      <c r="O645" s="14">
        <v>0</v>
      </c>
      <c r="P645" s="14">
        <v>1</v>
      </c>
      <c r="Q645" s="17">
        <v>0.12</v>
      </c>
      <c r="R645" s="12">
        <v>83230</v>
      </c>
      <c r="S645">
        <v>1</v>
      </c>
      <c r="T645" s="12">
        <v>64000</v>
      </c>
      <c r="U645" s="12">
        <f t="shared" si="32"/>
        <v>31500.000000000004</v>
      </c>
      <c r="V645">
        <v>1</v>
      </c>
      <c r="W645" s="12">
        <v>103210</v>
      </c>
      <c r="X645">
        <v>1</v>
      </c>
      <c r="Y645">
        <v>1</v>
      </c>
      <c r="Z645" s="17">
        <v>0.18855129994395564</v>
      </c>
      <c r="AA645" t="str">
        <f t="shared" si="33"/>
        <v>2-MT</v>
      </c>
      <c r="AB645" s="9">
        <f t="shared" si="34"/>
        <v>360000</v>
      </c>
      <c r="AC645" s="9">
        <f t="shared" si="35"/>
        <v>565653.89983186696</v>
      </c>
    </row>
    <row r="646" spans="1:29" x14ac:dyDescent="0.25">
      <c r="A646" t="s">
        <v>272</v>
      </c>
      <c r="B646">
        <v>30008</v>
      </c>
      <c r="C646" s="8">
        <v>45621</v>
      </c>
      <c r="D646">
        <v>316261</v>
      </c>
      <c r="E646" s="14">
        <v>2</v>
      </c>
      <c r="F646" t="s">
        <v>477</v>
      </c>
      <c r="G646" s="14">
        <v>6</v>
      </c>
      <c r="H646" t="s">
        <v>31</v>
      </c>
      <c r="I646" t="s">
        <v>291</v>
      </c>
      <c r="J646" s="21"/>
      <c r="K646"/>
      <c r="L646" t="s">
        <v>276</v>
      </c>
      <c r="M646" s="12">
        <v>5500000</v>
      </c>
      <c r="N646" s="14">
        <v>48</v>
      </c>
      <c r="O646" s="14">
        <v>0</v>
      </c>
      <c r="P646" s="14">
        <v>1</v>
      </c>
      <c r="Q646" s="17">
        <v>0.11</v>
      </c>
      <c r="R646" s="12">
        <v>142680</v>
      </c>
      <c r="S646">
        <v>1</v>
      </c>
      <c r="T646" s="12">
        <v>142000</v>
      </c>
      <c r="U646" s="12">
        <f t="shared" si="32"/>
        <v>57750</v>
      </c>
      <c r="V646">
        <v>1</v>
      </c>
      <c r="W646" s="12">
        <v>155280</v>
      </c>
      <c r="X646">
        <v>1</v>
      </c>
      <c r="Y646">
        <v>1</v>
      </c>
      <c r="Z646" s="17">
        <v>0.19391691354055618</v>
      </c>
      <c r="AA646" t="str">
        <f t="shared" si="33"/>
        <v>2-MT</v>
      </c>
      <c r="AB646" s="9">
        <f t="shared" si="34"/>
        <v>605000</v>
      </c>
      <c r="AC646" s="9">
        <f t="shared" si="35"/>
        <v>1066543.024473059</v>
      </c>
    </row>
    <row r="647" spans="1:29" x14ac:dyDescent="0.25">
      <c r="A647" t="s">
        <v>272</v>
      </c>
      <c r="B647">
        <v>30008</v>
      </c>
      <c r="C647" s="8">
        <v>45621</v>
      </c>
      <c r="D647">
        <v>326186</v>
      </c>
      <c r="E647" s="14">
        <v>2</v>
      </c>
      <c r="F647" t="s">
        <v>478</v>
      </c>
      <c r="G647" s="14">
        <v>6</v>
      </c>
      <c r="H647" t="s">
        <v>31</v>
      </c>
      <c r="I647" t="s">
        <v>275</v>
      </c>
      <c r="J647" s="21"/>
      <c r="K647"/>
      <c r="L647" t="s">
        <v>479</v>
      </c>
      <c r="M647" s="12">
        <v>3300000</v>
      </c>
      <c r="N647" s="14">
        <v>24</v>
      </c>
      <c r="O647" s="14">
        <v>0</v>
      </c>
      <c r="P647" s="14">
        <v>1</v>
      </c>
      <c r="Q647" s="17">
        <v>0.12</v>
      </c>
      <c r="R647" s="12">
        <v>178350</v>
      </c>
      <c r="S647">
        <v>1</v>
      </c>
      <c r="T647" s="12">
        <v>49600</v>
      </c>
      <c r="U647" s="12">
        <f t="shared" si="32"/>
        <v>34650</v>
      </c>
      <c r="V647">
        <v>1</v>
      </c>
      <c r="W647" s="12">
        <v>159180</v>
      </c>
      <c r="X647">
        <v>1</v>
      </c>
      <c r="Y647">
        <v>1</v>
      </c>
      <c r="Z647" s="17">
        <v>0.23067177133538966</v>
      </c>
      <c r="AA647" t="str">
        <f t="shared" si="33"/>
        <v>1-CT</v>
      </c>
      <c r="AB647" s="9">
        <f t="shared" si="34"/>
        <v>396000</v>
      </c>
      <c r="AC647" s="9">
        <f t="shared" si="35"/>
        <v>761216.84540678584</v>
      </c>
    </row>
    <row r="648" spans="1:29" x14ac:dyDescent="0.25">
      <c r="A648" t="s">
        <v>272</v>
      </c>
      <c r="B648">
        <v>30008</v>
      </c>
      <c r="C648" s="8">
        <v>45621</v>
      </c>
      <c r="D648">
        <v>316286</v>
      </c>
      <c r="E648" s="14">
        <v>2</v>
      </c>
      <c r="F648" t="s">
        <v>480</v>
      </c>
      <c r="G648" s="14">
        <v>6</v>
      </c>
      <c r="H648" t="s">
        <v>31</v>
      </c>
      <c r="I648" t="s">
        <v>291</v>
      </c>
      <c r="J648" s="21"/>
      <c r="K648"/>
      <c r="L648" t="s">
        <v>276</v>
      </c>
      <c r="M648" s="12">
        <v>4000000</v>
      </c>
      <c r="N648" s="14">
        <v>36</v>
      </c>
      <c r="O648" s="14">
        <v>0</v>
      </c>
      <c r="P648" s="14">
        <v>1</v>
      </c>
      <c r="Q648" s="17">
        <v>0.12</v>
      </c>
      <c r="R648" s="12">
        <v>154570</v>
      </c>
      <c r="S648">
        <v>1</v>
      </c>
      <c r="T648" s="12">
        <v>82000</v>
      </c>
      <c r="U648" s="12">
        <f t="shared" ref="U648:U698" si="36">M648*(1.05/100)</f>
        <v>42000</v>
      </c>
      <c r="V648">
        <v>1</v>
      </c>
      <c r="W648" s="12">
        <v>137595</v>
      </c>
      <c r="X648">
        <v>1</v>
      </c>
      <c r="Y648">
        <v>1</v>
      </c>
      <c r="Z648" s="17">
        <v>0.19626778442320852</v>
      </c>
      <c r="AA648" t="str">
        <f t="shared" si="33"/>
        <v>2-MT</v>
      </c>
      <c r="AB648" s="9">
        <f t="shared" si="34"/>
        <v>480000</v>
      </c>
      <c r="AC648" s="9">
        <f t="shared" si="35"/>
        <v>785071.13769283413</v>
      </c>
    </row>
    <row r="649" spans="1:29" x14ac:dyDescent="0.25">
      <c r="A649" t="s">
        <v>272</v>
      </c>
      <c r="B649">
        <v>30008</v>
      </c>
      <c r="C649" s="8">
        <v>45621</v>
      </c>
      <c r="D649">
        <v>316286</v>
      </c>
      <c r="E649" s="14">
        <v>2</v>
      </c>
      <c r="F649" t="s">
        <v>481</v>
      </c>
      <c r="G649" s="14">
        <v>6</v>
      </c>
      <c r="H649" t="s">
        <v>31</v>
      </c>
      <c r="I649" t="s">
        <v>377</v>
      </c>
      <c r="J649" s="21"/>
      <c r="K649"/>
      <c r="L649" t="s">
        <v>276</v>
      </c>
      <c r="M649" s="12">
        <v>5000000</v>
      </c>
      <c r="N649" s="14">
        <v>36</v>
      </c>
      <c r="O649" s="14">
        <v>0</v>
      </c>
      <c r="P649" s="14">
        <v>1</v>
      </c>
      <c r="Q649" s="17">
        <v>0.12</v>
      </c>
      <c r="R649" s="12">
        <v>178350</v>
      </c>
      <c r="S649">
        <v>1</v>
      </c>
      <c r="T649" s="12">
        <v>100000</v>
      </c>
      <c r="U649" s="12">
        <f t="shared" si="36"/>
        <v>52500</v>
      </c>
      <c r="V649">
        <v>1</v>
      </c>
      <c r="W649" s="12">
        <v>172280</v>
      </c>
      <c r="X649">
        <v>1</v>
      </c>
      <c r="Y649">
        <v>1</v>
      </c>
      <c r="Z649" s="17">
        <v>0.19476744984095098</v>
      </c>
      <c r="AA649" t="str">
        <f t="shared" si="33"/>
        <v>2-MT</v>
      </c>
      <c r="AB649" s="9">
        <f t="shared" si="34"/>
        <v>600000</v>
      </c>
      <c r="AC649" s="9">
        <f t="shared" si="35"/>
        <v>973837.24920475495</v>
      </c>
    </row>
    <row r="650" spans="1:29" x14ac:dyDescent="0.25">
      <c r="A650" t="s">
        <v>272</v>
      </c>
      <c r="B650">
        <v>30008</v>
      </c>
      <c r="C650" s="8">
        <v>45621</v>
      </c>
      <c r="D650">
        <v>316286</v>
      </c>
      <c r="E650" s="14">
        <v>2</v>
      </c>
      <c r="F650" t="s">
        <v>482</v>
      </c>
      <c r="G650" s="14">
        <v>6</v>
      </c>
      <c r="H650" t="s">
        <v>31</v>
      </c>
      <c r="I650" t="s">
        <v>287</v>
      </c>
      <c r="J650" s="21"/>
      <c r="K650"/>
      <c r="L650" t="s">
        <v>276</v>
      </c>
      <c r="M650" s="12">
        <v>3000000</v>
      </c>
      <c r="N650" s="14">
        <v>36</v>
      </c>
      <c r="O650" s="14">
        <v>0</v>
      </c>
      <c r="P650" s="14">
        <v>1</v>
      </c>
      <c r="Q650" s="17">
        <v>0.12</v>
      </c>
      <c r="R650" s="12">
        <v>59450</v>
      </c>
      <c r="S650">
        <v>1</v>
      </c>
      <c r="T650" s="12">
        <v>64000</v>
      </c>
      <c r="U650" s="12">
        <f t="shared" si="36"/>
        <v>31500.000000000004</v>
      </c>
      <c r="V650">
        <v>1</v>
      </c>
      <c r="W650" s="12">
        <v>103195</v>
      </c>
      <c r="X650">
        <v>1</v>
      </c>
      <c r="Y650">
        <v>1</v>
      </c>
      <c r="Z650" s="17">
        <v>0.18237741775815858</v>
      </c>
      <c r="AA650" t="str">
        <f t="shared" si="33"/>
        <v>2-MT</v>
      </c>
      <c r="AB650" s="9">
        <f t="shared" si="34"/>
        <v>360000</v>
      </c>
      <c r="AC650" s="9">
        <f t="shared" si="35"/>
        <v>547132.25327447569</v>
      </c>
    </row>
    <row r="651" spans="1:29" x14ac:dyDescent="0.25">
      <c r="A651" t="s">
        <v>272</v>
      </c>
      <c r="B651">
        <v>30008</v>
      </c>
      <c r="C651" s="8">
        <v>45621</v>
      </c>
      <c r="D651">
        <v>316286</v>
      </c>
      <c r="E651" s="14">
        <v>2</v>
      </c>
      <c r="F651" t="s">
        <v>483</v>
      </c>
      <c r="G651" s="14">
        <v>6</v>
      </c>
      <c r="H651" t="s">
        <v>31</v>
      </c>
      <c r="I651" t="s">
        <v>287</v>
      </c>
      <c r="J651" s="21"/>
      <c r="K651"/>
      <c r="L651" t="s">
        <v>276</v>
      </c>
      <c r="M651" s="12">
        <v>2300000</v>
      </c>
      <c r="N651" s="14">
        <v>36</v>
      </c>
      <c r="O651" s="14">
        <v>0</v>
      </c>
      <c r="P651" s="14">
        <v>1</v>
      </c>
      <c r="Q651" s="17">
        <v>0.12</v>
      </c>
      <c r="R651" s="12">
        <v>59450</v>
      </c>
      <c r="S651">
        <v>1</v>
      </c>
      <c r="T651" s="12">
        <v>51400</v>
      </c>
      <c r="U651" s="12">
        <f t="shared" si="36"/>
        <v>24150</v>
      </c>
      <c r="V651">
        <v>1</v>
      </c>
      <c r="W651" s="12">
        <v>79115</v>
      </c>
      <c r="X651">
        <v>1</v>
      </c>
      <c r="Y651">
        <v>1</v>
      </c>
      <c r="Z651" s="17">
        <v>0.18775722619753765</v>
      </c>
      <c r="AA651" t="str">
        <f t="shared" si="33"/>
        <v>2-MT</v>
      </c>
      <c r="AB651" s="9">
        <f t="shared" si="34"/>
        <v>276000</v>
      </c>
      <c r="AC651" s="9">
        <f t="shared" si="35"/>
        <v>431841.62025433662</v>
      </c>
    </row>
    <row r="652" spans="1:29" x14ac:dyDescent="0.25">
      <c r="A652" t="s">
        <v>272</v>
      </c>
      <c r="B652">
        <v>30008</v>
      </c>
      <c r="C652" s="8">
        <v>45623</v>
      </c>
      <c r="D652">
        <v>326186</v>
      </c>
      <c r="E652" s="14">
        <v>2</v>
      </c>
      <c r="F652" t="s">
        <v>484</v>
      </c>
      <c r="G652" s="14">
        <v>6</v>
      </c>
      <c r="H652" t="s">
        <v>31</v>
      </c>
      <c r="I652" t="s">
        <v>275</v>
      </c>
      <c r="J652" s="21"/>
      <c r="K652"/>
      <c r="L652" t="s">
        <v>276</v>
      </c>
      <c r="M652" s="12">
        <v>3500000</v>
      </c>
      <c r="N652" s="14">
        <v>12</v>
      </c>
      <c r="O652" s="14">
        <v>0</v>
      </c>
      <c r="P652" s="14">
        <v>1</v>
      </c>
      <c r="Q652" s="17">
        <v>0.11</v>
      </c>
      <c r="R652" s="12">
        <v>23780</v>
      </c>
      <c r="S652">
        <v>1</v>
      </c>
      <c r="T652" s="12">
        <v>31000</v>
      </c>
      <c r="U652" s="12">
        <f t="shared" si="36"/>
        <v>36750</v>
      </c>
      <c r="V652">
        <v>1</v>
      </c>
      <c r="W652" s="12">
        <v>312990</v>
      </c>
      <c r="X652">
        <v>1</v>
      </c>
      <c r="Y652">
        <v>1</v>
      </c>
      <c r="Z652" s="17">
        <v>0.18309021935522268</v>
      </c>
      <c r="AA652" t="str">
        <f t="shared" si="33"/>
        <v>1-CT</v>
      </c>
      <c r="AB652" s="9">
        <f t="shared" si="34"/>
        <v>385000</v>
      </c>
      <c r="AC652" s="9">
        <f t="shared" si="35"/>
        <v>640815.76774327934</v>
      </c>
    </row>
    <row r="653" spans="1:29" x14ac:dyDescent="0.25">
      <c r="A653" t="s">
        <v>272</v>
      </c>
      <c r="B653">
        <v>30008</v>
      </c>
      <c r="C653" s="8">
        <v>45623</v>
      </c>
      <c r="D653">
        <v>326186</v>
      </c>
      <c r="E653" s="14">
        <v>2</v>
      </c>
      <c r="F653" t="s">
        <v>485</v>
      </c>
      <c r="G653" s="14">
        <v>6</v>
      </c>
      <c r="H653" t="s">
        <v>31</v>
      </c>
      <c r="I653" t="s">
        <v>291</v>
      </c>
      <c r="J653" s="21"/>
      <c r="K653"/>
      <c r="L653" t="s">
        <v>276</v>
      </c>
      <c r="M653" s="12">
        <v>1300000</v>
      </c>
      <c r="N653" s="14">
        <v>12</v>
      </c>
      <c r="O653" s="14">
        <v>0</v>
      </c>
      <c r="P653" s="14">
        <v>1</v>
      </c>
      <c r="Q653" s="17">
        <v>0.11</v>
      </c>
      <c r="R653" s="12">
        <v>23780</v>
      </c>
      <c r="S653">
        <v>1</v>
      </c>
      <c r="T653" s="12">
        <v>17800</v>
      </c>
      <c r="U653" s="12">
        <f t="shared" si="36"/>
        <v>13650</v>
      </c>
      <c r="V653">
        <v>1</v>
      </c>
      <c r="W653" s="12">
        <v>116263</v>
      </c>
      <c r="X653">
        <v>1</v>
      </c>
      <c r="Y653">
        <v>1</v>
      </c>
      <c r="Z653" s="17">
        <v>0.21598364417545671</v>
      </c>
      <c r="AA653" t="str">
        <f t="shared" si="33"/>
        <v>1-CT</v>
      </c>
      <c r="AB653" s="9">
        <f t="shared" si="34"/>
        <v>143000</v>
      </c>
      <c r="AC653" s="9">
        <f t="shared" si="35"/>
        <v>280778.73742809374</v>
      </c>
    </row>
    <row r="654" spans="1:29" x14ac:dyDescent="0.25">
      <c r="A654" t="s">
        <v>272</v>
      </c>
      <c r="B654">
        <v>30008</v>
      </c>
      <c r="C654" s="8">
        <v>45623</v>
      </c>
      <c r="D654">
        <v>326186</v>
      </c>
      <c r="E654" s="14">
        <v>2</v>
      </c>
      <c r="F654" t="s">
        <v>486</v>
      </c>
      <c r="G654" s="14">
        <v>6</v>
      </c>
      <c r="H654" t="s">
        <v>31</v>
      </c>
      <c r="I654" t="s">
        <v>287</v>
      </c>
      <c r="J654" s="21"/>
      <c r="K654"/>
      <c r="L654" t="s">
        <v>276</v>
      </c>
      <c r="M654" s="12">
        <v>1500000</v>
      </c>
      <c r="N654" s="14">
        <v>12</v>
      </c>
      <c r="O654" s="14">
        <v>0</v>
      </c>
      <c r="P654" s="14">
        <v>1</v>
      </c>
      <c r="Q654" s="17">
        <v>0.11</v>
      </c>
      <c r="R654" s="12">
        <v>23780</v>
      </c>
      <c r="S654">
        <v>1</v>
      </c>
      <c r="T654" s="12">
        <v>19000</v>
      </c>
      <c r="U654" s="12">
        <f t="shared" si="36"/>
        <v>15750.000000000002</v>
      </c>
      <c r="V654">
        <v>1</v>
      </c>
      <c r="W654" s="12">
        <v>134128</v>
      </c>
      <c r="X654">
        <v>1</v>
      </c>
      <c r="Y654">
        <v>1</v>
      </c>
      <c r="Z654" s="17">
        <v>0.20865963046594216</v>
      </c>
      <c r="AA654" t="str">
        <f t="shared" si="33"/>
        <v>1-CT</v>
      </c>
      <c r="AB654" s="9">
        <f t="shared" si="34"/>
        <v>165000</v>
      </c>
      <c r="AC654" s="9">
        <f t="shared" si="35"/>
        <v>312989.44569891324</v>
      </c>
    </row>
    <row r="655" spans="1:29" x14ac:dyDescent="0.25">
      <c r="A655" t="s">
        <v>272</v>
      </c>
      <c r="B655">
        <v>30008</v>
      </c>
      <c r="C655" s="8">
        <v>45623</v>
      </c>
      <c r="D655">
        <v>316286</v>
      </c>
      <c r="E655" s="14">
        <v>2</v>
      </c>
      <c r="F655" t="s">
        <v>487</v>
      </c>
      <c r="G655" s="14">
        <v>6</v>
      </c>
      <c r="H655" t="s">
        <v>31</v>
      </c>
      <c r="I655" t="s">
        <v>283</v>
      </c>
      <c r="J655" s="21"/>
      <c r="K655"/>
      <c r="L655" t="s">
        <v>488</v>
      </c>
      <c r="M655" s="12">
        <v>3800000</v>
      </c>
      <c r="N655" s="14">
        <v>36</v>
      </c>
      <c r="O655" s="14">
        <v>0</v>
      </c>
      <c r="P655" s="14">
        <v>1</v>
      </c>
      <c r="Q655" s="17">
        <v>0.12</v>
      </c>
      <c r="R655" s="12">
        <v>118900</v>
      </c>
      <c r="S655">
        <v>1</v>
      </c>
      <c r="T655" s="12">
        <v>78400</v>
      </c>
      <c r="U655" s="12">
        <f t="shared" si="36"/>
        <v>39900</v>
      </c>
      <c r="V655">
        <v>1</v>
      </c>
      <c r="W655" s="12">
        <v>130705</v>
      </c>
      <c r="X655">
        <v>1</v>
      </c>
      <c r="Y655">
        <v>1</v>
      </c>
      <c r="Z655" s="17">
        <v>0.19059348657080594</v>
      </c>
      <c r="AA655" t="str">
        <f t="shared" si="33"/>
        <v>2-MT</v>
      </c>
      <c r="AB655" s="9">
        <f t="shared" si="34"/>
        <v>456000</v>
      </c>
      <c r="AC655" s="9">
        <f t="shared" si="35"/>
        <v>724255.24896906258</v>
      </c>
    </row>
    <row r="656" spans="1:29" x14ac:dyDescent="0.25">
      <c r="A656" t="s">
        <v>272</v>
      </c>
      <c r="B656">
        <v>30008</v>
      </c>
      <c r="C656" s="8">
        <v>45623</v>
      </c>
      <c r="D656">
        <v>313254</v>
      </c>
      <c r="E656" s="14">
        <v>5</v>
      </c>
      <c r="F656" t="s">
        <v>489</v>
      </c>
      <c r="G656" s="11" t="s">
        <v>205</v>
      </c>
      <c r="H656" t="s">
        <v>31</v>
      </c>
      <c r="I656" t="s">
        <v>287</v>
      </c>
      <c r="J656" s="21">
        <v>526123858</v>
      </c>
      <c r="K656">
        <v>70</v>
      </c>
      <c r="M656" s="12">
        <v>80000000</v>
      </c>
      <c r="N656" s="14">
        <v>36</v>
      </c>
      <c r="O656" s="14">
        <v>0</v>
      </c>
      <c r="P656" s="14">
        <v>1</v>
      </c>
      <c r="Q656" s="17">
        <v>0.12</v>
      </c>
      <c r="R656" s="12">
        <v>594500</v>
      </c>
      <c r="S656">
        <v>1</v>
      </c>
      <c r="T656" s="12">
        <v>1165000</v>
      </c>
      <c r="U656" s="12">
        <f t="shared" si="36"/>
        <v>840000</v>
      </c>
      <c r="V656">
        <v>1</v>
      </c>
      <c r="W656" s="12">
        <v>2711131</v>
      </c>
      <c r="X656">
        <v>1</v>
      </c>
      <c r="Y656">
        <v>1</v>
      </c>
      <c r="Z656" s="17">
        <v>0.15736956614987094</v>
      </c>
      <c r="AA656" t="str">
        <f t="shared" si="33"/>
        <v>2-MT</v>
      </c>
      <c r="AB656" s="9">
        <f t="shared" si="34"/>
        <v>9600000</v>
      </c>
      <c r="AC656" s="9">
        <f t="shared" si="35"/>
        <v>12589565.291989675</v>
      </c>
    </row>
    <row r="657" spans="1:29" x14ac:dyDescent="0.25">
      <c r="A657" t="s">
        <v>272</v>
      </c>
      <c r="B657">
        <v>30008</v>
      </c>
      <c r="C657" s="8">
        <v>45625</v>
      </c>
      <c r="D657">
        <v>326186</v>
      </c>
      <c r="E657" s="14">
        <v>2</v>
      </c>
      <c r="F657" t="s">
        <v>490</v>
      </c>
      <c r="G657" s="14">
        <v>6</v>
      </c>
      <c r="H657" t="s">
        <v>31</v>
      </c>
      <c r="I657" t="s">
        <v>377</v>
      </c>
      <c r="J657" s="21"/>
      <c r="K657"/>
      <c r="L657" t="s">
        <v>276</v>
      </c>
      <c r="M657" s="12">
        <v>5000000</v>
      </c>
      <c r="N657" s="14">
        <v>20</v>
      </c>
      <c r="O657" s="14">
        <v>0</v>
      </c>
      <c r="P657" s="14">
        <v>1</v>
      </c>
      <c r="Q657" s="17">
        <v>0.12</v>
      </c>
      <c r="R657" s="12">
        <v>237800</v>
      </c>
      <c r="S657">
        <v>1</v>
      </c>
      <c r="T657" s="12">
        <v>60000</v>
      </c>
      <c r="U657" s="12">
        <f t="shared" si="36"/>
        <v>52500</v>
      </c>
      <c r="V657">
        <v>1</v>
      </c>
      <c r="W657" s="12">
        <v>282860</v>
      </c>
      <c r="X657">
        <v>1</v>
      </c>
      <c r="Y657">
        <v>1</v>
      </c>
      <c r="Z657" s="17">
        <v>0.23342920056388677</v>
      </c>
      <c r="AA657" t="str">
        <f t="shared" si="33"/>
        <v>1-CT</v>
      </c>
      <c r="AB657" s="9">
        <f t="shared" si="34"/>
        <v>600000</v>
      </c>
      <c r="AC657" s="9">
        <f t="shared" si="35"/>
        <v>1167146.0028194338</v>
      </c>
    </row>
    <row r="658" spans="1:29" x14ac:dyDescent="0.25">
      <c r="A658" t="s">
        <v>272</v>
      </c>
      <c r="B658">
        <v>30008</v>
      </c>
      <c r="C658" s="8">
        <v>45628</v>
      </c>
      <c r="D658">
        <v>31151006</v>
      </c>
      <c r="E658" s="14">
        <v>2</v>
      </c>
      <c r="F658" t="s">
        <v>491</v>
      </c>
      <c r="G658" s="14">
        <v>6</v>
      </c>
      <c r="H658" t="s">
        <v>31</v>
      </c>
      <c r="I658" t="s">
        <v>358</v>
      </c>
      <c r="J658" s="18"/>
      <c r="K658"/>
      <c r="L658" t="s">
        <v>276</v>
      </c>
      <c r="M658" s="12">
        <v>2700000</v>
      </c>
      <c r="N658" s="14">
        <v>36</v>
      </c>
      <c r="O658" s="14">
        <v>0</v>
      </c>
      <c r="P658" s="14">
        <v>1</v>
      </c>
      <c r="Q658" s="17">
        <v>0.12</v>
      </c>
      <c r="R658" s="12">
        <v>101065</v>
      </c>
      <c r="S658">
        <v>1</v>
      </c>
      <c r="T658" s="12">
        <v>58600</v>
      </c>
      <c r="U658" s="12">
        <f t="shared" si="36"/>
        <v>28350</v>
      </c>
      <c r="V658">
        <v>1</v>
      </c>
      <c r="W658" s="12">
        <v>92884</v>
      </c>
      <c r="X658">
        <v>1</v>
      </c>
      <c r="Y658">
        <v>1</v>
      </c>
      <c r="Z658" s="17">
        <v>0.19631984839400199</v>
      </c>
      <c r="AA658" t="str">
        <f t="shared" si="33"/>
        <v>2-MT</v>
      </c>
      <c r="AB658" s="9">
        <f t="shared" si="34"/>
        <v>324000</v>
      </c>
      <c r="AC658" s="9">
        <f t="shared" si="35"/>
        <v>530063.59066380537</v>
      </c>
    </row>
    <row r="659" spans="1:29" x14ac:dyDescent="0.25">
      <c r="A659" t="s">
        <v>272</v>
      </c>
      <c r="B659">
        <v>30008</v>
      </c>
      <c r="C659" s="8">
        <v>45629</v>
      </c>
      <c r="D659">
        <v>31151006</v>
      </c>
      <c r="E659" s="14">
        <v>2</v>
      </c>
      <c r="F659" t="s">
        <v>492</v>
      </c>
      <c r="G659" s="14">
        <v>6</v>
      </c>
      <c r="H659" t="s">
        <v>31</v>
      </c>
      <c r="I659" t="s">
        <v>281</v>
      </c>
      <c r="J659" s="21"/>
      <c r="K659"/>
      <c r="L659" t="s">
        <v>276</v>
      </c>
      <c r="M659" s="12">
        <v>5000000</v>
      </c>
      <c r="N659" s="14">
        <v>36</v>
      </c>
      <c r="O659" s="14">
        <v>0</v>
      </c>
      <c r="P659" s="14">
        <v>1</v>
      </c>
      <c r="Q659" s="17">
        <v>0.12</v>
      </c>
      <c r="R659" s="12">
        <v>202130</v>
      </c>
      <c r="S659">
        <v>1</v>
      </c>
      <c r="T659" s="12">
        <v>92500</v>
      </c>
      <c r="U659" s="12">
        <f t="shared" si="36"/>
        <v>52500</v>
      </c>
      <c r="V659">
        <v>1</v>
      </c>
      <c r="W659" s="12">
        <v>172300</v>
      </c>
      <c r="X659">
        <v>1</v>
      </c>
      <c r="Y659">
        <v>1</v>
      </c>
      <c r="Z659" s="17">
        <v>0.19739348727316475</v>
      </c>
      <c r="AA659" t="str">
        <f t="shared" si="33"/>
        <v>2-MT</v>
      </c>
      <c r="AB659" s="9">
        <f t="shared" si="34"/>
        <v>600000</v>
      </c>
      <c r="AC659" s="9">
        <f t="shared" si="35"/>
        <v>986967.43636582373</v>
      </c>
    </row>
    <row r="660" spans="1:29" x14ac:dyDescent="0.25">
      <c r="A660" t="s">
        <v>272</v>
      </c>
      <c r="B660">
        <v>30008</v>
      </c>
      <c r="C660" s="8">
        <v>45629</v>
      </c>
      <c r="D660">
        <v>32161006</v>
      </c>
      <c r="E660" s="14">
        <v>2</v>
      </c>
      <c r="F660" t="s">
        <v>493</v>
      </c>
      <c r="G660" s="14">
        <v>6</v>
      </c>
      <c r="H660" t="s">
        <v>31</v>
      </c>
      <c r="I660" t="s">
        <v>275</v>
      </c>
      <c r="J660" s="21"/>
      <c r="K660"/>
      <c r="L660" t="s">
        <v>276</v>
      </c>
      <c r="M660" s="12">
        <v>3000000</v>
      </c>
      <c r="N660" s="14">
        <v>24</v>
      </c>
      <c r="O660" s="14">
        <v>0</v>
      </c>
      <c r="P660" s="14">
        <v>1</v>
      </c>
      <c r="Q660" s="17">
        <v>0.12</v>
      </c>
      <c r="R660" s="12">
        <v>95120</v>
      </c>
      <c r="S660">
        <v>1</v>
      </c>
      <c r="T660" s="12">
        <v>46000</v>
      </c>
      <c r="U660" s="12">
        <f t="shared" si="36"/>
        <v>31500.000000000004</v>
      </c>
      <c r="V660">
        <v>1</v>
      </c>
      <c r="W660" s="12">
        <v>148375</v>
      </c>
      <c r="X660">
        <v>1</v>
      </c>
      <c r="Y660">
        <v>1</v>
      </c>
      <c r="Z660" s="17">
        <v>0.23210581327491181</v>
      </c>
      <c r="AA660" t="str">
        <f t="shared" si="33"/>
        <v>1-CT</v>
      </c>
      <c r="AB660" s="9">
        <f t="shared" si="34"/>
        <v>360000</v>
      </c>
      <c r="AC660" s="9">
        <f t="shared" si="35"/>
        <v>696317.4398247354</v>
      </c>
    </row>
    <row r="661" spans="1:29" x14ac:dyDescent="0.25">
      <c r="A661" t="s">
        <v>272</v>
      </c>
      <c r="B661">
        <v>30008</v>
      </c>
      <c r="C661" s="8">
        <v>45629</v>
      </c>
      <c r="D661">
        <v>32161006</v>
      </c>
      <c r="E661" s="14">
        <v>2</v>
      </c>
      <c r="F661" t="s">
        <v>494</v>
      </c>
      <c r="G661" s="14">
        <v>6</v>
      </c>
      <c r="H661" t="s">
        <v>31</v>
      </c>
      <c r="I661" t="s">
        <v>291</v>
      </c>
      <c r="J661" s="21"/>
      <c r="K661"/>
      <c r="L661" t="s">
        <v>276</v>
      </c>
      <c r="M661" s="12">
        <v>1500000</v>
      </c>
      <c r="N661" s="14">
        <v>12</v>
      </c>
      <c r="O661" s="14">
        <v>0</v>
      </c>
      <c r="P661" s="14">
        <v>1</v>
      </c>
      <c r="Q661" s="17">
        <v>0.11</v>
      </c>
      <c r="R661" s="12">
        <v>23780</v>
      </c>
      <c r="S661">
        <v>1</v>
      </c>
      <c r="T661" s="12">
        <v>19000</v>
      </c>
      <c r="U661" s="12">
        <f t="shared" si="36"/>
        <v>15750.000000000002</v>
      </c>
      <c r="V661">
        <v>1</v>
      </c>
      <c r="W661" s="12">
        <v>134149</v>
      </c>
      <c r="X661">
        <v>1</v>
      </c>
      <c r="Y661">
        <v>1</v>
      </c>
      <c r="Z661" s="17">
        <v>0.20896328039377857</v>
      </c>
      <c r="AA661" t="str">
        <f t="shared" si="33"/>
        <v>1-CT</v>
      </c>
      <c r="AB661" s="9">
        <f t="shared" si="34"/>
        <v>165000</v>
      </c>
      <c r="AC661" s="9">
        <f t="shared" si="35"/>
        <v>313444.92059066787</v>
      </c>
    </row>
    <row r="662" spans="1:29" x14ac:dyDescent="0.25">
      <c r="A662" t="s">
        <v>272</v>
      </c>
      <c r="B662">
        <v>30008</v>
      </c>
      <c r="C662" s="8">
        <v>45629</v>
      </c>
      <c r="D662">
        <v>32161006</v>
      </c>
      <c r="E662" s="14">
        <v>2</v>
      </c>
      <c r="F662" t="s">
        <v>495</v>
      </c>
      <c r="G662" s="14">
        <v>6</v>
      </c>
      <c r="H662" t="s">
        <v>31</v>
      </c>
      <c r="I662" t="s">
        <v>275</v>
      </c>
      <c r="J662" s="21"/>
      <c r="K662"/>
      <c r="L662" t="s">
        <v>276</v>
      </c>
      <c r="M662" s="12">
        <v>3000000</v>
      </c>
      <c r="N662" s="14">
        <v>12</v>
      </c>
      <c r="O662" s="14">
        <v>0</v>
      </c>
      <c r="P662" s="14">
        <v>1</v>
      </c>
      <c r="Q662" s="17">
        <v>0.11</v>
      </c>
      <c r="R662" s="12">
        <v>23780</v>
      </c>
      <c r="S662">
        <v>1</v>
      </c>
      <c r="T662" s="12">
        <v>28000</v>
      </c>
      <c r="U662" s="12">
        <f t="shared" si="36"/>
        <v>31500.000000000004</v>
      </c>
      <c r="V662">
        <v>1</v>
      </c>
      <c r="W662" s="12">
        <v>268275</v>
      </c>
      <c r="X662">
        <v>1</v>
      </c>
      <c r="Y662">
        <v>1</v>
      </c>
      <c r="Z662" s="17">
        <v>0.18626293753511808</v>
      </c>
      <c r="AA662" t="str">
        <f t="shared" si="33"/>
        <v>1-CT</v>
      </c>
      <c r="AB662" s="9">
        <f t="shared" si="34"/>
        <v>330000</v>
      </c>
      <c r="AC662" s="9">
        <f t="shared" si="35"/>
        <v>558788.81260535424</v>
      </c>
    </row>
    <row r="663" spans="1:29" x14ac:dyDescent="0.25">
      <c r="A663" t="s">
        <v>272</v>
      </c>
      <c r="B663">
        <v>30008</v>
      </c>
      <c r="C663" s="8">
        <v>45629</v>
      </c>
      <c r="D663">
        <v>32161006</v>
      </c>
      <c r="E663" s="14">
        <v>2</v>
      </c>
      <c r="F663" t="s">
        <v>496</v>
      </c>
      <c r="G663" s="14">
        <v>6</v>
      </c>
      <c r="H663" t="s">
        <v>31</v>
      </c>
      <c r="I663" t="s">
        <v>275</v>
      </c>
      <c r="J663" s="21"/>
      <c r="K663"/>
      <c r="L663" t="s">
        <v>276</v>
      </c>
      <c r="M663" s="12">
        <v>450000</v>
      </c>
      <c r="N663" s="14">
        <v>9</v>
      </c>
      <c r="O663" s="14">
        <v>0</v>
      </c>
      <c r="P663" s="14">
        <v>1</v>
      </c>
      <c r="Q663" s="17">
        <v>0.11</v>
      </c>
      <c r="R663" s="12">
        <v>19024</v>
      </c>
      <c r="S663">
        <v>1</v>
      </c>
      <c r="U663" s="12">
        <f t="shared" si="36"/>
        <v>4725</v>
      </c>
      <c r="V663">
        <v>1</v>
      </c>
      <c r="W663" s="12">
        <v>52082</v>
      </c>
      <c r="X663">
        <v>1</v>
      </c>
      <c r="Y663">
        <v>1</v>
      </c>
      <c r="Z663" s="17">
        <v>0.23323896115726089</v>
      </c>
      <c r="AA663" t="str">
        <f t="shared" si="33"/>
        <v>1-CT</v>
      </c>
      <c r="AB663" s="9">
        <f t="shared" si="34"/>
        <v>49500</v>
      </c>
      <c r="AC663" s="9">
        <f t="shared" si="35"/>
        <v>104957.5325207674</v>
      </c>
    </row>
    <row r="664" spans="1:29" x14ac:dyDescent="0.25">
      <c r="A664" t="s">
        <v>272</v>
      </c>
      <c r="B664">
        <v>30008</v>
      </c>
      <c r="C664" s="8">
        <v>45629</v>
      </c>
      <c r="D664">
        <v>32161006</v>
      </c>
      <c r="E664" s="14">
        <v>2</v>
      </c>
      <c r="F664" t="s">
        <v>497</v>
      </c>
      <c r="G664" s="14">
        <v>6</v>
      </c>
      <c r="H664" t="s">
        <v>31</v>
      </c>
      <c r="I664" t="s">
        <v>498</v>
      </c>
      <c r="J664" s="21"/>
      <c r="K664"/>
      <c r="L664" t="s">
        <v>276</v>
      </c>
      <c r="M664" s="12">
        <v>800000</v>
      </c>
      <c r="N664" s="14">
        <v>12</v>
      </c>
      <c r="O664" s="14">
        <v>0</v>
      </c>
      <c r="P664" s="14">
        <v>1</v>
      </c>
      <c r="Q664" s="17">
        <v>0.11</v>
      </c>
      <c r="R664" s="12">
        <v>23780</v>
      </c>
      <c r="S664">
        <v>1</v>
      </c>
      <c r="U664" s="12">
        <f t="shared" si="36"/>
        <v>8400</v>
      </c>
      <c r="V664">
        <v>1</v>
      </c>
      <c r="W664" s="12">
        <v>71546</v>
      </c>
      <c r="X664">
        <v>1</v>
      </c>
      <c r="Y664">
        <v>1</v>
      </c>
      <c r="Z664" s="17">
        <v>0.21139407037335489</v>
      </c>
      <c r="AA664" t="str">
        <f t="shared" si="33"/>
        <v>1-CT</v>
      </c>
      <c r="AB664" s="9">
        <f t="shared" si="34"/>
        <v>88000</v>
      </c>
      <c r="AC664" s="9">
        <f t="shared" si="35"/>
        <v>169115.2562986839</v>
      </c>
    </row>
    <row r="665" spans="1:29" x14ac:dyDescent="0.25">
      <c r="A665" t="s">
        <v>272</v>
      </c>
      <c r="B665">
        <v>30008</v>
      </c>
      <c r="C665" s="8">
        <v>45629</v>
      </c>
      <c r="D665">
        <v>31151006</v>
      </c>
      <c r="E665" s="14">
        <v>2</v>
      </c>
      <c r="F665" t="s">
        <v>499</v>
      </c>
      <c r="G665" s="14">
        <v>6</v>
      </c>
      <c r="H665" t="s">
        <v>31</v>
      </c>
      <c r="I665" t="s">
        <v>287</v>
      </c>
      <c r="J665" s="21"/>
      <c r="K665"/>
      <c r="L665" t="s">
        <v>276</v>
      </c>
      <c r="M665" s="12">
        <v>3800000</v>
      </c>
      <c r="N665" s="14">
        <v>36</v>
      </c>
      <c r="O665" s="14">
        <v>0</v>
      </c>
      <c r="P665" s="14">
        <v>1</v>
      </c>
      <c r="Q665" s="17">
        <v>0.11</v>
      </c>
      <c r="R665" s="12">
        <v>118900</v>
      </c>
      <c r="S665">
        <v>1</v>
      </c>
      <c r="T665" s="12">
        <v>78400</v>
      </c>
      <c r="U665" s="12">
        <f t="shared" si="36"/>
        <v>39900</v>
      </c>
      <c r="V665">
        <v>1</v>
      </c>
      <c r="W665" s="12">
        <v>128520</v>
      </c>
      <c r="X665">
        <v>1</v>
      </c>
      <c r="Y665">
        <v>1</v>
      </c>
      <c r="Z665" s="17">
        <v>0.17841136563795243</v>
      </c>
      <c r="AA665" t="str">
        <f t="shared" si="33"/>
        <v>2-MT</v>
      </c>
      <c r="AB665" s="9">
        <f t="shared" si="34"/>
        <v>418000</v>
      </c>
      <c r="AC665" s="9">
        <f t="shared" si="35"/>
        <v>677963.18942421919</v>
      </c>
    </row>
    <row r="666" spans="1:29" x14ac:dyDescent="0.25">
      <c r="A666" t="s">
        <v>272</v>
      </c>
      <c r="B666">
        <v>30008</v>
      </c>
      <c r="C666" s="8">
        <v>45630</v>
      </c>
      <c r="D666">
        <v>31151006</v>
      </c>
      <c r="E666" s="14">
        <v>2</v>
      </c>
      <c r="F666" t="s">
        <v>500</v>
      </c>
      <c r="G666" s="14">
        <v>6</v>
      </c>
      <c r="H666" t="s">
        <v>31</v>
      </c>
      <c r="I666" t="s">
        <v>291</v>
      </c>
      <c r="J666" s="21"/>
      <c r="K666"/>
      <c r="L666" t="s">
        <v>276</v>
      </c>
      <c r="M666" s="12">
        <v>7000000</v>
      </c>
      <c r="N666" s="14">
        <v>40</v>
      </c>
      <c r="O666" s="14">
        <v>0</v>
      </c>
      <c r="P666" s="14">
        <v>1</v>
      </c>
      <c r="Q666" s="17">
        <v>0.12</v>
      </c>
      <c r="R666" s="12">
        <v>297250</v>
      </c>
      <c r="S666">
        <v>1</v>
      </c>
      <c r="T666" s="12">
        <v>150000</v>
      </c>
      <c r="U666" s="12">
        <f t="shared" si="36"/>
        <v>73500</v>
      </c>
      <c r="V666">
        <v>1</v>
      </c>
      <c r="W666" s="12">
        <v>221600</v>
      </c>
      <c r="X666">
        <v>1</v>
      </c>
      <c r="Y666">
        <v>1</v>
      </c>
      <c r="Z666" s="17">
        <v>0.19513139899363979</v>
      </c>
      <c r="AA666" t="str">
        <f t="shared" si="33"/>
        <v>2-MT</v>
      </c>
      <c r="AB666" s="9">
        <f t="shared" si="34"/>
        <v>840000</v>
      </c>
      <c r="AC666" s="9">
        <f t="shared" si="35"/>
        <v>1365919.7929554787</v>
      </c>
    </row>
    <row r="667" spans="1:29" x14ac:dyDescent="0.25">
      <c r="A667" t="s">
        <v>272</v>
      </c>
      <c r="B667">
        <v>30008</v>
      </c>
      <c r="C667" s="8">
        <v>45631</v>
      </c>
      <c r="D667">
        <v>32161006</v>
      </c>
      <c r="E667" s="14">
        <v>2</v>
      </c>
      <c r="F667" t="s">
        <v>501</v>
      </c>
      <c r="G667" s="14">
        <v>6</v>
      </c>
      <c r="H667" t="s">
        <v>31</v>
      </c>
      <c r="I667" t="s">
        <v>372</v>
      </c>
      <c r="J667" s="21"/>
      <c r="K667"/>
      <c r="L667" t="s">
        <v>310</v>
      </c>
      <c r="M667" s="12">
        <v>1500000</v>
      </c>
      <c r="N667" s="14">
        <v>24</v>
      </c>
      <c r="O667" s="14">
        <v>0</v>
      </c>
      <c r="P667" s="14">
        <v>1</v>
      </c>
      <c r="Q667" s="17">
        <v>0.12</v>
      </c>
      <c r="R667" s="12">
        <v>59450</v>
      </c>
      <c r="S667">
        <v>1</v>
      </c>
      <c r="T667" s="12">
        <v>14150</v>
      </c>
      <c r="U667" s="12">
        <f t="shared" si="36"/>
        <v>15750.000000000002</v>
      </c>
      <c r="V667">
        <v>1</v>
      </c>
      <c r="W667" s="12">
        <v>73048</v>
      </c>
      <c r="X667">
        <v>1</v>
      </c>
      <c r="Y667">
        <v>1</v>
      </c>
      <c r="Z667" s="17">
        <v>0.21807659809092855</v>
      </c>
      <c r="AA667" t="str">
        <f t="shared" si="33"/>
        <v>1-CT</v>
      </c>
      <c r="AB667" s="9">
        <f t="shared" si="34"/>
        <v>180000</v>
      </c>
      <c r="AC667" s="9">
        <f t="shared" si="35"/>
        <v>327114.89713639283</v>
      </c>
    </row>
    <row r="668" spans="1:29" x14ac:dyDescent="0.25">
      <c r="A668" t="s">
        <v>272</v>
      </c>
      <c r="B668">
        <v>30008</v>
      </c>
      <c r="C668" s="8">
        <v>45631</v>
      </c>
      <c r="D668">
        <v>31151006</v>
      </c>
      <c r="E668" s="14">
        <v>2</v>
      </c>
      <c r="F668" t="s">
        <v>502</v>
      </c>
      <c r="G668" s="14">
        <v>6</v>
      </c>
      <c r="H668" t="s">
        <v>31</v>
      </c>
      <c r="I668" t="s">
        <v>289</v>
      </c>
      <c r="J668" s="21"/>
      <c r="K668"/>
      <c r="L668" t="s">
        <v>425</v>
      </c>
      <c r="M668" s="12">
        <v>4000000</v>
      </c>
      <c r="N668" s="14">
        <v>36</v>
      </c>
      <c r="O668" s="14">
        <v>0</v>
      </c>
      <c r="P668" s="14">
        <v>1</v>
      </c>
      <c r="Q668" s="17">
        <v>0.12</v>
      </c>
      <c r="R668" s="12">
        <v>160515</v>
      </c>
      <c r="S668">
        <v>1</v>
      </c>
      <c r="T668" s="12">
        <v>82000</v>
      </c>
      <c r="U668" s="12">
        <f t="shared" si="36"/>
        <v>42000</v>
      </c>
      <c r="V668">
        <v>1</v>
      </c>
      <c r="W668" s="12">
        <v>137595</v>
      </c>
      <c r="X668">
        <v>1</v>
      </c>
      <c r="Y668">
        <v>1</v>
      </c>
      <c r="Z668" s="17">
        <v>0.19743168795684007</v>
      </c>
      <c r="AA668" t="str">
        <f t="shared" si="33"/>
        <v>2-MT</v>
      </c>
      <c r="AB668" s="9">
        <f t="shared" si="34"/>
        <v>480000</v>
      </c>
      <c r="AC668" s="9">
        <f t="shared" si="35"/>
        <v>789726.75182736025</v>
      </c>
    </row>
    <row r="669" spans="1:29" x14ac:dyDescent="0.25">
      <c r="A669" t="s">
        <v>272</v>
      </c>
      <c r="B669">
        <v>30008</v>
      </c>
      <c r="C669" s="8">
        <v>45631</v>
      </c>
      <c r="D669">
        <v>32161006</v>
      </c>
      <c r="E669" s="14">
        <v>2</v>
      </c>
      <c r="F669" t="s">
        <v>503</v>
      </c>
      <c r="G669" s="14">
        <v>6</v>
      </c>
      <c r="H669" t="s">
        <v>31</v>
      </c>
      <c r="I669" t="s">
        <v>275</v>
      </c>
      <c r="J669" s="21"/>
      <c r="K669"/>
      <c r="L669" t="s">
        <v>301</v>
      </c>
      <c r="M669" s="12">
        <v>1200000</v>
      </c>
      <c r="N669" s="14">
        <v>15</v>
      </c>
      <c r="O669" s="14">
        <v>0</v>
      </c>
      <c r="P669" s="14">
        <v>1</v>
      </c>
      <c r="Q669" s="17">
        <v>0.11</v>
      </c>
      <c r="R669" s="12">
        <v>47560</v>
      </c>
      <c r="S669">
        <v>1</v>
      </c>
      <c r="T669" s="12">
        <v>19000</v>
      </c>
      <c r="U669" s="12">
        <f t="shared" si="36"/>
        <v>12600</v>
      </c>
      <c r="V669">
        <v>1</v>
      </c>
      <c r="W669" s="12">
        <v>87255</v>
      </c>
      <c r="X669">
        <v>1</v>
      </c>
      <c r="Y669">
        <v>1</v>
      </c>
      <c r="Z669" s="17">
        <v>0.24046146608942742</v>
      </c>
      <c r="AA669" t="str">
        <f t="shared" si="33"/>
        <v>1-CT</v>
      </c>
      <c r="AB669" s="9">
        <f t="shared" si="34"/>
        <v>132000</v>
      </c>
      <c r="AC669" s="9">
        <f t="shared" si="35"/>
        <v>288553.7593073129</v>
      </c>
    </row>
    <row r="670" spans="1:29" x14ac:dyDescent="0.25">
      <c r="A670" t="s">
        <v>272</v>
      </c>
      <c r="B670">
        <v>30008</v>
      </c>
      <c r="C670" s="8">
        <v>45635</v>
      </c>
      <c r="D670">
        <v>32161006</v>
      </c>
      <c r="E670" s="14">
        <v>2</v>
      </c>
      <c r="F670" t="s">
        <v>504</v>
      </c>
      <c r="G670" s="14">
        <v>6</v>
      </c>
      <c r="H670" t="s">
        <v>31</v>
      </c>
      <c r="I670" t="s">
        <v>283</v>
      </c>
      <c r="J670" s="18"/>
      <c r="K670"/>
      <c r="L670" t="s">
        <v>276</v>
      </c>
      <c r="M670" s="12">
        <v>300000</v>
      </c>
      <c r="N670" s="14">
        <v>12</v>
      </c>
      <c r="O670" s="14">
        <v>0</v>
      </c>
      <c r="P670" s="14">
        <v>1</v>
      </c>
      <c r="Q670" s="17">
        <v>0.11</v>
      </c>
      <c r="R670" s="12">
        <v>11890</v>
      </c>
      <c r="S670">
        <v>1</v>
      </c>
      <c r="U670" s="12">
        <f t="shared" si="36"/>
        <v>3150</v>
      </c>
      <c r="V670">
        <v>1</v>
      </c>
      <c r="W670" s="12">
        <v>26830</v>
      </c>
      <c r="X670">
        <v>1</v>
      </c>
      <c r="Y670">
        <v>1</v>
      </c>
      <c r="Z670" s="17">
        <v>0.23160019863704268</v>
      </c>
      <c r="AA670" t="str">
        <f t="shared" si="33"/>
        <v>1-CT</v>
      </c>
      <c r="AB670" s="9">
        <f t="shared" si="34"/>
        <v>33000</v>
      </c>
      <c r="AC670" s="9">
        <f t="shared" si="35"/>
        <v>69480.059591112804</v>
      </c>
    </row>
    <row r="671" spans="1:29" x14ac:dyDescent="0.25">
      <c r="A671" t="s">
        <v>272</v>
      </c>
      <c r="B671">
        <v>30008</v>
      </c>
      <c r="C671" s="8">
        <v>45636</v>
      </c>
      <c r="D671">
        <v>32161006</v>
      </c>
      <c r="E671" s="14">
        <v>2</v>
      </c>
      <c r="F671" t="s">
        <v>505</v>
      </c>
      <c r="G671" s="14">
        <v>6</v>
      </c>
      <c r="H671" t="s">
        <v>31</v>
      </c>
      <c r="I671" t="s">
        <v>291</v>
      </c>
      <c r="J671" s="21"/>
      <c r="K671"/>
      <c r="L671" t="s">
        <v>276</v>
      </c>
      <c r="M671" s="12">
        <v>7000000</v>
      </c>
      <c r="N671" s="14">
        <v>8</v>
      </c>
      <c r="O671" s="14">
        <v>0</v>
      </c>
      <c r="P671" s="14">
        <v>1</v>
      </c>
      <c r="Q671" s="17">
        <v>0.11</v>
      </c>
      <c r="R671" s="12">
        <v>166460</v>
      </c>
      <c r="S671">
        <v>1</v>
      </c>
      <c r="T671" s="12">
        <v>38000</v>
      </c>
      <c r="U671" s="12">
        <f t="shared" si="36"/>
        <v>73500</v>
      </c>
      <c r="V671">
        <v>1</v>
      </c>
      <c r="W671" s="12">
        <v>919070</v>
      </c>
      <c r="X671">
        <v>1</v>
      </c>
      <c r="Y671">
        <v>1</v>
      </c>
      <c r="Z671" s="17">
        <v>0.24438478866048641</v>
      </c>
      <c r="AA671" t="str">
        <f t="shared" si="33"/>
        <v>1-CT</v>
      </c>
      <c r="AB671" s="9">
        <f t="shared" si="34"/>
        <v>770000</v>
      </c>
      <c r="AC671" s="9">
        <f t="shared" si="35"/>
        <v>1710693.5206234048</v>
      </c>
    </row>
    <row r="672" spans="1:29" x14ac:dyDescent="0.25">
      <c r="A672" t="s">
        <v>272</v>
      </c>
      <c r="B672">
        <v>30008</v>
      </c>
      <c r="C672" s="8">
        <v>45638</v>
      </c>
      <c r="D672">
        <v>32161006</v>
      </c>
      <c r="E672" s="14">
        <v>2</v>
      </c>
      <c r="F672" t="s">
        <v>506</v>
      </c>
      <c r="G672" s="14">
        <v>6</v>
      </c>
      <c r="H672" t="s">
        <v>31</v>
      </c>
      <c r="I672" t="s">
        <v>275</v>
      </c>
      <c r="J672" s="21"/>
      <c r="K672"/>
      <c r="L672" t="s">
        <v>276</v>
      </c>
      <c r="M672" s="12">
        <v>1000000</v>
      </c>
      <c r="N672" s="14">
        <v>12</v>
      </c>
      <c r="O672" s="14">
        <v>0</v>
      </c>
      <c r="P672" s="14">
        <v>1</v>
      </c>
      <c r="Q672" s="17">
        <v>0.11</v>
      </c>
      <c r="R672" s="12">
        <v>23780</v>
      </c>
      <c r="S672">
        <v>1</v>
      </c>
      <c r="T672" s="12">
        <v>16000</v>
      </c>
      <c r="U672" s="12">
        <f t="shared" si="36"/>
        <v>10500</v>
      </c>
      <c r="V672">
        <v>1</v>
      </c>
      <c r="W672" s="12">
        <v>89433</v>
      </c>
      <c r="X672">
        <v>1</v>
      </c>
      <c r="Y672">
        <v>1</v>
      </c>
      <c r="Z672" s="17">
        <v>0.23189406907714311</v>
      </c>
      <c r="AA672" t="str">
        <f t="shared" si="33"/>
        <v>1-CT</v>
      </c>
      <c r="AB672" s="9">
        <f t="shared" si="34"/>
        <v>110000</v>
      </c>
      <c r="AC672" s="9">
        <f t="shared" si="35"/>
        <v>231894.0690771431</v>
      </c>
    </row>
    <row r="673" spans="1:29" x14ac:dyDescent="0.25">
      <c r="A673" t="s">
        <v>272</v>
      </c>
      <c r="B673">
        <v>30008</v>
      </c>
      <c r="C673" s="8">
        <v>45638</v>
      </c>
      <c r="D673">
        <v>32161006</v>
      </c>
      <c r="E673" s="14">
        <v>2</v>
      </c>
      <c r="F673" t="s">
        <v>507</v>
      </c>
      <c r="G673" s="14">
        <v>6</v>
      </c>
      <c r="H673" t="s">
        <v>31</v>
      </c>
      <c r="I673" t="s">
        <v>287</v>
      </c>
      <c r="J673" s="21"/>
      <c r="K673"/>
      <c r="L673" t="s">
        <v>276</v>
      </c>
      <c r="M673" s="12">
        <v>1000000</v>
      </c>
      <c r="N673" s="14">
        <v>12</v>
      </c>
      <c r="O673" s="14">
        <v>0</v>
      </c>
      <c r="P673" s="14">
        <v>1</v>
      </c>
      <c r="Q673" s="17">
        <v>0.11</v>
      </c>
      <c r="R673" s="12">
        <v>23780</v>
      </c>
      <c r="S673">
        <v>1</v>
      </c>
      <c r="T673" s="12">
        <v>16000</v>
      </c>
      <c r="U673" s="12">
        <f t="shared" si="36"/>
        <v>10500</v>
      </c>
      <c r="V673">
        <v>1</v>
      </c>
      <c r="W673" s="12">
        <v>89439</v>
      </c>
      <c r="X673">
        <v>1</v>
      </c>
      <c r="Y673">
        <v>1</v>
      </c>
      <c r="Z673" s="17">
        <v>0.2320249044933928</v>
      </c>
      <c r="AA673" t="str">
        <f t="shared" si="33"/>
        <v>1-CT</v>
      </c>
      <c r="AB673" s="9">
        <f t="shared" si="34"/>
        <v>110000</v>
      </c>
      <c r="AC673" s="9">
        <f t="shared" si="35"/>
        <v>232024.90449339279</v>
      </c>
    </row>
    <row r="674" spans="1:29" x14ac:dyDescent="0.25">
      <c r="A674" t="s">
        <v>272</v>
      </c>
      <c r="B674">
        <v>30008</v>
      </c>
      <c r="C674" s="8">
        <v>45638</v>
      </c>
      <c r="D674">
        <v>32131005</v>
      </c>
      <c r="E674" s="14">
        <v>5</v>
      </c>
      <c r="F674" t="s">
        <v>508</v>
      </c>
      <c r="G674" s="14">
        <v>6</v>
      </c>
      <c r="H674" t="s">
        <v>31</v>
      </c>
      <c r="I674" t="s">
        <v>438</v>
      </c>
      <c r="J674" s="21">
        <v>402447662</v>
      </c>
      <c r="K674">
        <v>16</v>
      </c>
      <c r="M674" s="12">
        <v>77500000</v>
      </c>
      <c r="N674" s="14">
        <v>24</v>
      </c>
      <c r="O674" s="14">
        <v>0</v>
      </c>
      <c r="P674" s="14">
        <v>1</v>
      </c>
      <c r="Q674" s="17">
        <v>0.11</v>
      </c>
      <c r="R674" s="12">
        <v>594500</v>
      </c>
      <c r="S674">
        <v>1</v>
      </c>
      <c r="U674" s="12">
        <f t="shared" si="36"/>
        <v>813750</v>
      </c>
      <c r="V674">
        <v>1</v>
      </c>
      <c r="W674" s="12">
        <v>3694600</v>
      </c>
      <c r="X674">
        <v>1</v>
      </c>
      <c r="Y674">
        <v>1</v>
      </c>
      <c r="Z674" s="17">
        <v>0.1514284024014585</v>
      </c>
      <c r="AA674" t="str">
        <f t="shared" si="33"/>
        <v>1-CT</v>
      </c>
      <c r="AB674" s="9">
        <f t="shared" si="34"/>
        <v>8525000</v>
      </c>
      <c r="AC674" s="9">
        <f t="shared" si="35"/>
        <v>11735701.186113033</v>
      </c>
    </row>
    <row r="675" spans="1:29" x14ac:dyDescent="0.25">
      <c r="A675" t="s">
        <v>272</v>
      </c>
      <c r="B675">
        <v>30008</v>
      </c>
      <c r="C675" s="8">
        <v>45639</v>
      </c>
      <c r="D675" s="9">
        <v>31151006</v>
      </c>
      <c r="E675" s="14">
        <v>2</v>
      </c>
      <c r="F675" t="s">
        <v>509</v>
      </c>
      <c r="G675" s="14">
        <v>6</v>
      </c>
      <c r="H675" t="s">
        <v>31</v>
      </c>
      <c r="I675" t="s">
        <v>291</v>
      </c>
      <c r="J675" s="21"/>
      <c r="K675"/>
      <c r="L675" t="s">
        <v>295</v>
      </c>
      <c r="M675" s="12">
        <v>260000000</v>
      </c>
      <c r="N675" s="14">
        <v>60</v>
      </c>
      <c r="O675" s="14">
        <v>0</v>
      </c>
      <c r="P675" s="14">
        <v>1</v>
      </c>
      <c r="Q675" s="17">
        <v>9.5000000000000001E-2</v>
      </c>
      <c r="R675" s="12">
        <v>1783500</v>
      </c>
      <c r="S675">
        <v>1</v>
      </c>
      <c r="T675" s="12">
        <v>7150000</v>
      </c>
      <c r="U675" s="12">
        <f t="shared" si="36"/>
        <v>2730000</v>
      </c>
      <c r="V675">
        <v>1</v>
      </c>
      <c r="W675" s="12">
        <v>5728986</v>
      </c>
      <c r="X675">
        <v>1</v>
      </c>
      <c r="Y675">
        <v>1</v>
      </c>
      <c r="Z675" s="17">
        <v>0.13615607150725964</v>
      </c>
      <c r="AA675" t="str">
        <f t="shared" si="33"/>
        <v>2-MT</v>
      </c>
      <c r="AB675" s="9">
        <f t="shared" si="34"/>
        <v>24700000</v>
      </c>
      <c r="AC675" s="9">
        <f t="shared" si="35"/>
        <v>35400578.591887504</v>
      </c>
    </row>
    <row r="676" spans="1:29" x14ac:dyDescent="0.25">
      <c r="A676" t="s">
        <v>272</v>
      </c>
      <c r="B676">
        <v>30008</v>
      </c>
      <c r="C676" s="8">
        <v>45639</v>
      </c>
      <c r="D676" s="9">
        <v>31151006</v>
      </c>
      <c r="E676" s="14">
        <v>2</v>
      </c>
      <c r="F676" t="s">
        <v>510</v>
      </c>
      <c r="G676" s="14">
        <v>6</v>
      </c>
      <c r="H676" t="s">
        <v>31</v>
      </c>
      <c r="I676" t="s">
        <v>411</v>
      </c>
      <c r="J676" s="21"/>
      <c r="K676"/>
      <c r="L676" t="s">
        <v>276</v>
      </c>
      <c r="M676" s="12">
        <v>3000000</v>
      </c>
      <c r="N676" s="14">
        <v>37</v>
      </c>
      <c r="O676" s="14">
        <v>0</v>
      </c>
      <c r="P676" s="14">
        <v>1</v>
      </c>
      <c r="Q676" s="17">
        <v>0.12</v>
      </c>
      <c r="R676" s="12">
        <v>95120</v>
      </c>
      <c r="S676">
        <v>1</v>
      </c>
      <c r="T676" s="12">
        <v>65500</v>
      </c>
      <c r="U676" s="12">
        <f t="shared" si="36"/>
        <v>31500.000000000004</v>
      </c>
      <c r="V676">
        <v>1</v>
      </c>
      <c r="W676" s="12">
        <v>100976</v>
      </c>
      <c r="X676">
        <v>1</v>
      </c>
      <c r="Y676">
        <v>1</v>
      </c>
      <c r="Z676" s="17">
        <v>0.19082588356140118</v>
      </c>
      <c r="AA676" t="str">
        <f t="shared" si="33"/>
        <v>2-MT</v>
      </c>
      <c r="AB676" s="9">
        <f t="shared" si="34"/>
        <v>360000</v>
      </c>
      <c r="AC676" s="9">
        <f t="shared" si="35"/>
        <v>572477.65068420349</v>
      </c>
    </row>
    <row r="677" spans="1:29" x14ac:dyDescent="0.25">
      <c r="A677" t="s">
        <v>272</v>
      </c>
      <c r="B677">
        <v>30008</v>
      </c>
      <c r="C677" s="8">
        <v>45639</v>
      </c>
      <c r="D677" s="9">
        <v>31151006</v>
      </c>
      <c r="E677" s="14">
        <v>2</v>
      </c>
      <c r="F677" t="s">
        <v>511</v>
      </c>
      <c r="G677" s="14">
        <v>6</v>
      </c>
      <c r="H677" t="s">
        <v>31</v>
      </c>
      <c r="I677" t="s">
        <v>512</v>
      </c>
      <c r="J677" s="21"/>
      <c r="K677"/>
      <c r="L677" t="s">
        <v>276</v>
      </c>
      <c r="M677" s="12">
        <v>2000000</v>
      </c>
      <c r="N677" s="14">
        <v>36</v>
      </c>
      <c r="O677" s="14">
        <v>0</v>
      </c>
      <c r="P677" s="14">
        <v>1</v>
      </c>
      <c r="Q677" s="17">
        <v>0.12</v>
      </c>
      <c r="R677" s="12">
        <v>59450</v>
      </c>
      <c r="S677">
        <v>1</v>
      </c>
      <c r="T677" s="12">
        <v>46000</v>
      </c>
      <c r="U677" s="12">
        <f t="shared" si="36"/>
        <v>21000</v>
      </c>
      <c r="V677">
        <v>1</v>
      </c>
      <c r="W677" s="12">
        <v>68803</v>
      </c>
      <c r="X677">
        <v>1</v>
      </c>
      <c r="Y677">
        <v>1</v>
      </c>
      <c r="Z677" s="17">
        <v>0.19133066128445297</v>
      </c>
      <c r="AA677" t="str">
        <f t="shared" si="33"/>
        <v>2-MT</v>
      </c>
      <c r="AB677" s="9">
        <f t="shared" si="34"/>
        <v>240000</v>
      </c>
      <c r="AC677" s="9">
        <f t="shared" si="35"/>
        <v>382661.32256890595</v>
      </c>
    </row>
    <row r="678" spans="1:29" x14ac:dyDescent="0.25">
      <c r="A678" t="s">
        <v>272</v>
      </c>
      <c r="B678">
        <v>30008</v>
      </c>
      <c r="C678" s="8">
        <v>45639</v>
      </c>
      <c r="D678" s="9">
        <v>32161006</v>
      </c>
      <c r="E678" s="14">
        <v>2</v>
      </c>
      <c r="F678" t="s">
        <v>513</v>
      </c>
      <c r="G678" s="14">
        <v>6</v>
      </c>
      <c r="H678" t="s">
        <v>31</v>
      </c>
      <c r="I678" t="s">
        <v>287</v>
      </c>
      <c r="J678" s="21"/>
      <c r="K678"/>
      <c r="L678" t="s">
        <v>276</v>
      </c>
      <c r="M678" s="12">
        <v>1700000</v>
      </c>
      <c r="N678" s="14">
        <v>24</v>
      </c>
      <c r="O678" s="14">
        <v>0</v>
      </c>
      <c r="P678" s="14">
        <v>1</v>
      </c>
      <c r="Q678" s="17">
        <v>0.13</v>
      </c>
      <c r="R678" s="12">
        <v>83230</v>
      </c>
      <c r="S678">
        <v>1</v>
      </c>
      <c r="T678" s="12">
        <v>30400</v>
      </c>
      <c r="U678" s="12">
        <f t="shared" si="36"/>
        <v>17850</v>
      </c>
      <c r="V678">
        <v>1</v>
      </c>
      <c r="W678" s="12">
        <v>82950</v>
      </c>
      <c r="X678">
        <v>1</v>
      </c>
      <c r="Y678">
        <v>1</v>
      </c>
      <c r="Z678" s="17">
        <v>0.24026345784095743</v>
      </c>
      <c r="AA678" t="str">
        <f t="shared" si="33"/>
        <v>1-CT</v>
      </c>
      <c r="AB678" s="9">
        <f t="shared" si="34"/>
        <v>221000</v>
      </c>
      <c r="AC678" s="9">
        <f t="shared" si="35"/>
        <v>408447.87832962762</v>
      </c>
    </row>
    <row r="679" spans="1:29" x14ac:dyDescent="0.25">
      <c r="A679" t="s">
        <v>272</v>
      </c>
      <c r="B679">
        <v>30008</v>
      </c>
      <c r="C679" s="8">
        <v>45639</v>
      </c>
      <c r="D679" s="9">
        <v>32161006</v>
      </c>
      <c r="E679" s="14">
        <v>2</v>
      </c>
      <c r="F679" t="s">
        <v>514</v>
      </c>
      <c r="G679" s="14">
        <v>6</v>
      </c>
      <c r="H679" t="s">
        <v>31</v>
      </c>
      <c r="I679" t="s">
        <v>348</v>
      </c>
      <c r="J679" s="21"/>
      <c r="K679"/>
      <c r="L679" t="s">
        <v>301</v>
      </c>
      <c r="M679" s="12">
        <v>1100000</v>
      </c>
      <c r="N679" s="14">
        <v>24</v>
      </c>
      <c r="O679" s="14">
        <v>0</v>
      </c>
      <c r="P679" s="14">
        <v>1</v>
      </c>
      <c r="Q679" s="17">
        <v>0.11</v>
      </c>
      <c r="R679" s="12">
        <v>59450</v>
      </c>
      <c r="S679">
        <v>1</v>
      </c>
      <c r="T679" s="12">
        <v>23200</v>
      </c>
      <c r="U679" s="12">
        <f t="shared" si="36"/>
        <v>11550</v>
      </c>
      <c r="V679">
        <v>1</v>
      </c>
      <c r="W679" s="12">
        <v>52416</v>
      </c>
      <c r="X679">
        <v>1</v>
      </c>
      <c r="Y679">
        <v>1</v>
      </c>
      <c r="Z679" s="17">
        <v>0.22476451074512863</v>
      </c>
      <c r="AA679" t="str">
        <f t="shared" si="33"/>
        <v>1-CT</v>
      </c>
      <c r="AB679" s="9">
        <f t="shared" si="34"/>
        <v>121000</v>
      </c>
      <c r="AC679" s="9">
        <f t="shared" si="35"/>
        <v>247240.9618196415</v>
      </c>
    </row>
    <row r="680" spans="1:29" x14ac:dyDescent="0.25">
      <c r="A680" t="s">
        <v>272</v>
      </c>
      <c r="B680">
        <v>30008</v>
      </c>
      <c r="C680" s="8">
        <v>45639</v>
      </c>
      <c r="D680" s="9">
        <v>31151006</v>
      </c>
      <c r="E680" s="14">
        <v>2</v>
      </c>
      <c r="F680" t="s">
        <v>515</v>
      </c>
      <c r="G680" s="14">
        <v>6</v>
      </c>
      <c r="H680" t="s">
        <v>31</v>
      </c>
      <c r="I680" t="s">
        <v>443</v>
      </c>
      <c r="J680" s="21"/>
      <c r="K680"/>
      <c r="L680" t="s">
        <v>276</v>
      </c>
      <c r="M680" s="12">
        <v>3000000</v>
      </c>
      <c r="N680" s="14">
        <v>36</v>
      </c>
      <c r="O680" s="14">
        <v>0</v>
      </c>
      <c r="P680" s="14">
        <v>1</v>
      </c>
      <c r="Q680" s="17">
        <v>0.12</v>
      </c>
      <c r="R680" s="12">
        <v>118900</v>
      </c>
      <c r="S680">
        <v>1</v>
      </c>
      <c r="T680" s="12">
        <v>64000</v>
      </c>
      <c r="U680" s="12">
        <f t="shared" si="36"/>
        <v>31500.000000000004</v>
      </c>
      <c r="V680">
        <v>1</v>
      </c>
      <c r="W680" s="12">
        <v>103180</v>
      </c>
      <c r="X680">
        <v>1</v>
      </c>
      <c r="Y680">
        <v>1</v>
      </c>
      <c r="Z680" s="17">
        <v>0.19758199046866121</v>
      </c>
      <c r="AA680" t="str">
        <f t="shared" si="33"/>
        <v>2-MT</v>
      </c>
      <c r="AB680" s="9">
        <f t="shared" si="34"/>
        <v>360000</v>
      </c>
      <c r="AC680" s="9">
        <f t="shared" si="35"/>
        <v>592745.97140598367</v>
      </c>
    </row>
    <row r="681" spans="1:29" x14ac:dyDescent="0.25">
      <c r="A681" t="s">
        <v>272</v>
      </c>
      <c r="B681">
        <v>30008</v>
      </c>
      <c r="C681" s="8">
        <v>45642</v>
      </c>
      <c r="D681" s="9">
        <v>32161006</v>
      </c>
      <c r="E681" s="14">
        <v>2</v>
      </c>
      <c r="F681" t="s">
        <v>516</v>
      </c>
      <c r="G681" s="14">
        <v>6</v>
      </c>
      <c r="H681" t="s">
        <v>31</v>
      </c>
      <c r="I681" t="s">
        <v>287</v>
      </c>
      <c r="J681" s="21"/>
      <c r="K681"/>
      <c r="L681" t="s">
        <v>276</v>
      </c>
      <c r="M681" s="12">
        <v>2200000</v>
      </c>
      <c r="N681" s="14">
        <v>24</v>
      </c>
      <c r="O681" s="14">
        <v>0</v>
      </c>
      <c r="P681" s="14">
        <v>1</v>
      </c>
      <c r="Q681" s="17">
        <v>0.13</v>
      </c>
      <c r="R681" s="12">
        <v>95120</v>
      </c>
      <c r="S681">
        <v>1</v>
      </c>
      <c r="T681" s="12">
        <v>36400</v>
      </c>
      <c r="U681" s="12">
        <f t="shared" si="36"/>
        <v>23100</v>
      </c>
      <c r="V681">
        <v>1</v>
      </c>
      <c r="W681" s="12">
        <v>107364</v>
      </c>
      <c r="X681">
        <v>1</v>
      </c>
      <c r="Y681">
        <v>1</v>
      </c>
      <c r="Z681" s="17">
        <v>0.23236870262394743</v>
      </c>
      <c r="AA681" t="str">
        <f t="shared" si="33"/>
        <v>1-CT</v>
      </c>
      <c r="AB681" s="9">
        <f t="shared" si="34"/>
        <v>286000</v>
      </c>
      <c r="AC681" s="9">
        <f t="shared" si="35"/>
        <v>511211.14577268437</v>
      </c>
    </row>
    <row r="682" spans="1:29" x14ac:dyDescent="0.25">
      <c r="A682" t="s">
        <v>272</v>
      </c>
      <c r="B682">
        <v>30008</v>
      </c>
      <c r="C682" s="8">
        <v>45642</v>
      </c>
      <c r="D682" s="9">
        <v>32161006</v>
      </c>
      <c r="E682" s="14">
        <v>2</v>
      </c>
      <c r="F682" t="s">
        <v>517</v>
      </c>
      <c r="G682" s="14">
        <v>6</v>
      </c>
      <c r="H682" t="s">
        <v>31</v>
      </c>
      <c r="I682" t="s">
        <v>287</v>
      </c>
      <c r="J682" s="21"/>
      <c r="K682"/>
      <c r="L682" t="s">
        <v>276</v>
      </c>
      <c r="M682" s="12">
        <v>1700000</v>
      </c>
      <c r="N682" s="14">
        <v>24</v>
      </c>
      <c r="O682" s="14">
        <v>0</v>
      </c>
      <c r="P682" s="14">
        <v>1</v>
      </c>
      <c r="Q682" s="17">
        <v>0.12</v>
      </c>
      <c r="R682" s="12">
        <v>83230</v>
      </c>
      <c r="S682">
        <v>1</v>
      </c>
      <c r="T682" s="12">
        <v>30400</v>
      </c>
      <c r="U682" s="12">
        <f t="shared" si="36"/>
        <v>17850</v>
      </c>
      <c r="V682">
        <v>1</v>
      </c>
      <c r="W682" s="12">
        <v>81990</v>
      </c>
      <c r="X682">
        <v>1</v>
      </c>
      <c r="Y682">
        <v>1</v>
      </c>
      <c r="Z682" s="17">
        <v>0.22796252232110592</v>
      </c>
      <c r="AA682" t="str">
        <f t="shared" si="33"/>
        <v>1-CT</v>
      </c>
      <c r="AB682" s="9">
        <f t="shared" si="34"/>
        <v>204000</v>
      </c>
      <c r="AC682" s="9">
        <f t="shared" si="35"/>
        <v>387536.28794588009</v>
      </c>
    </row>
    <row r="683" spans="1:29" x14ac:dyDescent="0.25">
      <c r="A683" t="s">
        <v>272</v>
      </c>
      <c r="B683">
        <v>30008</v>
      </c>
      <c r="C683" s="8">
        <v>45642</v>
      </c>
      <c r="D683" s="9">
        <v>31151006</v>
      </c>
      <c r="E683" s="14">
        <v>2</v>
      </c>
      <c r="F683" t="s">
        <v>518</v>
      </c>
      <c r="G683" s="14">
        <v>6</v>
      </c>
      <c r="H683" t="s">
        <v>31</v>
      </c>
      <c r="I683" t="s">
        <v>291</v>
      </c>
      <c r="J683" s="21"/>
      <c r="K683"/>
      <c r="L683" t="s">
        <v>276</v>
      </c>
      <c r="M683" s="12">
        <v>4000000</v>
      </c>
      <c r="N683" s="14">
        <v>36</v>
      </c>
      <c r="O683" s="14">
        <v>0</v>
      </c>
      <c r="P683" s="14">
        <v>1</v>
      </c>
      <c r="Q683" s="17">
        <v>0.11</v>
      </c>
      <c r="R683" s="12">
        <v>118900</v>
      </c>
      <c r="S683">
        <v>1</v>
      </c>
      <c r="T683" s="12">
        <v>82000</v>
      </c>
      <c r="U683" s="12">
        <f t="shared" si="36"/>
        <v>42000</v>
      </c>
      <c r="V683">
        <v>1</v>
      </c>
      <c r="W683" s="12">
        <v>135295</v>
      </c>
      <c r="X683">
        <v>1</v>
      </c>
      <c r="Y683">
        <v>1</v>
      </c>
      <c r="Z683" s="17">
        <v>0.17716799170737768</v>
      </c>
      <c r="AA683" t="str">
        <f t="shared" si="33"/>
        <v>2-MT</v>
      </c>
      <c r="AB683" s="9">
        <f t="shared" si="34"/>
        <v>440000</v>
      </c>
      <c r="AC683" s="9">
        <f t="shared" si="35"/>
        <v>708671.96682951075</v>
      </c>
    </row>
    <row r="684" spans="1:29" x14ac:dyDescent="0.25">
      <c r="A684" t="s">
        <v>272</v>
      </c>
      <c r="B684">
        <v>30008</v>
      </c>
      <c r="C684" s="8">
        <v>45643</v>
      </c>
      <c r="D684" s="9">
        <v>31151006</v>
      </c>
      <c r="E684" s="14">
        <v>2</v>
      </c>
      <c r="F684" t="s">
        <v>519</v>
      </c>
      <c r="G684" s="14">
        <v>6</v>
      </c>
      <c r="H684" t="s">
        <v>31</v>
      </c>
      <c r="I684" t="s">
        <v>291</v>
      </c>
      <c r="J684" s="21"/>
      <c r="K684"/>
      <c r="L684" t="s">
        <v>520</v>
      </c>
      <c r="M684" s="12">
        <v>3000000</v>
      </c>
      <c r="N684" s="14">
        <v>36</v>
      </c>
      <c r="O684" s="14">
        <v>0</v>
      </c>
      <c r="P684" s="14">
        <v>1</v>
      </c>
      <c r="Q684" s="17">
        <v>0.13</v>
      </c>
      <c r="R684" s="12">
        <v>59450</v>
      </c>
      <c r="S684">
        <v>1</v>
      </c>
      <c r="T684" s="12">
        <v>64000</v>
      </c>
      <c r="U684" s="12">
        <f t="shared" si="36"/>
        <v>31500.000000000004</v>
      </c>
      <c r="V684">
        <v>1</v>
      </c>
      <c r="W684" s="12">
        <v>104950</v>
      </c>
      <c r="X684">
        <v>1</v>
      </c>
      <c r="Y684">
        <v>1</v>
      </c>
      <c r="Z684" s="17">
        <v>0.19459251270868302</v>
      </c>
      <c r="AA684" t="str">
        <f t="shared" si="33"/>
        <v>2-MT</v>
      </c>
      <c r="AB684" s="9">
        <f t="shared" si="34"/>
        <v>390000</v>
      </c>
      <c r="AC684" s="9">
        <f t="shared" si="35"/>
        <v>583777.5381260491</v>
      </c>
    </row>
    <row r="685" spans="1:29" x14ac:dyDescent="0.25">
      <c r="A685" t="s">
        <v>272</v>
      </c>
      <c r="B685">
        <v>30008</v>
      </c>
      <c r="C685" s="8">
        <v>45644</v>
      </c>
      <c r="D685" s="9">
        <v>31151006</v>
      </c>
      <c r="E685" s="14">
        <v>2</v>
      </c>
      <c r="F685" t="s">
        <v>521</v>
      </c>
      <c r="G685" s="14">
        <v>6</v>
      </c>
      <c r="H685" t="s">
        <v>31</v>
      </c>
      <c r="I685" t="s">
        <v>285</v>
      </c>
      <c r="J685" s="21"/>
      <c r="K685"/>
      <c r="L685" t="s">
        <v>301</v>
      </c>
      <c r="M685" s="12">
        <v>5100000</v>
      </c>
      <c r="N685" s="14">
        <v>36</v>
      </c>
      <c r="O685" s="14">
        <v>0</v>
      </c>
      <c r="P685" s="14">
        <v>1</v>
      </c>
      <c r="Q685" s="17">
        <v>0.11</v>
      </c>
      <c r="R685" s="12">
        <v>178350</v>
      </c>
      <c r="S685">
        <v>1</v>
      </c>
      <c r="T685" s="12">
        <v>101800</v>
      </c>
      <c r="U685" s="12">
        <f t="shared" si="36"/>
        <v>53550</v>
      </c>
      <c r="V685">
        <v>1</v>
      </c>
      <c r="W685" s="12">
        <v>162020</v>
      </c>
      <c r="X685">
        <v>1</v>
      </c>
      <c r="Y685">
        <v>1</v>
      </c>
      <c r="Z685" s="17">
        <v>0.13618898891881975</v>
      </c>
      <c r="AA685" t="str">
        <f t="shared" si="33"/>
        <v>2-MT</v>
      </c>
      <c r="AB685" s="9">
        <f t="shared" si="34"/>
        <v>561000</v>
      </c>
      <c r="AC685" s="9">
        <f t="shared" si="35"/>
        <v>694563.84348598076</v>
      </c>
    </row>
    <row r="686" spans="1:29" x14ac:dyDescent="0.25">
      <c r="A686" t="s">
        <v>272</v>
      </c>
      <c r="B686">
        <v>30008</v>
      </c>
      <c r="C686" s="8">
        <v>45645</v>
      </c>
      <c r="D686" s="9">
        <v>31131005</v>
      </c>
      <c r="E686" s="14">
        <v>5</v>
      </c>
      <c r="F686" t="s">
        <v>522</v>
      </c>
      <c r="G686" s="14">
        <v>32</v>
      </c>
      <c r="H686" t="s">
        <v>31</v>
      </c>
      <c r="I686" t="s">
        <v>523</v>
      </c>
      <c r="J686" s="21">
        <v>217769075</v>
      </c>
      <c r="K686">
        <v>13</v>
      </c>
      <c r="M686" s="12">
        <v>55000000</v>
      </c>
      <c r="N686" s="14">
        <v>32</v>
      </c>
      <c r="O686" s="14">
        <v>4</v>
      </c>
      <c r="P686" s="14">
        <v>1</v>
      </c>
      <c r="Q686" s="17">
        <v>0.12</v>
      </c>
      <c r="R686" s="12">
        <v>475600</v>
      </c>
      <c r="S686">
        <v>1</v>
      </c>
      <c r="U686" s="12">
        <f t="shared" si="36"/>
        <v>577500</v>
      </c>
      <c r="V686">
        <v>1</v>
      </c>
      <c r="W686" s="12">
        <v>2081091</v>
      </c>
      <c r="X686">
        <v>1</v>
      </c>
      <c r="Y686">
        <v>1</v>
      </c>
      <c r="Z686" s="17">
        <v>0.15964292248700465</v>
      </c>
      <c r="AA686" t="str">
        <f t="shared" si="33"/>
        <v>2-MT</v>
      </c>
      <c r="AB686" s="9">
        <f t="shared" si="34"/>
        <v>6600000</v>
      </c>
      <c r="AC686" s="9">
        <f t="shared" si="35"/>
        <v>8780360.7367852554</v>
      </c>
    </row>
    <row r="687" spans="1:29" x14ac:dyDescent="0.25">
      <c r="A687" t="s">
        <v>272</v>
      </c>
      <c r="B687">
        <v>30008</v>
      </c>
      <c r="C687" s="8">
        <v>45649</v>
      </c>
      <c r="D687" s="9">
        <v>31151006</v>
      </c>
      <c r="E687" s="14">
        <v>2</v>
      </c>
      <c r="F687" t="s">
        <v>524</v>
      </c>
      <c r="G687" s="14">
        <v>6</v>
      </c>
      <c r="H687" t="s">
        <v>31</v>
      </c>
      <c r="I687" t="s">
        <v>287</v>
      </c>
      <c r="J687" s="21"/>
      <c r="K687"/>
      <c r="L687" t="s">
        <v>276</v>
      </c>
      <c r="M687" s="12">
        <v>33500000</v>
      </c>
      <c r="N687" s="14">
        <v>48</v>
      </c>
      <c r="O687" s="14">
        <v>0</v>
      </c>
      <c r="P687" s="14">
        <v>1</v>
      </c>
      <c r="Q687" s="17">
        <v>0.09</v>
      </c>
      <c r="R687" s="12">
        <v>594500</v>
      </c>
      <c r="S687">
        <v>1</v>
      </c>
      <c r="T687" s="12">
        <v>854000</v>
      </c>
      <c r="U687" s="12">
        <f t="shared" si="36"/>
        <v>351750</v>
      </c>
      <c r="V687">
        <v>1</v>
      </c>
      <c r="W687" s="12">
        <v>863210</v>
      </c>
      <c r="X687">
        <v>1</v>
      </c>
      <c r="Y687">
        <v>1</v>
      </c>
      <c r="Z687" s="17">
        <v>0.13809105119087295</v>
      </c>
      <c r="AA687" t="str">
        <f t="shared" si="33"/>
        <v>2-MT</v>
      </c>
      <c r="AB687" s="9">
        <f t="shared" si="34"/>
        <v>3015000</v>
      </c>
      <c r="AC687" s="9">
        <f t="shared" si="35"/>
        <v>4626050.2148942435</v>
      </c>
    </row>
    <row r="688" spans="1:29" x14ac:dyDescent="0.25">
      <c r="A688" t="s">
        <v>272</v>
      </c>
      <c r="B688">
        <v>30008</v>
      </c>
      <c r="C688" s="8">
        <v>45653</v>
      </c>
      <c r="D688" s="9">
        <v>31151006</v>
      </c>
      <c r="E688" s="14">
        <v>2</v>
      </c>
      <c r="F688" t="s">
        <v>525</v>
      </c>
      <c r="G688" s="14">
        <v>6</v>
      </c>
      <c r="H688" t="s">
        <v>31</v>
      </c>
      <c r="I688" t="s">
        <v>291</v>
      </c>
      <c r="J688" s="21"/>
      <c r="K688"/>
      <c r="L688" t="s">
        <v>276</v>
      </c>
      <c r="M688" s="12">
        <v>3800000</v>
      </c>
      <c r="N688" s="14">
        <v>36</v>
      </c>
      <c r="O688" s="14">
        <v>0</v>
      </c>
      <c r="P688" s="14">
        <v>1</v>
      </c>
      <c r="Q688" s="17">
        <v>0.12</v>
      </c>
      <c r="R688" s="12">
        <v>148625</v>
      </c>
      <c r="S688">
        <v>1</v>
      </c>
      <c r="T688" s="12">
        <v>78400</v>
      </c>
      <c r="U688" s="12">
        <f t="shared" si="36"/>
        <v>39900</v>
      </c>
      <c r="V688">
        <v>1</v>
      </c>
      <c r="W688" s="12">
        <v>130719</v>
      </c>
      <c r="X688">
        <v>1</v>
      </c>
      <c r="Y688">
        <v>1</v>
      </c>
      <c r="Z688" s="17">
        <v>0.19675893549632351</v>
      </c>
      <c r="AA688" t="str">
        <f t="shared" si="33"/>
        <v>2-MT</v>
      </c>
      <c r="AB688" s="9">
        <f t="shared" si="34"/>
        <v>456000</v>
      </c>
      <c r="AC688" s="9">
        <f t="shared" si="35"/>
        <v>747683.95488602936</v>
      </c>
    </row>
    <row r="689" spans="1:29" x14ac:dyDescent="0.25">
      <c r="A689" t="s">
        <v>272</v>
      </c>
      <c r="B689">
        <v>30008</v>
      </c>
      <c r="C689" s="8">
        <v>45653</v>
      </c>
      <c r="D689" s="9">
        <v>31172104</v>
      </c>
      <c r="E689" s="14">
        <v>9</v>
      </c>
      <c r="F689" t="s">
        <v>526</v>
      </c>
      <c r="G689" s="11" t="s">
        <v>205</v>
      </c>
      <c r="H689" t="s">
        <v>31</v>
      </c>
      <c r="I689" t="s">
        <v>527</v>
      </c>
      <c r="J689" s="21">
        <v>1276225376</v>
      </c>
      <c r="K689">
        <v>30</v>
      </c>
      <c r="M689" s="12">
        <v>885000000</v>
      </c>
      <c r="N689" s="14">
        <v>36</v>
      </c>
      <c r="O689" s="14">
        <v>0</v>
      </c>
      <c r="P689" s="14">
        <v>1</v>
      </c>
      <c r="Q689" s="17">
        <v>0.08</v>
      </c>
      <c r="R689" s="12">
        <v>3091400</v>
      </c>
      <c r="S689">
        <v>1</v>
      </c>
      <c r="U689" s="12">
        <f t="shared" si="36"/>
        <v>9292500</v>
      </c>
      <c r="V689">
        <v>1</v>
      </c>
      <c r="W689" s="12">
        <v>28410900</v>
      </c>
      <c r="X689">
        <v>1</v>
      </c>
      <c r="Y689">
        <v>1</v>
      </c>
      <c r="Z689" s="17">
        <v>0.10618405242326487</v>
      </c>
      <c r="AA689" t="str">
        <f t="shared" si="33"/>
        <v>2-MT</v>
      </c>
      <c r="AB689" s="9">
        <f t="shared" si="34"/>
        <v>70800000</v>
      </c>
      <c r="AC689" s="9">
        <f t="shared" si="35"/>
        <v>93972886.394589409</v>
      </c>
    </row>
    <row r="690" spans="1:29" x14ac:dyDescent="0.25">
      <c r="A690" t="s">
        <v>272</v>
      </c>
      <c r="B690">
        <v>30008</v>
      </c>
      <c r="C690" s="8">
        <v>45653</v>
      </c>
      <c r="D690" s="9">
        <v>32131004</v>
      </c>
      <c r="E690" s="14">
        <v>5</v>
      </c>
      <c r="F690" t="s">
        <v>528</v>
      </c>
      <c r="G690" s="11" t="s">
        <v>201</v>
      </c>
      <c r="H690" t="s">
        <v>31</v>
      </c>
      <c r="I690" t="s">
        <v>427</v>
      </c>
      <c r="J690" s="21">
        <v>59089642562</v>
      </c>
      <c r="K690">
        <v>90</v>
      </c>
      <c r="M690" s="12">
        <v>350000000</v>
      </c>
      <c r="N690" s="14">
        <v>18</v>
      </c>
      <c r="O690" s="14">
        <v>0</v>
      </c>
      <c r="P690" s="14">
        <v>1</v>
      </c>
      <c r="Q690" s="17">
        <v>7.4999999999999997E-2</v>
      </c>
      <c r="R690" s="12">
        <v>7015100</v>
      </c>
      <c r="S690">
        <v>1</v>
      </c>
      <c r="U690" s="12">
        <f t="shared" si="36"/>
        <v>3675000</v>
      </c>
      <c r="V690">
        <v>1</v>
      </c>
      <c r="W690" s="12">
        <v>20869800</v>
      </c>
      <c r="X690">
        <v>1</v>
      </c>
      <c r="Y690">
        <v>1</v>
      </c>
      <c r="Z690" s="17">
        <v>0.13126447380227746</v>
      </c>
      <c r="AA690" t="str">
        <f t="shared" si="33"/>
        <v>1-CT</v>
      </c>
      <c r="AB690" s="9">
        <f t="shared" si="34"/>
        <v>26250000</v>
      </c>
      <c r="AC690" s="9">
        <f t="shared" si="35"/>
        <v>45942565.830797113</v>
      </c>
    </row>
    <row r="691" spans="1:29" x14ac:dyDescent="0.25">
      <c r="A691" t="s">
        <v>272</v>
      </c>
      <c r="B691">
        <v>30008</v>
      </c>
      <c r="C691" s="8">
        <v>45656</v>
      </c>
      <c r="D691" s="9">
        <v>31151006</v>
      </c>
      <c r="E691" s="14">
        <v>2</v>
      </c>
      <c r="F691" t="s">
        <v>529</v>
      </c>
      <c r="G691" s="14">
        <v>6</v>
      </c>
      <c r="H691" t="s">
        <v>31</v>
      </c>
      <c r="I691" t="s">
        <v>291</v>
      </c>
      <c r="J691" s="21"/>
      <c r="K691"/>
      <c r="L691" t="s">
        <v>276</v>
      </c>
      <c r="M691" s="12">
        <v>2500000</v>
      </c>
      <c r="N691" s="14">
        <v>36</v>
      </c>
      <c r="O691" s="14">
        <v>0</v>
      </c>
      <c r="P691" s="14">
        <v>1</v>
      </c>
      <c r="Q691" s="17">
        <v>0.12</v>
      </c>
      <c r="R691" s="12">
        <v>83230</v>
      </c>
      <c r="S691">
        <v>1</v>
      </c>
      <c r="T691" s="12">
        <v>55000</v>
      </c>
      <c r="U691" s="12">
        <f t="shared" si="36"/>
        <v>26250</v>
      </c>
      <c r="V691">
        <v>1</v>
      </c>
      <c r="W691" s="12">
        <v>86004</v>
      </c>
      <c r="X691">
        <v>1</v>
      </c>
      <c r="Y691">
        <v>1</v>
      </c>
      <c r="Z691" s="17">
        <v>0.19332497734295603</v>
      </c>
      <c r="AA691" t="str">
        <f t="shared" si="33"/>
        <v>2-MT</v>
      </c>
      <c r="AB691" s="9">
        <f t="shared" si="34"/>
        <v>300000</v>
      </c>
      <c r="AC691" s="9">
        <f t="shared" si="35"/>
        <v>483312.44335739006</v>
      </c>
    </row>
    <row r="692" spans="1:29" x14ac:dyDescent="0.25">
      <c r="A692" t="s">
        <v>272</v>
      </c>
      <c r="B692">
        <v>30008</v>
      </c>
      <c r="C692" s="8">
        <v>45656</v>
      </c>
      <c r="D692" s="9">
        <v>31151006</v>
      </c>
      <c r="E692" s="14">
        <v>2</v>
      </c>
      <c r="F692" t="s">
        <v>530</v>
      </c>
      <c r="G692" s="14">
        <v>6</v>
      </c>
      <c r="H692" t="s">
        <v>31</v>
      </c>
      <c r="I692" t="s">
        <v>372</v>
      </c>
      <c r="J692" s="21"/>
      <c r="K692"/>
      <c r="L692" t="s">
        <v>276</v>
      </c>
      <c r="M692" s="12">
        <v>2000000</v>
      </c>
      <c r="N692" s="14">
        <v>36</v>
      </c>
      <c r="O692" s="14">
        <v>0</v>
      </c>
      <c r="P692" s="14">
        <v>1</v>
      </c>
      <c r="Q692" s="17">
        <v>0.12</v>
      </c>
      <c r="R692" s="12">
        <v>71340</v>
      </c>
      <c r="S692">
        <v>1</v>
      </c>
      <c r="T692" s="12">
        <v>46500</v>
      </c>
      <c r="U692" s="12">
        <f t="shared" si="36"/>
        <v>21000</v>
      </c>
      <c r="V692">
        <v>1</v>
      </c>
      <c r="W692" s="12">
        <v>68787</v>
      </c>
      <c r="X692">
        <v>1</v>
      </c>
      <c r="Y692">
        <v>1</v>
      </c>
      <c r="Z692" s="17">
        <v>0.19598270943948065</v>
      </c>
      <c r="AA692" t="str">
        <f t="shared" si="33"/>
        <v>2-MT</v>
      </c>
      <c r="AB692" s="9">
        <f t="shared" si="34"/>
        <v>240000</v>
      </c>
      <c r="AC692" s="9">
        <f t="shared" si="35"/>
        <v>391965.4188789613</v>
      </c>
    </row>
    <row r="693" spans="1:29" x14ac:dyDescent="0.25">
      <c r="A693" t="s">
        <v>272</v>
      </c>
      <c r="B693">
        <v>30008</v>
      </c>
      <c r="C693" s="8">
        <v>45656</v>
      </c>
      <c r="D693" s="9">
        <v>32161006</v>
      </c>
      <c r="E693" s="14">
        <v>2</v>
      </c>
      <c r="F693" t="s">
        <v>531</v>
      </c>
      <c r="G693" s="14">
        <v>6</v>
      </c>
      <c r="H693" t="s">
        <v>31</v>
      </c>
      <c r="I693" t="s">
        <v>275</v>
      </c>
      <c r="J693" s="21"/>
      <c r="K693"/>
      <c r="L693" t="s">
        <v>276</v>
      </c>
      <c r="M693" s="12">
        <v>1400000</v>
      </c>
      <c r="N693" s="14">
        <v>24</v>
      </c>
      <c r="O693" s="14">
        <v>0</v>
      </c>
      <c r="P693" s="14">
        <v>1</v>
      </c>
      <c r="Q693" s="17">
        <v>0.12</v>
      </c>
      <c r="R693" s="12">
        <v>59450</v>
      </c>
      <c r="S693">
        <v>1</v>
      </c>
      <c r="T693" s="12">
        <v>26800</v>
      </c>
      <c r="U693" s="12">
        <f t="shared" si="36"/>
        <v>14700.000000000002</v>
      </c>
      <c r="V693">
        <v>1</v>
      </c>
      <c r="W693" s="12">
        <v>67521</v>
      </c>
      <c r="X693">
        <v>1</v>
      </c>
      <c r="Y693">
        <v>1</v>
      </c>
      <c r="Z693" s="17">
        <v>0.22200487015706383</v>
      </c>
      <c r="AA693" t="str">
        <f t="shared" si="33"/>
        <v>1-CT</v>
      </c>
      <c r="AB693" s="9">
        <f t="shared" si="34"/>
        <v>168000</v>
      </c>
      <c r="AC693" s="9">
        <f t="shared" si="35"/>
        <v>310806.81821988936</v>
      </c>
    </row>
    <row r="694" spans="1:29" x14ac:dyDescent="0.25">
      <c r="A694" t="s">
        <v>272</v>
      </c>
      <c r="B694">
        <v>30008</v>
      </c>
      <c r="C694" s="8">
        <v>45656</v>
      </c>
      <c r="D694" s="9">
        <v>32161006</v>
      </c>
      <c r="E694" s="14">
        <v>2</v>
      </c>
      <c r="F694" t="s">
        <v>532</v>
      </c>
      <c r="G694" s="14">
        <v>6</v>
      </c>
      <c r="H694" t="s">
        <v>31</v>
      </c>
      <c r="I694" t="s">
        <v>287</v>
      </c>
      <c r="J694" s="21"/>
      <c r="K694"/>
      <c r="L694" t="s">
        <v>276</v>
      </c>
      <c r="M694" s="12">
        <v>3000000</v>
      </c>
      <c r="N694" s="14">
        <v>24</v>
      </c>
      <c r="O694" s="14">
        <v>0</v>
      </c>
      <c r="P694" s="14">
        <v>1</v>
      </c>
      <c r="Q694" s="17">
        <v>0.12</v>
      </c>
      <c r="R694" s="12">
        <v>95120</v>
      </c>
      <c r="S694">
        <v>1</v>
      </c>
      <c r="T694" s="12">
        <v>46000</v>
      </c>
      <c r="U694" s="12">
        <f t="shared" si="36"/>
        <v>31500.000000000004</v>
      </c>
      <c r="V694">
        <v>1</v>
      </c>
      <c r="W694" s="12">
        <v>144655</v>
      </c>
      <c r="X694">
        <v>1</v>
      </c>
      <c r="Y694">
        <v>1</v>
      </c>
      <c r="Z694" s="17">
        <v>0.2054452327524563</v>
      </c>
      <c r="AA694" t="str">
        <f t="shared" si="33"/>
        <v>1-CT</v>
      </c>
      <c r="AB694" s="9">
        <f t="shared" si="34"/>
        <v>360000</v>
      </c>
      <c r="AC694" s="9">
        <f t="shared" si="35"/>
        <v>616335.69825736887</v>
      </c>
    </row>
    <row r="695" spans="1:29" x14ac:dyDescent="0.25">
      <c r="A695" t="s">
        <v>272</v>
      </c>
      <c r="B695">
        <v>30008</v>
      </c>
      <c r="C695" s="8">
        <v>45656</v>
      </c>
      <c r="D695" s="9">
        <v>32161006</v>
      </c>
      <c r="E695" s="14">
        <v>2</v>
      </c>
      <c r="F695" t="s">
        <v>533</v>
      </c>
      <c r="G695" s="14">
        <v>6</v>
      </c>
      <c r="H695" t="s">
        <v>31</v>
      </c>
      <c r="I695" t="s">
        <v>358</v>
      </c>
      <c r="J695" s="21"/>
      <c r="K695"/>
      <c r="L695" t="s">
        <v>301</v>
      </c>
      <c r="M695" s="12">
        <v>1200000</v>
      </c>
      <c r="N695" s="14">
        <v>24</v>
      </c>
      <c r="O695" s="14">
        <v>0</v>
      </c>
      <c r="P695" s="14">
        <v>1</v>
      </c>
      <c r="Q695" s="17">
        <v>0.11</v>
      </c>
      <c r="R695" s="12">
        <v>59450</v>
      </c>
      <c r="S695">
        <v>1</v>
      </c>
      <c r="T695" s="12">
        <v>24400</v>
      </c>
      <c r="U695" s="12">
        <f t="shared" si="36"/>
        <v>12600</v>
      </c>
      <c r="V695">
        <v>1</v>
      </c>
      <c r="W695" s="12">
        <v>57189</v>
      </c>
      <c r="X695">
        <v>1</v>
      </c>
      <c r="Y695">
        <v>1</v>
      </c>
      <c r="Z695" s="17">
        <v>0.21887779979465605</v>
      </c>
      <c r="AA695" t="str">
        <f t="shared" si="33"/>
        <v>1-CT</v>
      </c>
      <c r="AB695" s="9">
        <f t="shared" si="34"/>
        <v>132000</v>
      </c>
      <c r="AC695" s="9">
        <f t="shared" si="35"/>
        <v>262653.35975358728</v>
      </c>
    </row>
    <row r="696" spans="1:29" x14ac:dyDescent="0.25">
      <c r="A696" t="s">
        <v>272</v>
      </c>
      <c r="B696">
        <v>30008</v>
      </c>
      <c r="C696" s="8">
        <v>45656</v>
      </c>
      <c r="D696" s="9">
        <v>31151006</v>
      </c>
      <c r="E696" s="14">
        <v>2</v>
      </c>
      <c r="F696" t="s">
        <v>534</v>
      </c>
      <c r="G696" s="14">
        <v>6</v>
      </c>
      <c r="H696" t="s">
        <v>31</v>
      </c>
      <c r="I696" t="s">
        <v>374</v>
      </c>
      <c r="J696" s="21"/>
      <c r="K696"/>
      <c r="L696" t="s">
        <v>295</v>
      </c>
      <c r="M696" s="12">
        <v>20000000</v>
      </c>
      <c r="N696" s="14">
        <v>30</v>
      </c>
      <c r="O696" s="14">
        <v>0</v>
      </c>
      <c r="P696" s="14">
        <v>1</v>
      </c>
      <c r="Q696" s="17">
        <v>0.1</v>
      </c>
      <c r="R696" s="12">
        <v>416150</v>
      </c>
      <c r="S696">
        <v>1</v>
      </c>
      <c r="T696" s="12">
        <v>326000</v>
      </c>
      <c r="U696" s="12">
        <f t="shared" si="36"/>
        <v>210000</v>
      </c>
      <c r="V696">
        <v>1</v>
      </c>
      <c r="W696" s="12">
        <v>775426</v>
      </c>
      <c r="X696">
        <v>1</v>
      </c>
      <c r="Y696">
        <v>1</v>
      </c>
      <c r="Z696" s="17">
        <v>0.16097428839126673</v>
      </c>
      <c r="AA696" t="str">
        <f t="shared" si="33"/>
        <v>2-MT</v>
      </c>
      <c r="AB696" s="9">
        <f t="shared" si="34"/>
        <v>2000000</v>
      </c>
      <c r="AC696" s="9">
        <f t="shared" si="35"/>
        <v>3219485.7678253348</v>
      </c>
    </row>
    <row r="697" spans="1:29" x14ac:dyDescent="0.25">
      <c r="A697" t="s">
        <v>272</v>
      </c>
      <c r="B697">
        <v>30008</v>
      </c>
      <c r="C697" s="8">
        <v>45656</v>
      </c>
      <c r="D697" s="9">
        <v>31151006</v>
      </c>
      <c r="E697" s="14">
        <v>2</v>
      </c>
      <c r="F697" t="s">
        <v>535</v>
      </c>
      <c r="G697" s="14">
        <v>6</v>
      </c>
      <c r="H697" t="s">
        <v>31</v>
      </c>
      <c r="I697" t="s">
        <v>291</v>
      </c>
      <c r="J697" s="21"/>
      <c r="K697"/>
      <c r="L697" t="s">
        <v>276</v>
      </c>
      <c r="M697" s="12">
        <v>3500000</v>
      </c>
      <c r="N697" s="14">
        <v>36</v>
      </c>
      <c r="O697" s="14">
        <v>0</v>
      </c>
      <c r="P697" s="14">
        <v>1</v>
      </c>
      <c r="Q697" s="17">
        <v>0.12</v>
      </c>
      <c r="R697" s="12">
        <v>118900</v>
      </c>
      <c r="S697">
        <v>1</v>
      </c>
      <c r="T697" s="12">
        <v>73000</v>
      </c>
      <c r="U697" s="12">
        <f t="shared" si="36"/>
        <v>36750</v>
      </c>
      <c r="V697">
        <v>1</v>
      </c>
      <c r="W697" s="12">
        <v>120380</v>
      </c>
      <c r="X697">
        <v>1</v>
      </c>
      <c r="Y697">
        <v>1</v>
      </c>
      <c r="Z697" s="17">
        <v>0.19281030626284251</v>
      </c>
      <c r="AA697" t="str">
        <f t="shared" si="33"/>
        <v>2-MT</v>
      </c>
      <c r="AB697" s="9">
        <f t="shared" si="34"/>
        <v>420000</v>
      </c>
      <c r="AC697" s="9">
        <f t="shared" si="35"/>
        <v>674836.07191994879</v>
      </c>
    </row>
    <row r="698" spans="1:29" x14ac:dyDescent="0.25">
      <c r="A698" t="s">
        <v>272</v>
      </c>
      <c r="B698">
        <v>30008</v>
      </c>
      <c r="C698" s="8">
        <v>45657</v>
      </c>
      <c r="D698" s="9">
        <v>32161006</v>
      </c>
      <c r="E698" s="14">
        <v>2</v>
      </c>
      <c r="F698" t="s">
        <v>536</v>
      </c>
      <c r="G698" s="14">
        <v>6</v>
      </c>
      <c r="H698" t="s">
        <v>31</v>
      </c>
      <c r="I698" t="s">
        <v>372</v>
      </c>
      <c r="J698" s="21"/>
      <c r="K698"/>
      <c r="L698" t="s">
        <v>276</v>
      </c>
      <c r="M698" s="12">
        <v>1300000</v>
      </c>
      <c r="N698" s="14">
        <v>24</v>
      </c>
      <c r="O698" s="14">
        <v>0</v>
      </c>
      <c r="P698" s="14">
        <v>1</v>
      </c>
      <c r="Q698" s="17">
        <v>0.12</v>
      </c>
      <c r="R698" s="12">
        <v>59450</v>
      </c>
      <c r="S698">
        <v>1</v>
      </c>
      <c r="T698" s="12">
        <v>25600</v>
      </c>
      <c r="U698" s="12">
        <f t="shared" si="36"/>
        <v>13650</v>
      </c>
      <c r="V698">
        <v>1</v>
      </c>
      <c r="W698" s="12">
        <v>62700</v>
      </c>
      <c r="X698">
        <v>1</v>
      </c>
      <c r="Y698">
        <v>1</v>
      </c>
      <c r="Z698" s="17">
        <v>0.22637396825481504</v>
      </c>
      <c r="AA698" t="str">
        <f t="shared" si="33"/>
        <v>1-CT</v>
      </c>
      <c r="AB698" s="9">
        <f t="shared" si="34"/>
        <v>156000</v>
      </c>
      <c r="AC698" s="9">
        <f t="shared" si="35"/>
        <v>294286.15873125952</v>
      </c>
    </row>
    <row r="699" spans="1:29" x14ac:dyDescent="0.25">
      <c r="A699" t="s">
        <v>29</v>
      </c>
      <c r="B699">
        <v>30012</v>
      </c>
      <c r="C699" s="8">
        <v>45583</v>
      </c>
      <c r="D699" s="9">
        <v>321600</v>
      </c>
      <c r="E699" s="10">
        <v>9</v>
      </c>
      <c r="F699" t="s">
        <v>537</v>
      </c>
      <c r="G699" s="11">
        <v>6</v>
      </c>
      <c r="H699" t="s">
        <v>31</v>
      </c>
      <c r="J699" s="12">
        <v>0</v>
      </c>
      <c r="L699" t="s">
        <v>538</v>
      </c>
      <c r="M699" s="12">
        <v>468000</v>
      </c>
      <c r="N699" s="12">
        <v>11</v>
      </c>
      <c r="P699" s="14">
        <v>1</v>
      </c>
      <c r="Q699" s="15">
        <v>0.11</v>
      </c>
      <c r="R699" s="12">
        <v>25000</v>
      </c>
      <c r="S699" s="12">
        <v>1</v>
      </c>
      <c r="T699" s="12">
        <v>0</v>
      </c>
      <c r="U699" s="12">
        <v>19536.8</v>
      </c>
      <c r="V699" s="12">
        <v>1</v>
      </c>
      <c r="W699" s="12">
        <v>44921.03566220784</v>
      </c>
      <c r="X699">
        <v>1</v>
      </c>
      <c r="Y699">
        <v>1</v>
      </c>
      <c r="Z699" s="15">
        <v>0.31976714556374325</v>
      </c>
      <c r="AA699" t="str">
        <f t="shared" si="33"/>
        <v>1-CT</v>
      </c>
      <c r="AB699" s="9">
        <f t="shared" si="34"/>
        <v>51480</v>
      </c>
      <c r="AC699" s="9">
        <f t="shared" si="35"/>
        <v>149651.02412383183</v>
      </c>
    </row>
    <row r="700" spans="1:29" x14ac:dyDescent="0.25">
      <c r="A700" t="s">
        <v>29</v>
      </c>
      <c r="B700">
        <v>30012</v>
      </c>
      <c r="C700" s="8">
        <v>45574</v>
      </c>
      <c r="D700" s="9">
        <v>321600</v>
      </c>
      <c r="E700" s="10">
        <v>9</v>
      </c>
      <c r="F700" t="s">
        <v>539</v>
      </c>
      <c r="G700" s="11">
        <v>6</v>
      </c>
      <c r="H700" t="s">
        <v>31</v>
      </c>
      <c r="J700" s="12">
        <v>0</v>
      </c>
      <c r="L700" t="s">
        <v>34</v>
      </c>
      <c r="M700" s="12">
        <v>470000</v>
      </c>
      <c r="N700" s="12">
        <v>11</v>
      </c>
      <c r="P700" s="14">
        <v>1</v>
      </c>
      <c r="Q700" s="15">
        <v>0.11</v>
      </c>
      <c r="R700" s="12">
        <v>25000</v>
      </c>
      <c r="S700" s="12">
        <v>1</v>
      </c>
      <c r="T700" s="12">
        <v>0</v>
      </c>
      <c r="U700" s="12">
        <v>19572</v>
      </c>
      <c r="V700" s="12">
        <v>1</v>
      </c>
      <c r="W700" s="12">
        <v>45113.005900080519</v>
      </c>
      <c r="X700">
        <v>1</v>
      </c>
      <c r="Y700">
        <v>1</v>
      </c>
      <c r="Z700" s="15">
        <v>0.31898408629088748</v>
      </c>
      <c r="AA700" t="str">
        <f t="shared" si="33"/>
        <v>1-CT</v>
      </c>
      <c r="AB700" s="9">
        <f t="shared" si="34"/>
        <v>51700</v>
      </c>
      <c r="AC700" s="9">
        <f t="shared" si="35"/>
        <v>149922.52055671712</v>
      </c>
    </row>
    <row r="701" spans="1:29" x14ac:dyDescent="0.25">
      <c r="A701" t="s">
        <v>29</v>
      </c>
      <c r="B701">
        <v>30012</v>
      </c>
      <c r="C701" s="8">
        <v>45576</v>
      </c>
      <c r="D701" s="9">
        <v>321600</v>
      </c>
      <c r="E701" s="10">
        <v>9</v>
      </c>
      <c r="F701" t="s">
        <v>540</v>
      </c>
      <c r="G701" s="11">
        <v>6</v>
      </c>
      <c r="H701" t="s">
        <v>31</v>
      </c>
      <c r="J701" s="12">
        <v>0</v>
      </c>
      <c r="L701" t="s">
        <v>34</v>
      </c>
      <c r="M701" s="12">
        <v>470000</v>
      </c>
      <c r="N701" s="12">
        <v>11</v>
      </c>
      <c r="P701" s="14">
        <v>1</v>
      </c>
      <c r="Q701" s="15">
        <v>0.11</v>
      </c>
      <c r="R701" s="12">
        <v>25000</v>
      </c>
      <c r="S701" s="12">
        <v>1</v>
      </c>
      <c r="T701" s="12">
        <v>0</v>
      </c>
      <c r="U701" s="12">
        <v>19572</v>
      </c>
      <c r="V701" s="12">
        <v>1</v>
      </c>
      <c r="W701" s="12">
        <v>45113.005900080519</v>
      </c>
      <c r="X701">
        <v>1</v>
      </c>
      <c r="Y701">
        <v>1</v>
      </c>
      <c r="Z701" s="15">
        <v>0.31898408629088748</v>
      </c>
      <c r="AA701" t="str">
        <f t="shared" si="33"/>
        <v>1-CT</v>
      </c>
      <c r="AB701" s="9">
        <f t="shared" si="34"/>
        <v>51700</v>
      </c>
      <c r="AC701" s="9">
        <f t="shared" si="35"/>
        <v>149922.52055671712</v>
      </c>
    </row>
    <row r="702" spans="1:29" x14ac:dyDescent="0.25">
      <c r="A702" t="s">
        <v>29</v>
      </c>
      <c r="B702">
        <v>30012</v>
      </c>
      <c r="C702" s="8">
        <v>45645</v>
      </c>
      <c r="D702" s="9">
        <v>321620</v>
      </c>
      <c r="E702" s="10">
        <v>2</v>
      </c>
      <c r="F702" t="s">
        <v>541</v>
      </c>
      <c r="G702" s="11">
        <v>6</v>
      </c>
      <c r="H702" t="s">
        <v>31</v>
      </c>
      <c r="J702" s="12">
        <v>0</v>
      </c>
      <c r="L702" t="s">
        <v>38</v>
      </c>
      <c r="M702" s="12">
        <v>460000</v>
      </c>
      <c r="N702" s="12">
        <v>12</v>
      </c>
      <c r="P702" s="14">
        <v>1</v>
      </c>
      <c r="Q702" s="15">
        <v>0.11</v>
      </c>
      <c r="R702" s="12">
        <v>27500</v>
      </c>
      <c r="S702" s="12">
        <v>1</v>
      </c>
      <c r="T702" s="12">
        <v>0</v>
      </c>
      <c r="U702" s="12">
        <v>19396</v>
      </c>
      <c r="V702" s="12">
        <v>1</v>
      </c>
      <c r="W702" s="12">
        <v>40655.562919937853</v>
      </c>
      <c r="X702">
        <v>1</v>
      </c>
      <c r="Y702">
        <v>1</v>
      </c>
      <c r="Z702" s="15">
        <v>0.31881283764618423</v>
      </c>
      <c r="AA702" t="str">
        <f t="shared" si="33"/>
        <v>1-CT</v>
      </c>
      <c r="AB702" s="9">
        <f t="shared" si="34"/>
        <v>50600</v>
      </c>
      <c r="AC702" s="9">
        <f t="shared" si="35"/>
        <v>146653.90531724476</v>
      </c>
    </row>
    <row r="703" spans="1:29" x14ac:dyDescent="0.25">
      <c r="A703" t="s">
        <v>29</v>
      </c>
      <c r="B703">
        <v>30012</v>
      </c>
      <c r="C703" s="8">
        <v>45574</v>
      </c>
      <c r="D703" s="9">
        <v>321600</v>
      </c>
      <c r="E703" s="10">
        <v>9</v>
      </c>
      <c r="F703" t="s">
        <v>542</v>
      </c>
      <c r="G703" s="11">
        <v>6</v>
      </c>
      <c r="H703" t="s">
        <v>31</v>
      </c>
      <c r="J703" s="12">
        <v>0</v>
      </c>
      <c r="L703" t="s">
        <v>32</v>
      </c>
      <c r="M703" s="12">
        <v>665000</v>
      </c>
      <c r="N703" s="12">
        <v>11</v>
      </c>
      <c r="P703" s="14">
        <v>1</v>
      </c>
      <c r="Q703" s="15">
        <v>0.11</v>
      </c>
      <c r="R703" s="12">
        <v>40000</v>
      </c>
      <c r="S703" s="12">
        <v>1</v>
      </c>
      <c r="T703" s="12">
        <v>0</v>
      </c>
      <c r="U703" s="12">
        <v>23004</v>
      </c>
      <c r="V703" s="12">
        <v>1</v>
      </c>
      <c r="W703" s="12">
        <v>63830.104092667119</v>
      </c>
      <c r="X703">
        <v>1</v>
      </c>
      <c r="Y703">
        <v>1</v>
      </c>
      <c r="Z703" s="15">
        <v>0.31876782547751942</v>
      </c>
      <c r="AA703" t="str">
        <f t="shared" si="33"/>
        <v>1-CT</v>
      </c>
      <c r="AB703" s="9">
        <f t="shared" si="34"/>
        <v>73150</v>
      </c>
      <c r="AC703" s="9">
        <f t="shared" si="35"/>
        <v>211980.6039425504</v>
      </c>
    </row>
    <row r="704" spans="1:29" x14ac:dyDescent="0.25">
      <c r="A704" t="s">
        <v>29</v>
      </c>
      <c r="B704">
        <v>30012</v>
      </c>
      <c r="C704" s="8">
        <v>45652</v>
      </c>
      <c r="D704" s="9">
        <v>321620</v>
      </c>
      <c r="E704" s="10">
        <v>2</v>
      </c>
      <c r="F704" t="s">
        <v>543</v>
      </c>
      <c r="G704" s="11">
        <v>6</v>
      </c>
      <c r="H704" t="s">
        <v>31</v>
      </c>
      <c r="J704" s="12">
        <v>0</v>
      </c>
      <c r="L704" t="s">
        <v>36</v>
      </c>
      <c r="M704" s="12">
        <v>420000</v>
      </c>
      <c r="N704" s="12">
        <v>12</v>
      </c>
      <c r="P704" s="14">
        <v>1</v>
      </c>
      <c r="Q704" s="15">
        <v>0.105</v>
      </c>
      <c r="R704" s="12">
        <v>25000</v>
      </c>
      <c r="S704" s="12">
        <v>1</v>
      </c>
      <c r="T704" s="12">
        <v>0</v>
      </c>
      <c r="U704" s="12">
        <v>18692</v>
      </c>
      <c r="V704" s="12">
        <v>1</v>
      </c>
      <c r="W704" s="12">
        <v>37022.413215583321</v>
      </c>
      <c r="X704">
        <v>1</v>
      </c>
      <c r="Y704">
        <v>1</v>
      </c>
      <c r="Z704" s="15">
        <v>0.31817432808417723</v>
      </c>
      <c r="AA704" t="str">
        <f t="shared" si="33"/>
        <v>1-CT</v>
      </c>
      <c r="AB704" s="9">
        <f t="shared" si="34"/>
        <v>44100</v>
      </c>
      <c r="AC704" s="9">
        <f t="shared" si="35"/>
        <v>133633.21779535443</v>
      </c>
    </row>
    <row r="705" spans="1:29" x14ac:dyDescent="0.25">
      <c r="A705" t="s">
        <v>29</v>
      </c>
      <c r="B705">
        <v>30012</v>
      </c>
      <c r="C705" s="8">
        <v>45575</v>
      </c>
      <c r="D705" s="9">
        <v>321600</v>
      </c>
      <c r="E705" s="10">
        <v>9</v>
      </c>
      <c r="F705" t="s">
        <v>544</v>
      </c>
      <c r="G705" s="11">
        <v>6</v>
      </c>
      <c r="H705" t="s">
        <v>31</v>
      </c>
      <c r="J705" s="12">
        <v>0</v>
      </c>
      <c r="L705" t="s">
        <v>34</v>
      </c>
      <c r="M705" s="12">
        <v>670000</v>
      </c>
      <c r="N705" s="12">
        <v>11</v>
      </c>
      <c r="P705" s="14">
        <v>1</v>
      </c>
      <c r="Q705" s="15">
        <v>0.11</v>
      </c>
      <c r="R705" s="12">
        <v>40000</v>
      </c>
      <c r="S705" s="12">
        <v>1</v>
      </c>
      <c r="T705" s="12">
        <v>0</v>
      </c>
      <c r="U705" s="12">
        <v>23092</v>
      </c>
      <c r="V705" s="12">
        <v>1</v>
      </c>
      <c r="W705" s="12">
        <v>64310.029687348826</v>
      </c>
      <c r="X705">
        <v>1</v>
      </c>
      <c r="Y705">
        <v>1</v>
      </c>
      <c r="Z705" s="15">
        <v>0.3174032196005912</v>
      </c>
      <c r="AA705" t="str">
        <f t="shared" si="33"/>
        <v>1-CT</v>
      </c>
      <c r="AB705" s="9">
        <f t="shared" si="34"/>
        <v>73700</v>
      </c>
      <c r="AC705" s="9">
        <f t="shared" si="35"/>
        <v>212660.1571323961</v>
      </c>
    </row>
    <row r="706" spans="1:29" x14ac:dyDescent="0.25">
      <c r="A706" t="s">
        <v>29</v>
      </c>
      <c r="B706">
        <v>30012</v>
      </c>
      <c r="C706" s="8">
        <v>45581</v>
      </c>
      <c r="D706" s="9">
        <v>321600</v>
      </c>
      <c r="E706" s="10">
        <v>9</v>
      </c>
      <c r="F706" t="s">
        <v>545</v>
      </c>
      <c r="G706" s="11">
        <v>6</v>
      </c>
      <c r="H706" t="s">
        <v>31</v>
      </c>
      <c r="J706" s="12">
        <v>0</v>
      </c>
      <c r="L706" t="s">
        <v>36</v>
      </c>
      <c r="M706" s="12">
        <v>670000</v>
      </c>
      <c r="N706" s="12">
        <v>11</v>
      </c>
      <c r="P706" s="14">
        <v>1</v>
      </c>
      <c r="Q706" s="15">
        <v>0.11</v>
      </c>
      <c r="R706" s="12">
        <v>40000</v>
      </c>
      <c r="S706" s="12">
        <v>1</v>
      </c>
      <c r="T706" s="12">
        <v>0</v>
      </c>
      <c r="U706" s="12">
        <v>23092</v>
      </c>
      <c r="V706" s="12">
        <v>1</v>
      </c>
      <c r="W706" s="12">
        <v>64310.029687348826</v>
      </c>
      <c r="X706">
        <v>1</v>
      </c>
      <c r="Y706">
        <v>1</v>
      </c>
      <c r="Z706" s="15">
        <v>0.3174032196005912</v>
      </c>
      <c r="AA706" t="str">
        <f t="shared" si="33"/>
        <v>1-CT</v>
      </c>
      <c r="AB706" s="9">
        <f t="shared" si="34"/>
        <v>73700</v>
      </c>
      <c r="AC706" s="9">
        <f t="shared" si="35"/>
        <v>212660.1571323961</v>
      </c>
    </row>
    <row r="707" spans="1:29" x14ac:dyDescent="0.25">
      <c r="A707" t="s">
        <v>29</v>
      </c>
      <c r="B707">
        <v>30012</v>
      </c>
      <c r="C707" s="8">
        <v>45580</v>
      </c>
      <c r="D707" s="9">
        <v>321600</v>
      </c>
      <c r="E707" s="10">
        <v>9</v>
      </c>
      <c r="F707" t="s">
        <v>546</v>
      </c>
      <c r="G707" s="11">
        <v>6</v>
      </c>
      <c r="H707" t="s">
        <v>31</v>
      </c>
      <c r="J707" s="12">
        <v>0</v>
      </c>
      <c r="L707" t="s">
        <v>34</v>
      </c>
      <c r="M707" s="12">
        <v>670000</v>
      </c>
      <c r="N707" s="12">
        <v>11</v>
      </c>
      <c r="P707" s="14">
        <v>1</v>
      </c>
      <c r="Q707" s="15">
        <v>0.11</v>
      </c>
      <c r="R707" s="12">
        <v>40000</v>
      </c>
      <c r="S707" s="12">
        <v>1</v>
      </c>
      <c r="T707" s="12">
        <v>0</v>
      </c>
      <c r="U707" s="12">
        <v>23092</v>
      </c>
      <c r="V707" s="12">
        <v>1</v>
      </c>
      <c r="W707" s="12">
        <v>64310.029687348826</v>
      </c>
      <c r="X707">
        <v>1</v>
      </c>
      <c r="Y707">
        <v>1</v>
      </c>
      <c r="Z707" s="15">
        <v>0.3174032196005912</v>
      </c>
      <c r="AA707" t="str">
        <f t="shared" ref="AA707:AA770" si="37">IF(N707&lt;=24,"1-CT",IF(N707&gt;60,"3-LT","2-MT"))</f>
        <v>1-CT</v>
      </c>
      <c r="AB707" s="9">
        <f t="shared" ref="AB707:AB770" si="38">Q707*M707</f>
        <v>73700</v>
      </c>
      <c r="AC707" s="9">
        <f t="shared" ref="AC707:AC770" si="39">Z707*M707</f>
        <v>212660.1571323961</v>
      </c>
    </row>
    <row r="708" spans="1:29" x14ac:dyDescent="0.25">
      <c r="A708" t="s">
        <v>29</v>
      </c>
      <c r="B708">
        <v>30012</v>
      </c>
      <c r="C708" s="8">
        <v>45588</v>
      </c>
      <c r="D708" s="9">
        <v>321600</v>
      </c>
      <c r="E708" s="10">
        <v>9</v>
      </c>
      <c r="F708" t="s">
        <v>547</v>
      </c>
      <c r="G708" s="11">
        <v>6</v>
      </c>
      <c r="H708" t="s">
        <v>31</v>
      </c>
      <c r="J708" s="12">
        <v>0</v>
      </c>
      <c r="L708" t="s">
        <v>40</v>
      </c>
      <c r="M708" s="12">
        <v>670000</v>
      </c>
      <c r="N708" s="12">
        <v>11</v>
      </c>
      <c r="P708" s="14">
        <v>1</v>
      </c>
      <c r="Q708" s="15">
        <v>0.11</v>
      </c>
      <c r="R708" s="12">
        <v>40000</v>
      </c>
      <c r="S708" s="12">
        <v>1</v>
      </c>
      <c r="T708" s="12">
        <v>0</v>
      </c>
      <c r="U708" s="12">
        <v>23092</v>
      </c>
      <c r="V708" s="12">
        <v>1</v>
      </c>
      <c r="W708" s="12">
        <v>64310.029687348826</v>
      </c>
      <c r="X708">
        <v>1</v>
      </c>
      <c r="Y708">
        <v>1</v>
      </c>
      <c r="Z708" s="15">
        <v>0.3174032196005912</v>
      </c>
      <c r="AA708" t="str">
        <f t="shared" si="37"/>
        <v>1-CT</v>
      </c>
      <c r="AB708" s="9">
        <f t="shared" si="38"/>
        <v>73700</v>
      </c>
      <c r="AC708" s="9">
        <f t="shared" si="39"/>
        <v>212660.1571323961</v>
      </c>
    </row>
    <row r="709" spans="1:29" x14ac:dyDescent="0.25">
      <c r="A709" t="s">
        <v>29</v>
      </c>
      <c r="B709">
        <v>30012</v>
      </c>
      <c r="C709" s="8">
        <v>45582</v>
      </c>
      <c r="D709" s="9">
        <v>321600</v>
      </c>
      <c r="E709" s="10">
        <v>9</v>
      </c>
      <c r="F709" t="s">
        <v>548</v>
      </c>
      <c r="G709" s="11">
        <v>6</v>
      </c>
      <c r="H709" t="s">
        <v>31</v>
      </c>
      <c r="J709" s="12">
        <v>0</v>
      </c>
      <c r="L709" t="s">
        <v>32</v>
      </c>
      <c r="M709" s="12">
        <v>475000</v>
      </c>
      <c r="N709" s="12">
        <v>11</v>
      </c>
      <c r="P709" s="14">
        <v>1</v>
      </c>
      <c r="Q709" s="15">
        <v>0.11</v>
      </c>
      <c r="R709" s="12">
        <v>25000</v>
      </c>
      <c r="S709" s="12">
        <v>1</v>
      </c>
      <c r="T709" s="12">
        <v>0</v>
      </c>
      <c r="U709" s="12">
        <v>19660</v>
      </c>
      <c r="V709" s="12">
        <v>1</v>
      </c>
      <c r="W709" s="12">
        <v>45592.931494762226</v>
      </c>
      <c r="X709">
        <v>1</v>
      </c>
      <c r="Y709">
        <v>1</v>
      </c>
      <c r="Z709" s="15">
        <v>0.31705708477083644</v>
      </c>
      <c r="AA709" t="str">
        <f t="shared" si="37"/>
        <v>1-CT</v>
      </c>
      <c r="AB709" s="9">
        <f t="shared" si="38"/>
        <v>52250</v>
      </c>
      <c r="AC709" s="9">
        <f t="shared" si="39"/>
        <v>150602.1152661473</v>
      </c>
    </row>
    <row r="710" spans="1:29" x14ac:dyDescent="0.25">
      <c r="A710" t="s">
        <v>29</v>
      </c>
      <c r="B710">
        <v>30012</v>
      </c>
      <c r="C710" s="8">
        <v>45635</v>
      </c>
      <c r="D710" s="9">
        <v>321620</v>
      </c>
      <c r="E710" s="10">
        <v>2</v>
      </c>
      <c r="F710" t="s">
        <v>549</v>
      </c>
      <c r="G710" s="11">
        <v>6</v>
      </c>
      <c r="H710" t="s">
        <v>31</v>
      </c>
      <c r="J710" s="12">
        <v>0</v>
      </c>
      <c r="L710" t="s">
        <v>32</v>
      </c>
      <c r="M710" s="12">
        <v>435000</v>
      </c>
      <c r="N710" s="12">
        <v>12</v>
      </c>
      <c r="P710" s="14">
        <v>1</v>
      </c>
      <c r="Q710" s="15">
        <v>0.11</v>
      </c>
      <c r="R710" s="12">
        <v>25000</v>
      </c>
      <c r="S710" s="12">
        <v>1</v>
      </c>
      <c r="T710" s="12">
        <v>0</v>
      </c>
      <c r="U710" s="12">
        <v>18956</v>
      </c>
      <c r="V710" s="12">
        <v>1</v>
      </c>
      <c r="W710" s="12">
        <v>38446.021456897754</v>
      </c>
      <c r="X710">
        <v>1</v>
      </c>
      <c r="Y710">
        <v>1</v>
      </c>
      <c r="Z710" s="15">
        <v>0.31682024318423341</v>
      </c>
      <c r="AA710" t="str">
        <f t="shared" si="37"/>
        <v>1-CT</v>
      </c>
      <c r="AB710" s="9">
        <f t="shared" si="38"/>
        <v>47850</v>
      </c>
      <c r="AC710" s="9">
        <f t="shared" si="39"/>
        <v>137816.80578514154</v>
      </c>
    </row>
    <row r="711" spans="1:29" x14ac:dyDescent="0.25">
      <c r="A711" t="s">
        <v>29</v>
      </c>
      <c r="B711">
        <v>30012</v>
      </c>
      <c r="C711" s="8">
        <v>45628</v>
      </c>
      <c r="D711" s="9">
        <v>321620</v>
      </c>
      <c r="E711" s="10">
        <v>2</v>
      </c>
      <c r="F711" t="s">
        <v>550</v>
      </c>
      <c r="G711" s="11">
        <v>6</v>
      </c>
      <c r="H711" t="s">
        <v>31</v>
      </c>
      <c r="J711" s="12">
        <v>0</v>
      </c>
      <c r="L711" t="s">
        <v>34</v>
      </c>
      <c r="M711" s="12">
        <v>600000</v>
      </c>
      <c r="N711" s="12">
        <v>12</v>
      </c>
      <c r="P711" s="14">
        <v>1</v>
      </c>
      <c r="Q711" s="15">
        <v>0.105</v>
      </c>
      <c r="R711" s="12">
        <v>40000</v>
      </c>
      <c r="S711" s="12">
        <v>1</v>
      </c>
      <c r="T711" s="12">
        <v>0</v>
      </c>
      <c r="U711" s="12">
        <v>21860</v>
      </c>
      <c r="V711" s="12">
        <v>1</v>
      </c>
      <c r="W711" s="12">
        <v>52889.161736547605</v>
      </c>
      <c r="X711">
        <v>1</v>
      </c>
      <c r="Y711">
        <v>1</v>
      </c>
      <c r="Z711" s="15">
        <v>0.31611303608122443</v>
      </c>
      <c r="AA711" t="str">
        <f t="shared" si="37"/>
        <v>1-CT</v>
      </c>
      <c r="AB711" s="9">
        <f t="shared" si="38"/>
        <v>63000</v>
      </c>
      <c r="AC711" s="9">
        <f t="shared" si="39"/>
        <v>189667.82164873465</v>
      </c>
    </row>
    <row r="712" spans="1:29" x14ac:dyDescent="0.25">
      <c r="A712" t="s">
        <v>29</v>
      </c>
      <c r="B712">
        <v>30012</v>
      </c>
      <c r="C712" s="8">
        <v>45638</v>
      </c>
      <c r="D712" s="9">
        <v>321620</v>
      </c>
      <c r="E712" s="10">
        <v>2</v>
      </c>
      <c r="F712" t="s">
        <v>551</v>
      </c>
      <c r="G712" s="11">
        <v>6</v>
      </c>
      <c r="H712" t="s">
        <v>31</v>
      </c>
      <c r="J712" s="12">
        <v>0</v>
      </c>
      <c r="L712" t="s">
        <v>36</v>
      </c>
      <c r="M712" s="12">
        <v>425000</v>
      </c>
      <c r="N712" s="12">
        <v>12</v>
      </c>
      <c r="P712" s="14">
        <v>1</v>
      </c>
      <c r="Q712" s="15">
        <v>0.105</v>
      </c>
      <c r="R712" s="12">
        <v>25000</v>
      </c>
      <c r="S712" s="12">
        <v>1</v>
      </c>
      <c r="T712" s="12">
        <v>0</v>
      </c>
      <c r="U712" s="12">
        <v>18780</v>
      </c>
      <c r="V712" s="12">
        <v>1</v>
      </c>
      <c r="W712" s="12">
        <v>37463.156230054548</v>
      </c>
      <c r="X712">
        <v>1</v>
      </c>
      <c r="Y712">
        <v>1</v>
      </c>
      <c r="Z712" s="15">
        <v>0.31591733003190486</v>
      </c>
      <c r="AA712" t="str">
        <f t="shared" si="37"/>
        <v>1-CT</v>
      </c>
      <c r="AB712" s="9">
        <f t="shared" si="38"/>
        <v>44625</v>
      </c>
      <c r="AC712" s="9">
        <f t="shared" si="39"/>
        <v>134264.86526355956</v>
      </c>
    </row>
    <row r="713" spans="1:29" x14ac:dyDescent="0.25">
      <c r="A713" t="s">
        <v>29</v>
      </c>
      <c r="B713">
        <v>30012</v>
      </c>
      <c r="C713" s="8">
        <v>45568</v>
      </c>
      <c r="D713" s="9">
        <v>321600</v>
      </c>
      <c r="E713" s="10">
        <v>9</v>
      </c>
      <c r="F713" t="s">
        <v>552</v>
      </c>
      <c r="G713" s="11">
        <v>6</v>
      </c>
      <c r="H713" t="s">
        <v>31</v>
      </c>
      <c r="J713" s="12">
        <v>0</v>
      </c>
      <c r="L713" t="s">
        <v>32</v>
      </c>
      <c r="M713" s="12">
        <v>480000</v>
      </c>
      <c r="N713" s="12">
        <v>11</v>
      </c>
      <c r="P713" s="14">
        <v>1</v>
      </c>
      <c r="Q713" s="15">
        <v>0.11</v>
      </c>
      <c r="R713" s="12">
        <v>25000</v>
      </c>
      <c r="S713" s="12">
        <v>1</v>
      </c>
      <c r="T713" s="12">
        <v>0</v>
      </c>
      <c r="U713" s="12">
        <v>19748</v>
      </c>
      <c r="V713" s="12">
        <v>1</v>
      </c>
      <c r="W713" s="12">
        <v>46072.85708944394</v>
      </c>
      <c r="X713">
        <v>1</v>
      </c>
      <c r="Y713">
        <v>1</v>
      </c>
      <c r="Z713" s="15">
        <v>0.31517270152385352</v>
      </c>
      <c r="AA713" t="str">
        <f t="shared" si="37"/>
        <v>1-CT</v>
      </c>
      <c r="AB713" s="9">
        <f t="shared" si="38"/>
        <v>52800</v>
      </c>
      <c r="AC713" s="9">
        <f t="shared" si="39"/>
        <v>151282.8967314497</v>
      </c>
    </row>
    <row r="714" spans="1:29" x14ac:dyDescent="0.25">
      <c r="A714" t="s">
        <v>29</v>
      </c>
      <c r="B714">
        <v>30012</v>
      </c>
      <c r="C714" s="8">
        <v>45639</v>
      </c>
      <c r="D714" s="9">
        <v>321620</v>
      </c>
      <c r="E714" s="10">
        <v>2</v>
      </c>
      <c r="F714" t="s">
        <v>553</v>
      </c>
      <c r="G714" s="11">
        <v>6</v>
      </c>
      <c r="H714" t="s">
        <v>31</v>
      </c>
      <c r="J714" s="12">
        <v>0</v>
      </c>
      <c r="L714" t="s">
        <v>189</v>
      </c>
      <c r="M714" s="12">
        <v>470000</v>
      </c>
      <c r="N714" s="12">
        <v>12</v>
      </c>
      <c r="P714" s="14">
        <v>1</v>
      </c>
      <c r="Q714" s="15">
        <v>0.11</v>
      </c>
      <c r="R714" s="12">
        <v>27500</v>
      </c>
      <c r="S714" s="12">
        <v>1</v>
      </c>
      <c r="T714" s="12">
        <v>0</v>
      </c>
      <c r="U714" s="12">
        <v>19572</v>
      </c>
      <c r="V714" s="12">
        <v>1</v>
      </c>
      <c r="W714" s="12">
        <v>41539.379505153898</v>
      </c>
      <c r="X714">
        <v>1</v>
      </c>
      <c r="Y714">
        <v>1</v>
      </c>
      <c r="Z714" s="15">
        <v>0.31484045023602519</v>
      </c>
      <c r="AA714" t="str">
        <f t="shared" si="37"/>
        <v>1-CT</v>
      </c>
      <c r="AB714" s="9">
        <f t="shared" si="38"/>
        <v>51700</v>
      </c>
      <c r="AC714" s="9">
        <f t="shared" si="39"/>
        <v>147975.01161093183</v>
      </c>
    </row>
    <row r="715" spans="1:29" x14ac:dyDescent="0.25">
      <c r="A715" t="s">
        <v>29</v>
      </c>
      <c r="B715">
        <v>30012</v>
      </c>
      <c r="C715" s="8">
        <v>45574</v>
      </c>
      <c r="D715" s="9">
        <v>321600</v>
      </c>
      <c r="E715" s="10">
        <v>9</v>
      </c>
      <c r="F715" t="s">
        <v>554</v>
      </c>
      <c r="G715" s="11">
        <v>6</v>
      </c>
      <c r="H715" t="s">
        <v>31</v>
      </c>
      <c r="J715" s="12">
        <v>0</v>
      </c>
      <c r="L715" t="s">
        <v>32</v>
      </c>
      <c r="M715" s="12">
        <v>680000</v>
      </c>
      <c r="N715" s="12">
        <v>11</v>
      </c>
      <c r="P715" s="14">
        <v>1</v>
      </c>
      <c r="Q715" s="15">
        <v>0.11</v>
      </c>
      <c r="R715" s="12">
        <v>40000</v>
      </c>
      <c r="S715" s="12">
        <v>1</v>
      </c>
      <c r="T715" s="12">
        <v>0</v>
      </c>
      <c r="U715" s="12">
        <v>23268</v>
      </c>
      <c r="V715" s="12">
        <v>1</v>
      </c>
      <c r="W715" s="12">
        <v>65269.880876712246</v>
      </c>
      <c r="X715">
        <v>1</v>
      </c>
      <c r="Y715">
        <v>1</v>
      </c>
      <c r="Z715" s="15">
        <v>0.31473790906109167</v>
      </c>
      <c r="AA715" t="str">
        <f t="shared" si="37"/>
        <v>1-CT</v>
      </c>
      <c r="AB715" s="9">
        <f t="shared" si="38"/>
        <v>74800</v>
      </c>
      <c r="AC715" s="9">
        <f t="shared" si="39"/>
        <v>214021.77816154234</v>
      </c>
    </row>
    <row r="716" spans="1:29" x14ac:dyDescent="0.25">
      <c r="A716" t="s">
        <v>29</v>
      </c>
      <c r="B716">
        <v>30012</v>
      </c>
      <c r="C716" s="8">
        <v>45638</v>
      </c>
      <c r="D716" s="9">
        <v>321620</v>
      </c>
      <c r="E716" s="10">
        <v>2</v>
      </c>
      <c r="F716" t="s">
        <v>555</v>
      </c>
      <c r="G716" s="11">
        <v>6</v>
      </c>
      <c r="H716" t="s">
        <v>31</v>
      </c>
      <c r="J716" s="12">
        <v>0</v>
      </c>
      <c r="L716" t="s">
        <v>32</v>
      </c>
      <c r="M716" s="12">
        <v>285000</v>
      </c>
      <c r="N716" s="12">
        <v>12</v>
      </c>
      <c r="P716" s="14">
        <v>1</v>
      </c>
      <c r="Q716" s="15">
        <v>0.105</v>
      </c>
      <c r="R716" s="12">
        <v>25000</v>
      </c>
      <c r="S716" s="12">
        <v>1</v>
      </c>
      <c r="T716" s="12">
        <v>0</v>
      </c>
      <c r="U716" s="12">
        <v>4150</v>
      </c>
      <c r="V716" s="12">
        <v>1</v>
      </c>
      <c r="W716" s="12">
        <v>25122.35182486011</v>
      </c>
      <c r="X716">
        <v>1</v>
      </c>
      <c r="Y716">
        <v>1</v>
      </c>
      <c r="Z716" s="15">
        <v>0.31429691953322092</v>
      </c>
      <c r="AA716" t="str">
        <f t="shared" si="37"/>
        <v>1-CT</v>
      </c>
      <c r="AB716" s="9">
        <f t="shared" si="38"/>
        <v>29925</v>
      </c>
      <c r="AC716" s="9">
        <f t="shared" si="39"/>
        <v>89574.622066967961</v>
      </c>
    </row>
    <row r="717" spans="1:29" x14ac:dyDescent="0.25">
      <c r="A717" t="s">
        <v>29</v>
      </c>
      <c r="B717">
        <v>30012</v>
      </c>
      <c r="C717" s="8">
        <v>45589</v>
      </c>
      <c r="D717" s="9">
        <v>321600</v>
      </c>
      <c r="E717" s="10">
        <v>9</v>
      </c>
      <c r="F717" t="s">
        <v>556</v>
      </c>
      <c r="G717" s="11">
        <v>6</v>
      </c>
      <c r="H717" t="s">
        <v>31</v>
      </c>
      <c r="J717" s="12">
        <v>0</v>
      </c>
      <c r="L717" t="s">
        <v>38</v>
      </c>
      <c r="M717" s="12">
        <v>682000</v>
      </c>
      <c r="N717" s="12">
        <v>11</v>
      </c>
      <c r="P717" s="14">
        <v>1</v>
      </c>
      <c r="Q717" s="15">
        <v>0.11</v>
      </c>
      <c r="R717" s="12">
        <v>40000</v>
      </c>
      <c r="S717" s="12">
        <v>1</v>
      </c>
      <c r="T717" s="12">
        <v>0</v>
      </c>
      <c r="U717" s="12">
        <v>23303.200000000001</v>
      </c>
      <c r="V717" s="12">
        <v>1</v>
      </c>
      <c r="W717" s="12">
        <v>65461.851114584926</v>
      </c>
      <c r="X717">
        <v>1</v>
      </c>
      <c r="Y717">
        <v>1</v>
      </c>
      <c r="Z717" s="15">
        <v>0.3142148005199295</v>
      </c>
      <c r="AA717" t="str">
        <f t="shared" si="37"/>
        <v>1-CT</v>
      </c>
      <c r="AB717" s="9">
        <f t="shared" si="38"/>
        <v>75020</v>
      </c>
      <c r="AC717" s="9">
        <f t="shared" si="39"/>
        <v>214294.49395459192</v>
      </c>
    </row>
    <row r="718" spans="1:29" x14ac:dyDescent="0.25">
      <c r="A718" t="s">
        <v>29</v>
      </c>
      <c r="B718">
        <v>30012</v>
      </c>
      <c r="C718" s="8">
        <v>45649</v>
      </c>
      <c r="D718" s="9">
        <v>321620</v>
      </c>
      <c r="E718" s="10">
        <v>2</v>
      </c>
      <c r="F718" t="s">
        <v>557</v>
      </c>
      <c r="G718" s="11">
        <v>6</v>
      </c>
      <c r="H718" t="s">
        <v>31</v>
      </c>
      <c r="J718" s="12">
        <v>0</v>
      </c>
      <c r="L718" t="s">
        <v>36</v>
      </c>
      <c r="M718" s="12">
        <v>429000</v>
      </c>
      <c r="N718" s="12">
        <v>12</v>
      </c>
      <c r="P718" s="14">
        <v>1</v>
      </c>
      <c r="Q718" s="15">
        <v>0.105</v>
      </c>
      <c r="R718" s="12">
        <v>25000</v>
      </c>
      <c r="S718" s="12">
        <v>1</v>
      </c>
      <c r="T718" s="12">
        <v>0</v>
      </c>
      <c r="U718" s="12">
        <v>18850.400000000001</v>
      </c>
      <c r="V718" s="12">
        <v>1</v>
      </c>
      <c r="W718" s="12">
        <v>37815.75064163153</v>
      </c>
      <c r="X718">
        <v>1</v>
      </c>
      <c r="Y718">
        <v>1</v>
      </c>
      <c r="Z718" s="15">
        <v>0.31415223770044154</v>
      </c>
      <c r="AA718" t="str">
        <f t="shared" si="37"/>
        <v>1-CT</v>
      </c>
      <c r="AB718" s="9">
        <f t="shared" si="38"/>
        <v>45045</v>
      </c>
      <c r="AC718" s="9">
        <f t="shared" si="39"/>
        <v>134771.30997348941</v>
      </c>
    </row>
    <row r="719" spans="1:29" x14ac:dyDescent="0.25">
      <c r="A719" t="s">
        <v>29</v>
      </c>
      <c r="B719">
        <v>30012</v>
      </c>
      <c r="C719" s="8">
        <v>45582</v>
      </c>
      <c r="D719" s="9">
        <v>321600</v>
      </c>
      <c r="E719" s="10">
        <v>9</v>
      </c>
      <c r="F719" t="s">
        <v>558</v>
      </c>
      <c r="G719" s="11">
        <v>6</v>
      </c>
      <c r="H719" t="s">
        <v>31</v>
      </c>
      <c r="J719" s="12">
        <v>0</v>
      </c>
      <c r="L719" t="s">
        <v>32</v>
      </c>
      <c r="M719" s="12">
        <v>685000</v>
      </c>
      <c r="N719" s="12">
        <v>11</v>
      </c>
      <c r="P719" s="14">
        <v>1</v>
      </c>
      <c r="Q719" s="15">
        <v>0.11</v>
      </c>
      <c r="R719" s="12">
        <v>40000</v>
      </c>
      <c r="S719" s="12">
        <v>1</v>
      </c>
      <c r="T719" s="12">
        <v>0</v>
      </c>
      <c r="U719" s="12">
        <v>23356</v>
      </c>
      <c r="V719" s="12">
        <v>1</v>
      </c>
      <c r="W719" s="12">
        <v>65749.806471393953</v>
      </c>
      <c r="X719">
        <v>1</v>
      </c>
      <c r="Y719">
        <v>1</v>
      </c>
      <c r="Z719" s="15">
        <v>0.3134362140728994</v>
      </c>
      <c r="AA719" t="str">
        <f t="shared" si="37"/>
        <v>1-CT</v>
      </c>
      <c r="AB719" s="9">
        <f t="shared" si="38"/>
        <v>75350</v>
      </c>
      <c r="AC719" s="9">
        <f t="shared" si="39"/>
        <v>214703.80663993608</v>
      </c>
    </row>
    <row r="720" spans="1:29" x14ac:dyDescent="0.25">
      <c r="A720" t="s">
        <v>29</v>
      </c>
      <c r="B720">
        <v>30012</v>
      </c>
      <c r="C720" s="8">
        <v>45569</v>
      </c>
      <c r="D720" s="9">
        <v>321600</v>
      </c>
      <c r="E720" s="10">
        <v>9</v>
      </c>
      <c r="F720" t="s">
        <v>559</v>
      </c>
      <c r="G720" s="11">
        <v>6</v>
      </c>
      <c r="H720" t="s">
        <v>31</v>
      </c>
      <c r="J720" s="12">
        <v>0</v>
      </c>
      <c r="L720" t="s">
        <v>32</v>
      </c>
      <c r="M720" s="12">
        <v>487500</v>
      </c>
      <c r="N720" s="12">
        <v>11</v>
      </c>
      <c r="P720" s="14">
        <v>1</v>
      </c>
      <c r="Q720" s="15">
        <v>0.11</v>
      </c>
      <c r="R720" s="12">
        <v>25000</v>
      </c>
      <c r="S720" s="12">
        <v>1</v>
      </c>
      <c r="T720" s="12">
        <v>0</v>
      </c>
      <c r="U720" s="12">
        <v>19880</v>
      </c>
      <c r="V720" s="12">
        <v>1</v>
      </c>
      <c r="W720" s="12">
        <v>46792.745481466496</v>
      </c>
      <c r="X720">
        <v>1</v>
      </c>
      <c r="Y720">
        <v>1</v>
      </c>
      <c r="Z720" s="15">
        <v>0.31242299176760435</v>
      </c>
      <c r="AA720" t="str">
        <f t="shared" si="37"/>
        <v>1-CT</v>
      </c>
      <c r="AB720" s="9">
        <f t="shared" si="38"/>
        <v>53625</v>
      </c>
      <c r="AC720" s="9">
        <f t="shared" si="39"/>
        <v>152306.20848670712</v>
      </c>
    </row>
    <row r="721" spans="1:29" x14ac:dyDescent="0.25">
      <c r="A721" t="s">
        <v>29</v>
      </c>
      <c r="B721">
        <v>30012</v>
      </c>
      <c r="C721" s="8">
        <v>45575</v>
      </c>
      <c r="D721" s="9">
        <v>321600</v>
      </c>
      <c r="E721" s="10">
        <v>9</v>
      </c>
      <c r="F721" t="s">
        <v>560</v>
      </c>
      <c r="G721" s="11">
        <v>6</v>
      </c>
      <c r="H721" t="s">
        <v>31</v>
      </c>
      <c r="J721" s="12">
        <v>0</v>
      </c>
      <c r="L721" t="s">
        <v>32</v>
      </c>
      <c r="M721" s="12">
        <v>489000</v>
      </c>
      <c r="N721" s="12">
        <v>11</v>
      </c>
      <c r="P721" s="14">
        <v>1</v>
      </c>
      <c r="Q721" s="15">
        <v>0.11</v>
      </c>
      <c r="R721" s="12">
        <v>25000</v>
      </c>
      <c r="S721" s="12">
        <v>1</v>
      </c>
      <c r="T721" s="12">
        <v>0</v>
      </c>
      <c r="U721" s="12">
        <v>19906.400000000001</v>
      </c>
      <c r="V721" s="12">
        <v>1</v>
      </c>
      <c r="W721" s="12">
        <v>46936.723159871013</v>
      </c>
      <c r="X721">
        <v>1</v>
      </c>
      <c r="Y721">
        <v>1</v>
      </c>
      <c r="Z721" s="15">
        <v>0.31188378217274632</v>
      </c>
      <c r="AA721" t="str">
        <f t="shared" si="37"/>
        <v>1-CT</v>
      </c>
      <c r="AB721" s="9">
        <f t="shared" si="38"/>
        <v>53790</v>
      </c>
      <c r="AC721" s="9">
        <f t="shared" si="39"/>
        <v>152511.16948247293</v>
      </c>
    </row>
    <row r="722" spans="1:29" x14ac:dyDescent="0.25">
      <c r="A722" t="s">
        <v>29</v>
      </c>
      <c r="B722">
        <v>30012</v>
      </c>
      <c r="C722" s="8">
        <v>45568</v>
      </c>
      <c r="D722" s="9">
        <v>321600</v>
      </c>
      <c r="E722" s="10">
        <v>9</v>
      </c>
      <c r="F722" t="s">
        <v>561</v>
      </c>
      <c r="G722" s="11">
        <v>6</v>
      </c>
      <c r="H722" t="s">
        <v>31</v>
      </c>
      <c r="J722" s="12">
        <v>0</v>
      </c>
      <c r="L722" t="s">
        <v>36</v>
      </c>
      <c r="M722" s="12">
        <v>490000</v>
      </c>
      <c r="N722" s="12">
        <v>11</v>
      </c>
      <c r="P722" s="14">
        <v>1</v>
      </c>
      <c r="Q722" s="15">
        <v>0.11</v>
      </c>
      <c r="R722" s="12">
        <v>25000</v>
      </c>
      <c r="S722" s="12">
        <v>1</v>
      </c>
      <c r="T722" s="12">
        <v>0</v>
      </c>
      <c r="U722" s="12">
        <v>19924</v>
      </c>
      <c r="V722" s="12">
        <v>1</v>
      </c>
      <c r="W722" s="12">
        <v>47032.708278807346</v>
      </c>
      <c r="X722">
        <v>1</v>
      </c>
      <c r="Y722">
        <v>1</v>
      </c>
      <c r="Z722" s="15">
        <v>0.31152625355449559</v>
      </c>
      <c r="AA722" t="str">
        <f t="shared" si="37"/>
        <v>1-CT</v>
      </c>
      <c r="AB722" s="9">
        <f t="shared" si="38"/>
        <v>53900</v>
      </c>
      <c r="AC722" s="9">
        <f t="shared" si="39"/>
        <v>152647.86424170283</v>
      </c>
    </row>
    <row r="723" spans="1:29" x14ac:dyDescent="0.25">
      <c r="A723" t="s">
        <v>29</v>
      </c>
      <c r="B723">
        <v>30012</v>
      </c>
      <c r="C723" s="8">
        <v>45579</v>
      </c>
      <c r="D723" s="9">
        <v>321600</v>
      </c>
      <c r="E723" s="10">
        <v>9</v>
      </c>
      <c r="F723" t="s">
        <v>562</v>
      </c>
      <c r="G723" s="11">
        <v>6</v>
      </c>
      <c r="H723" t="s">
        <v>31</v>
      </c>
      <c r="J723" s="12">
        <v>0</v>
      </c>
      <c r="L723" t="s">
        <v>36</v>
      </c>
      <c r="M723" s="12">
        <v>490000</v>
      </c>
      <c r="N723" s="12">
        <v>11</v>
      </c>
      <c r="P723" s="14">
        <v>1</v>
      </c>
      <c r="Q723" s="15">
        <v>0.11</v>
      </c>
      <c r="R723" s="12">
        <v>25000</v>
      </c>
      <c r="S723" s="12">
        <v>1</v>
      </c>
      <c r="T723" s="12">
        <v>0</v>
      </c>
      <c r="U723" s="12">
        <v>19924</v>
      </c>
      <c r="V723" s="12">
        <v>1</v>
      </c>
      <c r="W723" s="12">
        <v>47032.708278807346</v>
      </c>
      <c r="X723">
        <v>1</v>
      </c>
      <c r="Y723">
        <v>1</v>
      </c>
      <c r="Z723" s="15">
        <v>0.31152625355449559</v>
      </c>
      <c r="AA723" t="str">
        <f t="shared" si="37"/>
        <v>1-CT</v>
      </c>
      <c r="AB723" s="9">
        <f t="shared" si="38"/>
        <v>53900</v>
      </c>
      <c r="AC723" s="9">
        <f t="shared" si="39"/>
        <v>152647.86424170283</v>
      </c>
    </row>
    <row r="724" spans="1:29" x14ac:dyDescent="0.25">
      <c r="A724" t="s">
        <v>29</v>
      </c>
      <c r="B724">
        <v>30012</v>
      </c>
      <c r="C724" s="8">
        <v>45579</v>
      </c>
      <c r="D724" s="9">
        <v>321600</v>
      </c>
      <c r="E724" s="10">
        <v>9</v>
      </c>
      <c r="F724" t="s">
        <v>563</v>
      </c>
      <c r="G724" s="11">
        <v>6</v>
      </c>
      <c r="H724" t="s">
        <v>31</v>
      </c>
      <c r="J724" s="12">
        <v>0</v>
      </c>
      <c r="L724" t="s">
        <v>38</v>
      </c>
      <c r="M724" s="12">
        <v>490000</v>
      </c>
      <c r="N724" s="12">
        <v>11</v>
      </c>
      <c r="P724" s="14">
        <v>1</v>
      </c>
      <c r="Q724" s="15">
        <v>0.11</v>
      </c>
      <c r="R724" s="12">
        <v>25000</v>
      </c>
      <c r="S724" s="12">
        <v>1</v>
      </c>
      <c r="T724" s="12">
        <v>0</v>
      </c>
      <c r="U724" s="12">
        <v>19924</v>
      </c>
      <c r="V724" s="12">
        <v>1</v>
      </c>
      <c r="W724" s="12">
        <v>47032.708278807346</v>
      </c>
      <c r="X724">
        <v>1</v>
      </c>
      <c r="Y724">
        <v>1</v>
      </c>
      <c r="Z724" s="15">
        <v>0.31152625355449559</v>
      </c>
      <c r="AA724" t="str">
        <f t="shared" si="37"/>
        <v>1-CT</v>
      </c>
      <c r="AB724" s="9">
        <f t="shared" si="38"/>
        <v>53900</v>
      </c>
      <c r="AC724" s="9">
        <f t="shared" si="39"/>
        <v>152647.86424170283</v>
      </c>
    </row>
    <row r="725" spans="1:29" x14ac:dyDescent="0.25">
      <c r="A725" t="s">
        <v>29</v>
      </c>
      <c r="B725">
        <v>30012</v>
      </c>
      <c r="C725" s="8">
        <v>45642</v>
      </c>
      <c r="D725" s="9">
        <v>321620</v>
      </c>
      <c r="E725" s="10">
        <v>2</v>
      </c>
      <c r="F725" t="s">
        <v>564</v>
      </c>
      <c r="G725" s="11">
        <v>6</v>
      </c>
      <c r="H725" t="s">
        <v>31</v>
      </c>
      <c r="J725" s="12">
        <v>0</v>
      </c>
      <c r="L725" t="s">
        <v>32</v>
      </c>
      <c r="M725" s="12">
        <v>436000</v>
      </c>
      <c r="N725" s="12">
        <v>12</v>
      </c>
      <c r="P725" s="14">
        <v>1</v>
      </c>
      <c r="Q725" s="15">
        <v>0.105</v>
      </c>
      <c r="R725" s="12">
        <v>25000</v>
      </c>
      <c r="S725" s="12">
        <v>1</v>
      </c>
      <c r="T725" s="12">
        <v>0</v>
      </c>
      <c r="U725" s="12">
        <v>18973.599999999999</v>
      </c>
      <c r="V725" s="12">
        <v>1</v>
      </c>
      <c r="W725" s="12">
        <v>38432.790861891255</v>
      </c>
      <c r="X725">
        <v>1</v>
      </c>
      <c r="Y725">
        <v>1</v>
      </c>
      <c r="Z725" s="15">
        <v>0.31114656554885078</v>
      </c>
      <c r="AA725" t="str">
        <f t="shared" si="37"/>
        <v>1-CT</v>
      </c>
      <c r="AB725" s="9">
        <f t="shared" si="38"/>
        <v>45780</v>
      </c>
      <c r="AC725" s="9">
        <f t="shared" si="39"/>
        <v>135659.90257929894</v>
      </c>
    </row>
    <row r="726" spans="1:29" x14ac:dyDescent="0.25">
      <c r="A726" t="s">
        <v>29</v>
      </c>
      <c r="B726">
        <v>30012</v>
      </c>
      <c r="C726" s="8">
        <v>45639</v>
      </c>
      <c r="D726" s="9">
        <v>321620</v>
      </c>
      <c r="E726" s="10">
        <v>2</v>
      </c>
      <c r="F726" t="s">
        <v>565</v>
      </c>
      <c r="G726" s="11">
        <v>6</v>
      </c>
      <c r="H726" t="s">
        <v>31</v>
      </c>
      <c r="J726" s="12">
        <v>0</v>
      </c>
      <c r="L726" t="s">
        <v>32</v>
      </c>
      <c r="M726" s="12">
        <v>290000</v>
      </c>
      <c r="N726" s="12">
        <v>12</v>
      </c>
      <c r="P726" s="14">
        <v>1</v>
      </c>
      <c r="Q726" s="15">
        <v>0.105</v>
      </c>
      <c r="R726" s="12">
        <v>25000</v>
      </c>
      <c r="S726" s="12">
        <v>1</v>
      </c>
      <c r="T726" s="12">
        <v>0</v>
      </c>
      <c r="U726" s="12">
        <v>4200</v>
      </c>
      <c r="V726" s="12">
        <v>1</v>
      </c>
      <c r="W726" s="12">
        <v>25563.094839331337</v>
      </c>
      <c r="X726">
        <v>1</v>
      </c>
      <c r="Y726">
        <v>1</v>
      </c>
      <c r="Z726" s="15">
        <v>0.31077704276400664</v>
      </c>
      <c r="AA726" t="str">
        <f t="shared" si="37"/>
        <v>1-CT</v>
      </c>
      <c r="AB726" s="9">
        <f t="shared" si="38"/>
        <v>30450</v>
      </c>
      <c r="AC726" s="9">
        <f t="shared" si="39"/>
        <v>90125.342401561924</v>
      </c>
    </row>
    <row r="727" spans="1:29" x14ac:dyDescent="0.25">
      <c r="A727" t="s">
        <v>29</v>
      </c>
      <c r="B727">
        <v>30012</v>
      </c>
      <c r="C727" s="8">
        <v>45587</v>
      </c>
      <c r="D727" s="9">
        <v>321600</v>
      </c>
      <c r="E727" s="10">
        <v>9</v>
      </c>
      <c r="F727" t="s">
        <v>566</v>
      </c>
      <c r="G727" s="11">
        <v>6</v>
      </c>
      <c r="H727" t="s">
        <v>31</v>
      </c>
      <c r="J727" s="12">
        <v>0</v>
      </c>
      <c r="L727" t="s">
        <v>38</v>
      </c>
      <c r="M727" s="12">
        <v>698000</v>
      </c>
      <c r="N727" s="12">
        <v>11</v>
      </c>
      <c r="P727" s="14">
        <v>1</v>
      </c>
      <c r="Q727" s="15">
        <v>0.11</v>
      </c>
      <c r="R727" s="12">
        <v>40000</v>
      </c>
      <c r="S727" s="12">
        <v>1</v>
      </c>
      <c r="T727" s="12">
        <v>0</v>
      </c>
      <c r="U727" s="12">
        <v>23584.799999999999</v>
      </c>
      <c r="V727" s="12">
        <v>1</v>
      </c>
      <c r="W727" s="12">
        <v>66997.6130175664</v>
      </c>
      <c r="X727">
        <v>1</v>
      </c>
      <c r="Y727">
        <v>1</v>
      </c>
      <c r="Z727" s="15">
        <v>0.31014429442483243</v>
      </c>
      <c r="AA727" t="str">
        <f t="shared" si="37"/>
        <v>1-CT</v>
      </c>
      <c r="AB727" s="9">
        <f t="shared" si="38"/>
        <v>76780</v>
      </c>
      <c r="AC727" s="9">
        <f t="shared" si="39"/>
        <v>216480.71750853304</v>
      </c>
    </row>
    <row r="728" spans="1:29" x14ac:dyDescent="0.25">
      <c r="A728" t="s">
        <v>29</v>
      </c>
      <c r="B728">
        <v>30012</v>
      </c>
      <c r="C728" s="8">
        <v>45601</v>
      </c>
      <c r="D728" s="9">
        <v>321600</v>
      </c>
      <c r="E728" s="10">
        <v>9</v>
      </c>
      <c r="F728" t="s">
        <v>567</v>
      </c>
      <c r="G728" s="11">
        <v>6</v>
      </c>
      <c r="H728" t="s">
        <v>31</v>
      </c>
      <c r="J728" s="12">
        <v>0</v>
      </c>
      <c r="L728" t="s">
        <v>32</v>
      </c>
      <c r="M728" s="12">
        <v>495000</v>
      </c>
      <c r="N728" s="12">
        <v>11</v>
      </c>
      <c r="P728" s="14">
        <v>1</v>
      </c>
      <c r="Q728" s="15">
        <v>0.11</v>
      </c>
      <c r="R728" s="12">
        <v>25000</v>
      </c>
      <c r="S728" s="12">
        <v>1</v>
      </c>
      <c r="T728" s="12">
        <v>0</v>
      </c>
      <c r="U728" s="12">
        <v>20012</v>
      </c>
      <c r="V728" s="12">
        <v>1</v>
      </c>
      <c r="W728" s="12">
        <v>47512.63387348906</v>
      </c>
      <c r="X728">
        <v>1</v>
      </c>
      <c r="Y728">
        <v>1</v>
      </c>
      <c r="Z728" s="15">
        <v>0.3097615689958193</v>
      </c>
      <c r="AA728" t="str">
        <f t="shared" si="37"/>
        <v>1-CT</v>
      </c>
      <c r="AB728" s="9">
        <f t="shared" si="38"/>
        <v>54450</v>
      </c>
      <c r="AC728" s="9">
        <f t="shared" si="39"/>
        <v>153331.97665293055</v>
      </c>
    </row>
    <row r="729" spans="1:29" x14ac:dyDescent="0.25">
      <c r="A729" t="s">
        <v>29</v>
      </c>
      <c r="B729">
        <v>30012</v>
      </c>
      <c r="C729" s="8">
        <v>45567</v>
      </c>
      <c r="D729" s="9">
        <v>321600</v>
      </c>
      <c r="E729" s="10">
        <v>9</v>
      </c>
      <c r="F729" t="s">
        <v>568</v>
      </c>
      <c r="G729" s="11">
        <v>6</v>
      </c>
      <c r="H729" t="s">
        <v>31</v>
      </c>
      <c r="J729" s="12">
        <v>0</v>
      </c>
      <c r="L729" t="s">
        <v>38</v>
      </c>
      <c r="M729" s="12">
        <v>495000</v>
      </c>
      <c r="N729" s="12">
        <v>11</v>
      </c>
      <c r="P729" s="14">
        <v>1</v>
      </c>
      <c r="Q729" s="15">
        <v>0.11</v>
      </c>
      <c r="R729" s="12">
        <v>25000</v>
      </c>
      <c r="S729" s="12">
        <v>1</v>
      </c>
      <c r="T729" s="12">
        <v>0</v>
      </c>
      <c r="U729" s="12">
        <v>20012</v>
      </c>
      <c r="V729" s="12">
        <v>1</v>
      </c>
      <c r="W729" s="12">
        <v>47512.63387348906</v>
      </c>
      <c r="X729">
        <v>1</v>
      </c>
      <c r="Y729">
        <v>1</v>
      </c>
      <c r="Z729" s="15">
        <v>0.3097615689958193</v>
      </c>
      <c r="AA729" t="str">
        <f t="shared" si="37"/>
        <v>1-CT</v>
      </c>
      <c r="AB729" s="9">
        <f t="shared" si="38"/>
        <v>54450</v>
      </c>
      <c r="AC729" s="9">
        <f t="shared" si="39"/>
        <v>153331.97665293055</v>
      </c>
    </row>
    <row r="730" spans="1:29" x14ac:dyDescent="0.25">
      <c r="A730" t="s">
        <v>29</v>
      </c>
      <c r="B730">
        <v>30012</v>
      </c>
      <c r="C730" s="8">
        <v>45583</v>
      </c>
      <c r="D730" s="9">
        <v>321600</v>
      </c>
      <c r="E730" s="10">
        <v>9</v>
      </c>
      <c r="F730" t="s">
        <v>569</v>
      </c>
      <c r="G730" s="11">
        <v>6</v>
      </c>
      <c r="H730" t="s">
        <v>31</v>
      </c>
      <c r="J730" s="12">
        <v>0</v>
      </c>
      <c r="L730" t="s">
        <v>40</v>
      </c>
      <c r="M730" s="12">
        <v>495000</v>
      </c>
      <c r="N730" s="12">
        <v>11</v>
      </c>
      <c r="P730" s="14">
        <v>1</v>
      </c>
      <c r="Q730" s="15">
        <v>0.11</v>
      </c>
      <c r="R730" s="12">
        <v>25000</v>
      </c>
      <c r="S730" s="12">
        <v>1</v>
      </c>
      <c r="T730" s="12">
        <v>0</v>
      </c>
      <c r="U730" s="12">
        <v>20012</v>
      </c>
      <c r="V730" s="12">
        <v>1</v>
      </c>
      <c r="W730" s="12">
        <v>47512.63387348906</v>
      </c>
      <c r="X730">
        <v>1</v>
      </c>
      <c r="Y730">
        <v>1</v>
      </c>
      <c r="Z730" s="15">
        <v>0.3097615689958193</v>
      </c>
      <c r="AA730" t="str">
        <f t="shared" si="37"/>
        <v>1-CT</v>
      </c>
      <c r="AB730" s="9">
        <f t="shared" si="38"/>
        <v>54450</v>
      </c>
      <c r="AC730" s="9">
        <f t="shared" si="39"/>
        <v>153331.97665293055</v>
      </c>
    </row>
    <row r="731" spans="1:29" x14ac:dyDescent="0.25">
      <c r="A731" t="s">
        <v>29</v>
      </c>
      <c r="B731">
        <v>30012</v>
      </c>
      <c r="C731" s="8">
        <v>45579</v>
      </c>
      <c r="D731" s="9">
        <v>321600</v>
      </c>
      <c r="E731" s="10">
        <v>9</v>
      </c>
      <c r="F731" t="s">
        <v>570</v>
      </c>
      <c r="G731" s="11">
        <v>6</v>
      </c>
      <c r="H731" t="s">
        <v>31</v>
      </c>
      <c r="J731" s="12">
        <v>0</v>
      </c>
      <c r="L731" t="s">
        <v>38</v>
      </c>
      <c r="M731" s="12">
        <v>700000</v>
      </c>
      <c r="N731" s="12">
        <v>11</v>
      </c>
      <c r="P731" s="14">
        <v>1</v>
      </c>
      <c r="Q731" s="15">
        <v>0.11</v>
      </c>
      <c r="R731" s="12">
        <v>40000</v>
      </c>
      <c r="S731" s="12">
        <v>1</v>
      </c>
      <c r="T731" s="12">
        <v>0</v>
      </c>
      <c r="U731" s="12">
        <v>23620</v>
      </c>
      <c r="V731" s="12">
        <v>1</v>
      </c>
      <c r="W731" s="12">
        <v>67189.58325543908</v>
      </c>
      <c r="X731">
        <v>1</v>
      </c>
      <c r="Y731">
        <v>1</v>
      </c>
      <c r="Z731" s="15">
        <v>0.30964934344264211</v>
      </c>
      <c r="AA731" t="str">
        <f t="shared" si="37"/>
        <v>1-CT</v>
      </c>
      <c r="AB731" s="9">
        <f t="shared" si="38"/>
        <v>77000</v>
      </c>
      <c r="AC731" s="9">
        <f t="shared" si="39"/>
        <v>216754.54040984949</v>
      </c>
    </row>
    <row r="732" spans="1:29" x14ac:dyDescent="0.25">
      <c r="A732" t="s">
        <v>29</v>
      </c>
      <c r="B732">
        <v>30012</v>
      </c>
      <c r="C732" s="8">
        <v>45569</v>
      </c>
      <c r="D732" s="9">
        <v>321600</v>
      </c>
      <c r="E732" s="10">
        <v>9</v>
      </c>
      <c r="F732" t="s">
        <v>571</v>
      </c>
      <c r="G732" s="11">
        <v>6</v>
      </c>
      <c r="H732" t="s">
        <v>31</v>
      </c>
      <c r="J732" s="12">
        <v>0</v>
      </c>
      <c r="L732" t="s">
        <v>32</v>
      </c>
      <c r="M732" s="12">
        <v>700000</v>
      </c>
      <c r="N732" s="12">
        <v>11</v>
      </c>
      <c r="P732" s="14">
        <v>1</v>
      </c>
      <c r="Q732" s="15">
        <v>0.11</v>
      </c>
      <c r="R732" s="12">
        <v>40000</v>
      </c>
      <c r="S732" s="12">
        <v>1</v>
      </c>
      <c r="T732" s="12">
        <v>0</v>
      </c>
      <c r="U732" s="12">
        <v>23620</v>
      </c>
      <c r="V732" s="12">
        <v>1</v>
      </c>
      <c r="W732" s="12">
        <v>67189.58325543908</v>
      </c>
      <c r="X732">
        <v>1</v>
      </c>
      <c r="Y732">
        <v>1</v>
      </c>
      <c r="Z732" s="15">
        <v>0.30964934344264211</v>
      </c>
      <c r="AA732" t="str">
        <f t="shared" si="37"/>
        <v>1-CT</v>
      </c>
      <c r="AB732" s="9">
        <f t="shared" si="38"/>
        <v>77000</v>
      </c>
      <c r="AC732" s="9">
        <f t="shared" si="39"/>
        <v>216754.54040984949</v>
      </c>
    </row>
    <row r="733" spans="1:29" x14ac:dyDescent="0.25">
      <c r="A733" t="s">
        <v>29</v>
      </c>
      <c r="B733">
        <v>30012</v>
      </c>
      <c r="C733" s="8">
        <v>45575</v>
      </c>
      <c r="D733" s="9">
        <v>321600</v>
      </c>
      <c r="E733" s="10">
        <v>9</v>
      </c>
      <c r="F733" t="s">
        <v>572</v>
      </c>
      <c r="G733" s="11">
        <v>6</v>
      </c>
      <c r="H733" t="s">
        <v>31</v>
      </c>
      <c r="J733" s="12">
        <v>0</v>
      </c>
      <c r="L733" t="s">
        <v>61</v>
      </c>
      <c r="M733" s="12">
        <v>700000</v>
      </c>
      <c r="N733" s="12">
        <v>11</v>
      </c>
      <c r="P733" s="14">
        <v>1</v>
      </c>
      <c r="Q733" s="15">
        <v>0.11</v>
      </c>
      <c r="R733" s="12">
        <v>40000</v>
      </c>
      <c r="S733" s="12">
        <v>1</v>
      </c>
      <c r="T733" s="12">
        <v>0</v>
      </c>
      <c r="U733" s="12">
        <v>23620</v>
      </c>
      <c r="V733" s="12">
        <v>1</v>
      </c>
      <c r="W733" s="12">
        <v>67189.58325543908</v>
      </c>
      <c r="X733">
        <v>1</v>
      </c>
      <c r="Y733">
        <v>1</v>
      </c>
      <c r="Z733" s="15">
        <v>0.30964934344264211</v>
      </c>
      <c r="AA733" t="str">
        <f t="shared" si="37"/>
        <v>1-CT</v>
      </c>
      <c r="AB733" s="9">
        <f t="shared" si="38"/>
        <v>77000</v>
      </c>
      <c r="AC733" s="9">
        <f t="shared" si="39"/>
        <v>216754.54040984949</v>
      </c>
    </row>
    <row r="734" spans="1:29" x14ac:dyDescent="0.25">
      <c r="A734" t="s">
        <v>29</v>
      </c>
      <c r="B734">
        <v>30012</v>
      </c>
      <c r="C734" s="8">
        <v>45583</v>
      </c>
      <c r="D734" s="9">
        <v>321600</v>
      </c>
      <c r="E734" s="10">
        <v>9</v>
      </c>
      <c r="F734" t="s">
        <v>573</v>
      </c>
      <c r="G734" s="11">
        <v>6</v>
      </c>
      <c r="H734" t="s">
        <v>31</v>
      </c>
      <c r="J734" s="12">
        <v>0</v>
      </c>
      <c r="L734" t="s">
        <v>38</v>
      </c>
      <c r="M734" s="13">
        <v>700000</v>
      </c>
      <c r="N734" s="14">
        <v>11</v>
      </c>
      <c r="P734" s="14">
        <v>1</v>
      </c>
      <c r="Q734" s="15">
        <v>0.11</v>
      </c>
      <c r="R734" s="12">
        <v>40000</v>
      </c>
      <c r="S734" s="12">
        <v>1</v>
      </c>
      <c r="T734" s="12">
        <v>0</v>
      </c>
      <c r="U734" s="12">
        <v>23620</v>
      </c>
      <c r="V734" s="12">
        <v>1</v>
      </c>
      <c r="W734" s="12">
        <v>67189.58325543908</v>
      </c>
      <c r="X734">
        <v>1</v>
      </c>
      <c r="Y734">
        <v>1</v>
      </c>
      <c r="Z734" s="15">
        <v>0.30964934344264211</v>
      </c>
      <c r="AA734" t="str">
        <f t="shared" si="37"/>
        <v>1-CT</v>
      </c>
      <c r="AB734" s="9">
        <f t="shared" si="38"/>
        <v>77000</v>
      </c>
      <c r="AC734" s="9">
        <f t="shared" si="39"/>
        <v>216754.54040984949</v>
      </c>
    </row>
    <row r="735" spans="1:29" x14ac:dyDescent="0.25">
      <c r="A735" t="s">
        <v>29</v>
      </c>
      <c r="B735">
        <v>30012</v>
      </c>
      <c r="C735" s="8">
        <v>45568</v>
      </c>
      <c r="D735" s="9">
        <v>321600</v>
      </c>
      <c r="E735" s="10">
        <v>9</v>
      </c>
      <c r="F735" t="s">
        <v>574</v>
      </c>
      <c r="G735" s="11">
        <v>6</v>
      </c>
      <c r="H735" t="s">
        <v>31</v>
      </c>
      <c r="J735" s="12">
        <v>0</v>
      </c>
      <c r="L735" t="s">
        <v>36</v>
      </c>
      <c r="M735" s="13">
        <v>700000</v>
      </c>
      <c r="N735" s="14">
        <v>11</v>
      </c>
      <c r="P735" s="14">
        <v>1</v>
      </c>
      <c r="Q735" s="15">
        <v>0.11</v>
      </c>
      <c r="R735" s="12">
        <v>40000</v>
      </c>
      <c r="S735" s="12">
        <v>1</v>
      </c>
      <c r="T735" s="12">
        <v>0</v>
      </c>
      <c r="U735" s="12">
        <v>23620</v>
      </c>
      <c r="V735" s="12">
        <v>1</v>
      </c>
      <c r="W735" s="12">
        <v>67189.58325543908</v>
      </c>
      <c r="X735">
        <v>1</v>
      </c>
      <c r="Y735">
        <v>1</v>
      </c>
      <c r="Z735" s="15">
        <v>0.30964934344264211</v>
      </c>
      <c r="AA735" t="str">
        <f t="shared" si="37"/>
        <v>1-CT</v>
      </c>
      <c r="AB735" s="9">
        <f t="shared" si="38"/>
        <v>77000</v>
      </c>
      <c r="AC735" s="9">
        <f t="shared" si="39"/>
        <v>216754.54040984949</v>
      </c>
    </row>
    <row r="736" spans="1:29" x14ac:dyDescent="0.25">
      <c r="A736" t="s">
        <v>29</v>
      </c>
      <c r="B736">
        <v>30012</v>
      </c>
      <c r="C736" s="8">
        <v>45594</v>
      </c>
      <c r="D736" s="9">
        <v>321600</v>
      </c>
      <c r="E736" s="10">
        <v>9</v>
      </c>
      <c r="F736" t="s">
        <v>575</v>
      </c>
      <c r="G736" s="11">
        <v>6</v>
      </c>
      <c r="H736" t="s">
        <v>31</v>
      </c>
      <c r="J736" s="12">
        <v>0</v>
      </c>
      <c r="L736" t="s">
        <v>38</v>
      </c>
      <c r="M736" s="13">
        <v>700000</v>
      </c>
      <c r="N736" s="14">
        <v>11</v>
      </c>
      <c r="P736" s="14">
        <v>1</v>
      </c>
      <c r="Q736" s="15">
        <v>0.11</v>
      </c>
      <c r="R736" s="12">
        <v>40000</v>
      </c>
      <c r="S736" s="12">
        <v>1</v>
      </c>
      <c r="T736" s="12">
        <v>0</v>
      </c>
      <c r="U736" s="12">
        <v>23620</v>
      </c>
      <c r="V736" s="12">
        <v>1</v>
      </c>
      <c r="W736" s="12">
        <v>67189.58325543908</v>
      </c>
      <c r="X736">
        <v>1</v>
      </c>
      <c r="Y736">
        <v>1</v>
      </c>
      <c r="Z736" s="15">
        <v>0.30964934344264211</v>
      </c>
      <c r="AA736" t="str">
        <f t="shared" si="37"/>
        <v>1-CT</v>
      </c>
      <c r="AB736" s="9">
        <f t="shared" si="38"/>
        <v>77000</v>
      </c>
      <c r="AC736" s="9">
        <f t="shared" si="39"/>
        <v>216754.54040984949</v>
      </c>
    </row>
    <row r="737" spans="1:29" x14ac:dyDescent="0.25">
      <c r="A737" t="s">
        <v>29</v>
      </c>
      <c r="B737">
        <v>30012</v>
      </c>
      <c r="C737" s="8">
        <v>45568</v>
      </c>
      <c r="D737" s="9">
        <v>321600</v>
      </c>
      <c r="E737" s="10">
        <v>9</v>
      </c>
      <c r="F737" t="s">
        <v>576</v>
      </c>
      <c r="G737" s="11">
        <v>6</v>
      </c>
      <c r="H737" t="s">
        <v>31</v>
      </c>
      <c r="J737" s="12">
        <v>0</v>
      </c>
      <c r="L737" t="s">
        <v>32</v>
      </c>
      <c r="M737" s="13">
        <v>700000</v>
      </c>
      <c r="N737" s="14">
        <v>11</v>
      </c>
      <c r="P737" s="14">
        <v>1</v>
      </c>
      <c r="Q737" s="15">
        <v>0.11</v>
      </c>
      <c r="R737" s="12">
        <v>40000</v>
      </c>
      <c r="S737" s="12">
        <v>1</v>
      </c>
      <c r="T737" s="12">
        <v>0</v>
      </c>
      <c r="U737" s="12">
        <v>23620</v>
      </c>
      <c r="V737" s="12">
        <v>1</v>
      </c>
      <c r="W737" s="12">
        <v>67189.58325543908</v>
      </c>
      <c r="X737">
        <v>1</v>
      </c>
      <c r="Y737">
        <v>1</v>
      </c>
      <c r="Z737" s="15">
        <v>0.30964934344264211</v>
      </c>
      <c r="AA737" t="str">
        <f t="shared" si="37"/>
        <v>1-CT</v>
      </c>
      <c r="AB737" s="9">
        <f t="shared" si="38"/>
        <v>77000</v>
      </c>
      <c r="AC737" s="9">
        <f t="shared" si="39"/>
        <v>216754.54040984949</v>
      </c>
    </row>
    <row r="738" spans="1:29" x14ac:dyDescent="0.25">
      <c r="A738" t="s">
        <v>29</v>
      </c>
      <c r="B738">
        <v>30012</v>
      </c>
      <c r="C738" s="8">
        <v>45587</v>
      </c>
      <c r="D738" s="9">
        <v>321600</v>
      </c>
      <c r="E738" s="10">
        <v>9</v>
      </c>
      <c r="F738" t="s">
        <v>577</v>
      </c>
      <c r="G738" s="11">
        <v>6</v>
      </c>
      <c r="H738" t="s">
        <v>31</v>
      </c>
      <c r="J738" s="12">
        <v>0</v>
      </c>
      <c r="L738" t="s">
        <v>32</v>
      </c>
      <c r="M738" s="13">
        <v>700000</v>
      </c>
      <c r="N738" s="14">
        <v>11</v>
      </c>
      <c r="P738" s="14">
        <v>1</v>
      </c>
      <c r="Q738" s="15">
        <v>0.11</v>
      </c>
      <c r="R738" s="12">
        <v>40000</v>
      </c>
      <c r="S738" s="12">
        <v>1</v>
      </c>
      <c r="T738" s="12">
        <v>0</v>
      </c>
      <c r="U738" s="12">
        <v>23620</v>
      </c>
      <c r="V738" s="12">
        <v>1</v>
      </c>
      <c r="W738" s="12">
        <v>67189.58325543908</v>
      </c>
      <c r="X738">
        <v>1</v>
      </c>
      <c r="Y738">
        <v>1</v>
      </c>
      <c r="Z738" s="15">
        <v>0.30964934344264211</v>
      </c>
      <c r="AA738" t="str">
        <f t="shared" si="37"/>
        <v>1-CT</v>
      </c>
      <c r="AB738" s="9">
        <f t="shared" si="38"/>
        <v>77000</v>
      </c>
      <c r="AC738" s="9">
        <f t="shared" si="39"/>
        <v>216754.54040984949</v>
      </c>
    </row>
    <row r="739" spans="1:29" x14ac:dyDescent="0.25">
      <c r="A739" t="s">
        <v>29</v>
      </c>
      <c r="B739">
        <v>30012</v>
      </c>
      <c r="C739" s="8">
        <v>45574</v>
      </c>
      <c r="D739" s="9">
        <v>321600</v>
      </c>
      <c r="E739" s="10">
        <v>9</v>
      </c>
      <c r="F739" t="s">
        <v>578</v>
      </c>
      <c r="G739" s="11">
        <v>6</v>
      </c>
      <c r="H739" t="s">
        <v>31</v>
      </c>
      <c r="J739" s="12">
        <v>0</v>
      </c>
      <c r="L739" t="s">
        <v>32</v>
      </c>
      <c r="M739" s="13">
        <v>496000</v>
      </c>
      <c r="N739" s="14">
        <v>11</v>
      </c>
      <c r="P739" s="14">
        <v>1</v>
      </c>
      <c r="Q739" s="15">
        <v>0.11</v>
      </c>
      <c r="R739" s="12">
        <v>25000</v>
      </c>
      <c r="S739" s="12">
        <v>1</v>
      </c>
      <c r="T739" s="12">
        <v>0</v>
      </c>
      <c r="U739" s="12">
        <v>20029.599999999999</v>
      </c>
      <c r="V739" s="12">
        <v>1</v>
      </c>
      <c r="W739" s="12">
        <v>47608.618992425407</v>
      </c>
      <c r="X739">
        <v>1</v>
      </c>
      <c r="Y739">
        <v>1</v>
      </c>
      <c r="Z739" s="15">
        <v>0.30941315509827588</v>
      </c>
      <c r="AA739" t="str">
        <f t="shared" si="37"/>
        <v>1-CT</v>
      </c>
      <c r="AB739" s="9">
        <f t="shared" si="38"/>
        <v>54560</v>
      </c>
      <c r="AC739" s="9">
        <f t="shared" si="39"/>
        <v>153468.92492874485</v>
      </c>
    </row>
    <row r="740" spans="1:29" x14ac:dyDescent="0.25">
      <c r="A740" t="s">
        <v>29</v>
      </c>
      <c r="B740">
        <v>30012</v>
      </c>
      <c r="C740" s="8">
        <v>45581</v>
      </c>
      <c r="D740" s="9">
        <v>321600</v>
      </c>
      <c r="E740" s="10">
        <v>9</v>
      </c>
      <c r="F740" t="s">
        <v>579</v>
      </c>
      <c r="G740" s="11">
        <v>6</v>
      </c>
      <c r="H740" t="s">
        <v>31</v>
      </c>
      <c r="J740" s="12">
        <v>0</v>
      </c>
      <c r="L740" t="s">
        <v>34</v>
      </c>
      <c r="M740" s="13">
        <v>701000</v>
      </c>
      <c r="N740" s="14">
        <v>11</v>
      </c>
      <c r="P740" s="14">
        <v>1</v>
      </c>
      <c r="Q740" s="15">
        <v>0.11</v>
      </c>
      <c r="R740" s="12">
        <v>40000</v>
      </c>
      <c r="S740" s="12">
        <v>1</v>
      </c>
      <c r="T740" s="12">
        <v>0</v>
      </c>
      <c r="U740" s="12">
        <v>23637.599999999999</v>
      </c>
      <c r="V740" s="12">
        <v>1</v>
      </c>
      <c r="W740" s="12">
        <v>67285.568374375405</v>
      </c>
      <c r="X740">
        <v>1</v>
      </c>
      <c r="Y740">
        <v>1</v>
      </c>
      <c r="Z740" s="15">
        <v>0.30940298995158799</v>
      </c>
      <c r="AA740" t="str">
        <f t="shared" si="37"/>
        <v>1-CT</v>
      </c>
      <c r="AB740" s="9">
        <f t="shared" si="38"/>
        <v>77110</v>
      </c>
      <c r="AC740" s="9">
        <f t="shared" si="39"/>
        <v>216891.49595606318</v>
      </c>
    </row>
    <row r="741" spans="1:29" x14ac:dyDescent="0.25">
      <c r="A741" t="s">
        <v>29</v>
      </c>
      <c r="B741">
        <v>30012</v>
      </c>
      <c r="C741" s="8">
        <v>45589</v>
      </c>
      <c r="D741" s="9">
        <v>321600</v>
      </c>
      <c r="E741" s="10">
        <v>9</v>
      </c>
      <c r="F741" t="s">
        <v>580</v>
      </c>
      <c r="G741" s="11">
        <v>6</v>
      </c>
      <c r="H741" t="s">
        <v>31</v>
      </c>
      <c r="J741" s="12">
        <v>0</v>
      </c>
      <c r="L741" t="s">
        <v>40</v>
      </c>
      <c r="M741" s="13">
        <v>701000</v>
      </c>
      <c r="N741" s="14">
        <v>11</v>
      </c>
      <c r="P741" s="14">
        <v>1</v>
      </c>
      <c r="Q741" s="15">
        <v>0.11</v>
      </c>
      <c r="R741" s="12">
        <v>40000</v>
      </c>
      <c r="S741" s="12">
        <v>1</v>
      </c>
      <c r="T741" s="12">
        <v>0</v>
      </c>
      <c r="U741" s="12">
        <v>23637.599999999999</v>
      </c>
      <c r="V741" s="12">
        <v>1</v>
      </c>
      <c r="W741" s="12">
        <v>67285.568374375405</v>
      </c>
      <c r="X741">
        <v>1</v>
      </c>
      <c r="Y741">
        <v>1</v>
      </c>
      <c r="Z741" s="15">
        <v>0.30940298995158799</v>
      </c>
      <c r="AA741" t="str">
        <f t="shared" si="37"/>
        <v>1-CT</v>
      </c>
      <c r="AB741" s="9">
        <f t="shared" si="38"/>
        <v>77110</v>
      </c>
      <c r="AC741" s="9">
        <f t="shared" si="39"/>
        <v>216891.49595606318</v>
      </c>
    </row>
    <row r="742" spans="1:29" x14ac:dyDescent="0.25">
      <c r="A742" t="s">
        <v>29</v>
      </c>
      <c r="B742">
        <v>30012</v>
      </c>
      <c r="C742" s="8">
        <v>45566</v>
      </c>
      <c r="D742" s="9">
        <v>321600</v>
      </c>
      <c r="E742" s="10">
        <v>9</v>
      </c>
      <c r="F742" t="s">
        <v>581</v>
      </c>
      <c r="G742" s="11">
        <v>6</v>
      </c>
      <c r="H742" t="s">
        <v>31</v>
      </c>
      <c r="J742" s="12">
        <v>0</v>
      </c>
      <c r="L742" t="s">
        <v>32</v>
      </c>
      <c r="M742" s="13">
        <v>498000</v>
      </c>
      <c r="N742" s="14">
        <v>11</v>
      </c>
      <c r="P742" s="14">
        <v>1</v>
      </c>
      <c r="Q742" s="15">
        <v>0.11</v>
      </c>
      <c r="R742" s="12">
        <v>25000</v>
      </c>
      <c r="S742" s="12">
        <v>1</v>
      </c>
      <c r="T742" s="12">
        <v>0</v>
      </c>
      <c r="U742" s="12">
        <v>20064.8</v>
      </c>
      <c r="V742" s="12">
        <v>1</v>
      </c>
      <c r="W742" s="12">
        <v>47800.589230298086</v>
      </c>
      <c r="X742">
        <v>1</v>
      </c>
      <c r="Y742">
        <v>1</v>
      </c>
      <c r="Z742" s="15">
        <v>0.30872077331626829</v>
      </c>
      <c r="AA742" t="str">
        <f t="shared" si="37"/>
        <v>1-CT</v>
      </c>
      <c r="AB742" s="9">
        <f t="shared" si="38"/>
        <v>54780</v>
      </c>
      <c r="AC742" s="9">
        <f t="shared" si="39"/>
        <v>153742.94511150161</v>
      </c>
    </row>
    <row r="743" spans="1:29" x14ac:dyDescent="0.25">
      <c r="A743" t="s">
        <v>29</v>
      </c>
      <c r="B743">
        <v>30012</v>
      </c>
      <c r="C743" s="8">
        <v>45635</v>
      </c>
      <c r="D743" s="9">
        <v>321620</v>
      </c>
      <c r="E743" s="10">
        <v>2</v>
      </c>
      <c r="F743" t="s">
        <v>582</v>
      </c>
      <c r="G743" s="11">
        <v>6</v>
      </c>
      <c r="H743" t="s">
        <v>31</v>
      </c>
      <c r="J743" s="12">
        <v>0</v>
      </c>
      <c r="L743" t="s">
        <v>32</v>
      </c>
      <c r="M743" s="13">
        <v>330000</v>
      </c>
      <c r="N743" s="14">
        <v>12</v>
      </c>
      <c r="P743" s="14">
        <v>1</v>
      </c>
      <c r="Q743" s="15">
        <v>0.11</v>
      </c>
      <c r="R743" s="12">
        <v>27500</v>
      </c>
      <c r="S743" s="12">
        <v>1</v>
      </c>
      <c r="T743" s="12">
        <v>0</v>
      </c>
      <c r="U743" s="12">
        <v>4600</v>
      </c>
      <c r="V743" s="12">
        <v>1</v>
      </c>
      <c r="W743" s="12">
        <v>29165.947312129334</v>
      </c>
      <c r="X743">
        <v>1</v>
      </c>
      <c r="Y743">
        <v>1</v>
      </c>
      <c r="Z743" s="15">
        <v>0.30848890032525655</v>
      </c>
      <c r="AA743" t="str">
        <f t="shared" si="37"/>
        <v>1-CT</v>
      </c>
      <c r="AB743" s="9">
        <f t="shared" si="38"/>
        <v>36300</v>
      </c>
      <c r="AC743" s="9">
        <f t="shared" si="39"/>
        <v>101801.33710733466</v>
      </c>
    </row>
    <row r="744" spans="1:29" x14ac:dyDescent="0.25">
      <c r="A744" t="s">
        <v>29</v>
      </c>
      <c r="B744">
        <v>30012</v>
      </c>
      <c r="C744" s="8">
        <v>45646</v>
      </c>
      <c r="D744" s="9">
        <v>321620</v>
      </c>
      <c r="E744" s="10">
        <v>2</v>
      </c>
      <c r="F744" t="s">
        <v>583</v>
      </c>
      <c r="G744" s="11">
        <v>6</v>
      </c>
      <c r="H744" t="s">
        <v>31</v>
      </c>
      <c r="J744" s="12">
        <v>0</v>
      </c>
      <c r="L744" t="s">
        <v>38</v>
      </c>
      <c r="M744" s="13">
        <v>488000</v>
      </c>
      <c r="N744" s="14">
        <v>12</v>
      </c>
      <c r="P744" s="14">
        <v>1</v>
      </c>
      <c r="Q744" s="15">
        <v>0.11</v>
      </c>
      <c r="R744" s="12">
        <v>27500</v>
      </c>
      <c r="S744" s="12">
        <v>1</v>
      </c>
      <c r="T744" s="12">
        <v>0</v>
      </c>
      <c r="U744" s="12">
        <v>19888.8</v>
      </c>
      <c r="V744" s="12">
        <v>1</v>
      </c>
      <c r="W744" s="12">
        <v>43130.249358542773</v>
      </c>
      <c r="X744">
        <v>1</v>
      </c>
      <c r="Y744">
        <v>1</v>
      </c>
      <c r="Z744" s="15">
        <v>0.3081270030234522</v>
      </c>
      <c r="AA744" t="str">
        <f t="shared" si="37"/>
        <v>1-CT</v>
      </c>
      <c r="AB744" s="9">
        <f t="shared" si="38"/>
        <v>53680</v>
      </c>
      <c r="AC744" s="9">
        <f t="shared" si="39"/>
        <v>150365.97747544467</v>
      </c>
    </row>
    <row r="745" spans="1:29" x14ac:dyDescent="0.25">
      <c r="A745" t="s">
        <v>29</v>
      </c>
      <c r="B745">
        <v>30012</v>
      </c>
      <c r="C745" s="8">
        <v>45596</v>
      </c>
      <c r="D745" s="9">
        <v>321600</v>
      </c>
      <c r="E745" s="10">
        <v>9</v>
      </c>
      <c r="F745" t="s">
        <v>584</v>
      </c>
      <c r="G745" s="11">
        <v>6</v>
      </c>
      <c r="H745" t="s">
        <v>31</v>
      </c>
      <c r="J745" s="12">
        <v>0</v>
      </c>
      <c r="L745" t="s">
        <v>32</v>
      </c>
      <c r="M745" s="13">
        <v>500000</v>
      </c>
      <c r="N745" s="14">
        <v>11</v>
      </c>
      <c r="P745" s="14">
        <v>1</v>
      </c>
      <c r="Q745" s="15">
        <v>0.11</v>
      </c>
      <c r="R745" s="12">
        <v>25000</v>
      </c>
      <c r="S745" s="12">
        <v>1</v>
      </c>
      <c r="T745" s="12">
        <v>0</v>
      </c>
      <c r="U745" s="12">
        <v>20100</v>
      </c>
      <c r="V745" s="12">
        <v>1</v>
      </c>
      <c r="W745" s="12">
        <v>47992.559468170766</v>
      </c>
      <c r="X745">
        <v>1</v>
      </c>
      <c r="Y745">
        <v>1</v>
      </c>
      <c r="Z745" s="15">
        <v>0.30803425674463891</v>
      </c>
      <c r="AA745" t="str">
        <f t="shared" si="37"/>
        <v>1-CT</v>
      </c>
      <c r="AB745" s="9">
        <f t="shared" si="38"/>
        <v>55000</v>
      </c>
      <c r="AC745" s="9">
        <f t="shared" si="39"/>
        <v>154017.12837231945</v>
      </c>
    </row>
    <row r="746" spans="1:29" x14ac:dyDescent="0.25">
      <c r="A746" t="s">
        <v>29</v>
      </c>
      <c r="B746">
        <v>30012</v>
      </c>
      <c r="C746" s="8">
        <v>45567</v>
      </c>
      <c r="D746" s="9">
        <v>321600</v>
      </c>
      <c r="E746" s="10">
        <v>9</v>
      </c>
      <c r="F746" t="s">
        <v>585</v>
      </c>
      <c r="G746" s="11">
        <v>6</v>
      </c>
      <c r="H746" t="s">
        <v>31</v>
      </c>
      <c r="J746" s="12">
        <v>0</v>
      </c>
      <c r="L746" t="s">
        <v>32</v>
      </c>
      <c r="M746" s="13">
        <v>500000</v>
      </c>
      <c r="N746" s="14">
        <v>11</v>
      </c>
      <c r="P746" s="14">
        <v>1</v>
      </c>
      <c r="Q746" s="15">
        <v>0.11</v>
      </c>
      <c r="R746" s="12">
        <v>25000</v>
      </c>
      <c r="S746" s="12">
        <v>1</v>
      </c>
      <c r="T746" s="12">
        <v>0</v>
      </c>
      <c r="U746" s="12">
        <v>20100</v>
      </c>
      <c r="V746" s="12">
        <v>1</v>
      </c>
      <c r="W746" s="12">
        <v>47992.559468170766</v>
      </c>
      <c r="X746">
        <v>1</v>
      </c>
      <c r="Y746">
        <v>1</v>
      </c>
      <c r="Z746" s="15">
        <v>0.30803425674463891</v>
      </c>
      <c r="AA746" t="str">
        <f t="shared" si="37"/>
        <v>1-CT</v>
      </c>
      <c r="AB746" s="9">
        <f t="shared" si="38"/>
        <v>55000</v>
      </c>
      <c r="AC746" s="9">
        <f t="shared" si="39"/>
        <v>154017.12837231945</v>
      </c>
    </row>
    <row r="747" spans="1:29" x14ac:dyDescent="0.25">
      <c r="A747" t="s">
        <v>29</v>
      </c>
      <c r="B747">
        <v>30012</v>
      </c>
      <c r="C747" s="8">
        <v>45581</v>
      </c>
      <c r="D747" s="9">
        <v>321600</v>
      </c>
      <c r="E747" s="10">
        <v>9</v>
      </c>
      <c r="F747" t="s">
        <v>586</v>
      </c>
      <c r="G747" s="11">
        <v>6</v>
      </c>
      <c r="H747" t="s">
        <v>31</v>
      </c>
      <c r="J747" s="12">
        <v>0</v>
      </c>
      <c r="L747" t="s">
        <v>38</v>
      </c>
      <c r="M747" s="13">
        <v>500000</v>
      </c>
      <c r="N747" s="14">
        <v>11</v>
      </c>
      <c r="P747" s="14">
        <v>1</v>
      </c>
      <c r="Q747" s="15">
        <v>0.11</v>
      </c>
      <c r="R747" s="12">
        <v>25000</v>
      </c>
      <c r="S747" s="12">
        <v>1</v>
      </c>
      <c r="T747" s="12">
        <v>0</v>
      </c>
      <c r="U747" s="12">
        <v>20100</v>
      </c>
      <c r="V747" s="12">
        <v>1</v>
      </c>
      <c r="W747" s="12">
        <v>47992.559468170766</v>
      </c>
      <c r="X747">
        <v>1</v>
      </c>
      <c r="Y747">
        <v>1</v>
      </c>
      <c r="Z747" s="15">
        <v>0.30803425674463891</v>
      </c>
      <c r="AA747" t="str">
        <f t="shared" si="37"/>
        <v>1-CT</v>
      </c>
      <c r="AB747" s="9">
        <f t="shared" si="38"/>
        <v>55000</v>
      </c>
      <c r="AC747" s="9">
        <f t="shared" si="39"/>
        <v>154017.12837231945</v>
      </c>
    </row>
    <row r="748" spans="1:29" x14ac:dyDescent="0.25">
      <c r="A748" t="s">
        <v>29</v>
      </c>
      <c r="B748">
        <v>30012</v>
      </c>
      <c r="C748" s="8">
        <v>45601</v>
      </c>
      <c r="D748" s="9">
        <v>321600</v>
      </c>
      <c r="E748" s="10">
        <v>9</v>
      </c>
      <c r="F748" t="s">
        <v>587</v>
      </c>
      <c r="G748" s="11">
        <v>6</v>
      </c>
      <c r="H748" t="s">
        <v>31</v>
      </c>
      <c r="J748" s="12">
        <v>0</v>
      </c>
      <c r="M748" s="13">
        <v>500000</v>
      </c>
      <c r="N748" s="14">
        <v>11</v>
      </c>
      <c r="P748" s="14">
        <v>1</v>
      </c>
      <c r="Q748" s="15">
        <v>0.11</v>
      </c>
      <c r="R748" s="12">
        <v>25000</v>
      </c>
      <c r="S748" s="12">
        <v>1</v>
      </c>
      <c r="T748" s="12">
        <v>0</v>
      </c>
      <c r="U748" s="12">
        <v>20100</v>
      </c>
      <c r="V748" s="12">
        <v>1</v>
      </c>
      <c r="W748" s="12">
        <v>47992.559468170766</v>
      </c>
      <c r="X748">
        <v>1</v>
      </c>
      <c r="Y748">
        <v>1</v>
      </c>
      <c r="Z748" s="15">
        <v>0.30803425674463891</v>
      </c>
      <c r="AA748" t="str">
        <f t="shared" si="37"/>
        <v>1-CT</v>
      </c>
      <c r="AB748" s="9">
        <f t="shared" si="38"/>
        <v>55000</v>
      </c>
      <c r="AC748" s="9">
        <f t="shared" si="39"/>
        <v>154017.12837231945</v>
      </c>
    </row>
    <row r="749" spans="1:29" x14ac:dyDescent="0.25">
      <c r="A749" t="s">
        <v>29</v>
      </c>
      <c r="B749">
        <v>30012</v>
      </c>
      <c r="C749" s="8">
        <v>45589</v>
      </c>
      <c r="D749" s="9">
        <v>321600</v>
      </c>
      <c r="E749" s="10">
        <v>9</v>
      </c>
      <c r="F749" t="s">
        <v>588</v>
      </c>
      <c r="G749" s="11">
        <v>6</v>
      </c>
      <c r="H749" t="s">
        <v>31</v>
      </c>
      <c r="J749" s="12">
        <v>0</v>
      </c>
      <c r="L749" t="s">
        <v>34</v>
      </c>
      <c r="M749" s="13">
        <v>500000</v>
      </c>
      <c r="N749" s="14">
        <v>11</v>
      </c>
      <c r="P749" s="14">
        <v>1</v>
      </c>
      <c r="Q749" s="15">
        <v>0.11</v>
      </c>
      <c r="R749" s="12">
        <v>25000</v>
      </c>
      <c r="S749" s="12">
        <v>1</v>
      </c>
      <c r="T749" s="12">
        <v>0</v>
      </c>
      <c r="U749" s="12">
        <v>20100</v>
      </c>
      <c r="V749" s="12">
        <v>1</v>
      </c>
      <c r="W749" s="12">
        <v>47992.559468170766</v>
      </c>
      <c r="X749">
        <v>1</v>
      </c>
      <c r="Y749">
        <v>1</v>
      </c>
      <c r="Z749" s="15">
        <v>0.30803425674463891</v>
      </c>
      <c r="AA749" t="str">
        <f t="shared" si="37"/>
        <v>1-CT</v>
      </c>
      <c r="AB749" s="9">
        <f t="shared" si="38"/>
        <v>55000</v>
      </c>
      <c r="AC749" s="9">
        <f t="shared" si="39"/>
        <v>154017.12837231945</v>
      </c>
    </row>
    <row r="750" spans="1:29" x14ac:dyDescent="0.25">
      <c r="A750" t="s">
        <v>29</v>
      </c>
      <c r="B750">
        <v>30012</v>
      </c>
      <c r="C750" s="8">
        <v>45582</v>
      </c>
      <c r="D750" s="9">
        <v>321600</v>
      </c>
      <c r="E750" s="10">
        <v>9</v>
      </c>
      <c r="F750" t="s">
        <v>589</v>
      </c>
      <c r="G750" s="11">
        <v>6</v>
      </c>
      <c r="H750" t="s">
        <v>31</v>
      </c>
      <c r="J750" s="12">
        <v>0</v>
      </c>
      <c r="L750" t="s">
        <v>38</v>
      </c>
      <c r="M750" s="13">
        <v>500000</v>
      </c>
      <c r="N750" s="14">
        <v>11</v>
      </c>
      <c r="P750" s="14">
        <v>1</v>
      </c>
      <c r="Q750" s="15">
        <v>0.11</v>
      </c>
      <c r="R750" s="12">
        <v>25000</v>
      </c>
      <c r="S750" s="12">
        <v>1</v>
      </c>
      <c r="T750" s="12">
        <v>0</v>
      </c>
      <c r="U750" s="12">
        <v>20100</v>
      </c>
      <c r="V750" s="12">
        <v>1</v>
      </c>
      <c r="W750" s="12">
        <v>47992.559468170766</v>
      </c>
      <c r="X750">
        <v>1</v>
      </c>
      <c r="Y750">
        <v>1</v>
      </c>
      <c r="Z750" s="15">
        <v>0.30803425674463891</v>
      </c>
      <c r="AA750" t="str">
        <f t="shared" si="37"/>
        <v>1-CT</v>
      </c>
      <c r="AB750" s="9">
        <f t="shared" si="38"/>
        <v>55000</v>
      </c>
      <c r="AC750" s="9">
        <f t="shared" si="39"/>
        <v>154017.12837231945</v>
      </c>
    </row>
    <row r="751" spans="1:29" x14ac:dyDescent="0.25">
      <c r="A751" t="s">
        <v>29</v>
      </c>
      <c r="B751">
        <v>30012</v>
      </c>
      <c r="C751" s="8">
        <v>45573</v>
      </c>
      <c r="D751" s="9">
        <v>321600</v>
      </c>
      <c r="E751" s="10">
        <v>9</v>
      </c>
      <c r="F751" t="s">
        <v>590</v>
      </c>
      <c r="G751" s="11">
        <v>6</v>
      </c>
      <c r="H751" t="s">
        <v>31</v>
      </c>
      <c r="J751" s="12">
        <v>0</v>
      </c>
      <c r="L751" t="s">
        <v>32</v>
      </c>
      <c r="M751" s="13">
        <v>500000</v>
      </c>
      <c r="N751" s="14">
        <v>11</v>
      </c>
      <c r="P751" s="14">
        <v>1</v>
      </c>
      <c r="Q751" s="15">
        <v>0.11</v>
      </c>
      <c r="R751" s="12">
        <v>25000</v>
      </c>
      <c r="S751" s="12">
        <v>1</v>
      </c>
      <c r="T751" s="12">
        <v>0</v>
      </c>
      <c r="U751" s="12">
        <v>20100</v>
      </c>
      <c r="V751" s="12">
        <v>1</v>
      </c>
      <c r="W751" s="12">
        <v>47992.559468170766</v>
      </c>
      <c r="X751">
        <v>1</v>
      </c>
      <c r="Y751">
        <v>1</v>
      </c>
      <c r="Z751" s="15">
        <v>0.30803425674463891</v>
      </c>
      <c r="AA751" t="str">
        <f t="shared" si="37"/>
        <v>1-CT</v>
      </c>
      <c r="AB751" s="9">
        <f t="shared" si="38"/>
        <v>55000</v>
      </c>
      <c r="AC751" s="9">
        <f t="shared" si="39"/>
        <v>154017.12837231945</v>
      </c>
    </row>
    <row r="752" spans="1:29" x14ac:dyDescent="0.25">
      <c r="A752" t="s">
        <v>29</v>
      </c>
      <c r="B752">
        <v>30012</v>
      </c>
      <c r="C752" s="8">
        <v>45572</v>
      </c>
      <c r="D752" s="9">
        <v>321600</v>
      </c>
      <c r="E752" s="10">
        <v>9</v>
      </c>
      <c r="F752" t="s">
        <v>591</v>
      </c>
      <c r="G752" s="11">
        <v>6</v>
      </c>
      <c r="H752" t="s">
        <v>31</v>
      </c>
      <c r="J752" s="12">
        <v>0</v>
      </c>
      <c r="L752" t="s">
        <v>36</v>
      </c>
      <c r="M752" s="13">
        <v>500000</v>
      </c>
      <c r="N752" s="14">
        <v>11</v>
      </c>
      <c r="P752" s="14">
        <v>1</v>
      </c>
      <c r="Q752" s="15">
        <v>0.11</v>
      </c>
      <c r="R752" s="12">
        <v>25000</v>
      </c>
      <c r="S752" s="12">
        <v>1</v>
      </c>
      <c r="T752" s="12">
        <v>0</v>
      </c>
      <c r="U752" s="12">
        <v>20100</v>
      </c>
      <c r="V752" s="12">
        <v>1</v>
      </c>
      <c r="W752" s="12">
        <v>47992.559468170766</v>
      </c>
      <c r="X752">
        <v>1</v>
      </c>
      <c r="Y752">
        <v>1</v>
      </c>
      <c r="Z752" s="15">
        <v>0.30803425674463891</v>
      </c>
      <c r="AA752" t="str">
        <f t="shared" si="37"/>
        <v>1-CT</v>
      </c>
      <c r="AB752" s="9">
        <f t="shared" si="38"/>
        <v>55000</v>
      </c>
      <c r="AC752" s="9">
        <f t="shared" si="39"/>
        <v>154017.12837231945</v>
      </c>
    </row>
    <row r="753" spans="1:29" x14ac:dyDescent="0.25">
      <c r="A753" t="s">
        <v>29</v>
      </c>
      <c r="B753">
        <v>30012</v>
      </c>
      <c r="C753" s="8">
        <v>45588</v>
      </c>
      <c r="D753" s="9">
        <v>321600</v>
      </c>
      <c r="E753" s="10">
        <v>9</v>
      </c>
      <c r="F753" t="s">
        <v>592</v>
      </c>
      <c r="G753" s="11">
        <v>6</v>
      </c>
      <c r="H753" t="s">
        <v>31</v>
      </c>
      <c r="J753" s="12">
        <v>0</v>
      </c>
      <c r="L753" t="s">
        <v>34</v>
      </c>
      <c r="M753" s="13">
        <v>500000</v>
      </c>
      <c r="N753" s="14">
        <v>11</v>
      </c>
      <c r="P753" s="14">
        <v>1</v>
      </c>
      <c r="Q753" s="15">
        <v>0.11</v>
      </c>
      <c r="R753" s="12">
        <v>25000</v>
      </c>
      <c r="S753" s="12">
        <v>1</v>
      </c>
      <c r="T753" s="12">
        <v>0</v>
      </c>
      <c r="U753" s="12">
        <v>20100</v>
      </c>
      <c r="V753" s="12">
        <v>1</v>
      </c>
      <c r="W753" s="12">
        <v>47992.559468170766</v>
      </c>
      <c r="X753">
        <v>1</v>
      </c>
      <c r="Y753">
        <v>1</v>
      </c>
      <c r="Z753" s="15">
        <v>0.30803425674463891</v>
      </c>
      <c r="AA753" t="str">
        <f t="shared" si="37"/>
        <v>1-CT</v>
      </c>
      <c r="AB753" s="9">
        <f t="shared" si="38"/>
        <v>55000</v>
      </c>
      <c r="AC753" s="9">
        <f t="shared" si="39"/>
        <v>154017.12837231945</v>
      </c>
    </row>
    <row r="754" spans="1:29" x14ac:dyDescent="0.25">
      <c r="A754" t="s">
        <v>29</v>
      </c>
      <c r="B754">
        <v>30012</v>
      </c>
      <c r="C754" s="8">
        <v>45567</v>
      </c>
      <c r="D754" s="9">
        <v>321600</v>
      </c>
      <c r="E754" s="10">
        <v>9</v>
      </c>
      <c r="F754" t="s">
        <v>593</v>
      </c>
      <c r="G754" s="11">
        <v>6</v>
      </c>
      <c r="H754" t="s">
        <v>31</v>
      </c>
      <c r="J754" s="12">
        <v>0</v>
      </c>
      <c r="L754" t="s">
        <v>36</v>
      </c>
      <c r="M754" s="13">
        <v>500000</v>
      </c>
      <c r="N754" s="14">
        <v>11</v>
      </c>
      <c r="P754" s="14">
        <v>1</v>
      </c>
      <c r="Q754" s="15">
        <v>0.11</v>
      </c>
      <c r="R754" s="12">
        <v>25000</v>
      </c>
      <c r="S754" s="12">
        <v>1</v>
      </c>
      <c r="T754" s="12">
        <v>0</v>
      </c>
      <c r="U754" s="12">
        <v>20100</v>
      </c>
      <c r="V754" s="12">
        <v>1</v>
      </c>
      <c r="W754" s="12">
        <v>47992.559468170766</v>
      </c>
      <c r="X754">
        <v>1</v>
      </c>
      <c r="Y754">
        <v>1</v>
      </c>
      <c r="Z754" s="15">
        <v>0.30803425674463891</v>
      </c>
      <c r="AA754" t="str">
        <f t="shared" si="37"/>
        <v>1-CT</v>
      </c>
      <c r="AB754" s="9">
        <f t="shared" si="38"/>
        <v>55000</v>
      </c>
      <c r="AC754" s="9">
        <f t="shared" si="39"/>
        <v>154017.12837231945</v>
      </c>
    </row>
    <row r="755" spans="1:29" x14ac:dyDescent="0.25">
      <c r="A755" t="s">
        <v>29</v>
      </c>
      <c r="B755">
        <v>30012</v>
      </c>
      <c r="C755" s="8">
        <v>45590</v>
      </c>
      <c r="D755" s="9">
        <v>321600</v>
      </c>
      <c r="E755" s="10">
        <v>9</v>
      </c>
      <c r="F755" t="s">
        <v>594</v>
      </c>
      <c r="G755" s="11">
        <v>6</v>
      </c>
      <c r="H755" t="s">
        <v>31</v>
      </c>
      <c r="J755" s="12">
        <v>0</v>
      </c>
      <c r="L755" t="s">
        <v>36</v>
      </c>
      <c r="M755" s="13">
        <v>500000</v>
      </c>
      <c r="N755" s="14">
        <v>11</v>
      </c>
      <c r="P755" s="14">
        <v>1</v>
      </c>
      <c r="Q755" s="15">
        <v>0.11</v>
      </c>
      <c r="R755" s="12">
        <v>25000</v>
      </c>
      <c r="S755" s="12">
        <v>1</v>
      </c>
      <c r="T755" s="12">
        <v>0</v>
      </c>
      <c r="U755" s="12">
        <v>20100</v>
      </c>
      <c r="V755" s="12">
        <v>1</v>
      </c>
      <c r="W755" s="12">
        <v>47992.559468170766</v>
      </c>
      <c r="X755">
        <v>1</v>
      </c>
      <c r="Y755">
        <v>1</v>
      </c>
      <c r="Z755" s="15">
        <v>0.30803425674463891</v>
      </c>
      <c r="AA755" t="str">
        <f t="shared" si="37"/>
        <v>1-CT</v>
      </c>
      <c r="AB755" s="9">
        <f t="shared" si="38"/>
        <v>55000</v>
      </c>
      <c r="AC755" s="9">
        <f t="shared" si="39"/>
        <v>154017.12837231945</v>
      </c>
    </row>
    <row r="756" spans="1:29" x14ac:dyDescent="0.25">
      <c r="A756" t="s">
        <v>29</v>
      </c>
      <c r="B756">
        <v>30012</v>
      </c>
      <c r="C756" s="8">
        <v>45572</v>
      </c>
      <c r="D756" s="9">
        <v>321600</v>
      </c>
      <c r="E756" s="10">
        <v>9</v>
      </c>
      <c r="F756" t="s">
        <v>595</v>
      </c>
      <c r="G756" s="11">
        <v>6</v>
      </c>
      <c r="H756" t="s">
        <v>31</v>
      </c>
      <c r="J756" s="12">
        <v>0</v>
      </c>
      <c r="L756" t="s">
        <v>38</v>
      </c>
      <c r="M756" s="13">
        <v>500000</v>
      </c>
      <c r="N756" s="14">
        <v>11</v>
      </c>
      <c r="P756" s="14">
        <v>1</v>
      </c>
      <c r="Q756" s="15">
        <v>0.11</v>
      </c>
      <c r="R756" s="12">
        <v>25000</v>
      </c>
      <c r="S756" s="12">
        <v>1</v>
      </c>
      <c r="T756" s="12">
        <v>0</v>
      </c>
      <c r="U756" s="12">
        <v>20100</v>
      </c>
      <c r="V756" s="12">
        <v>1</v>
      </c>
      <c r="W756" s="12">
        <v>47992.559468170766</v>
      </c>
      <c r="X756">
        <v>1</v>
      </c>
      <c r="Y756">
        <v>1</v>
      </c>
      <c r="Z756" s="15">
        <v>0.30803425674463891</v>
      </c>
      <c r="AA756" t="str">
        <f t="shared" si="37"/>
        <v>1-CT</v>
      </c>
      <c r="AB756" s="9">
        <f t="shared" si="38"/>
        <v>55000</v>
      </c>
      <c r="AC756" s="9">
        <f t="shared" si="39"/>
        <v>154017.12837231945</v>
      </c>
    </row>
    <row r="757" spans="1:29" x14ac:dyDescent="0.25">
      <c r="A757" t="s">
        <v>29</v>
      </c>
      <c r="B757">
        <v>30012</v>
      </c>
      <c r="C757" s="8">
        <v>45576</v>
      </c>
      <c r="D757" s="9">
        <v>321600</v>
      </c>
      <c r="E757" s="10">
        <v>9</v>
      </c>
      <c r="F757" t="s">
        <v>596</v>
      </c>
      <c r="G757" s="11">
        <v>6</v>
      </c>
      <c r="H757" t="s">
        <v>31</v>
      </c>
      <c r="J757" s="12">
        <v>0</v>
      </c>
      <c r="L757" t="s">
        <v>34</v>
      </c>
      <c r="M757" s="13">
        <v>500000</v>
      </c>
      <c r="N757" s="14">
        <v>11</v>
      </c>
      <c r="P757" s="14">
        <v>1</v>
      </c>
      <c r="Q757" s="15">
        <v>0.11</v>
      </c>
      <c r="R757" s="12">
        <v>25000</v>
      </c>
      <c r="S757" s="12">
        <v>1</v>
      </c>
      <c r="T757" s="12">
        <v>0</v>
      </c>
      <c r="U757" s="12">
        <v>20100</v>
      </c>
      <c r="V757" s="12">
        <v>1</v>
      </c>
      <c r="W757" s="12">
        <v>47992.559468170766</v>
      </c>
      <c r="X757">
        <v>1</v>
      </c>
      <c r="Y757">
        <v>1</v>
      </c>
      <c r="Z757" s="15">
        <v>0.30803425674463891</v>
      </c>
      <c r="AA757" t="str">
        <f t="shared" si="37"/>
        <v>1-CT</v>
      </c>
      <c r="AB757" s="9">
        <f t="shared" si="38"/>
        <v>55000</v>
      </c>
      <c r="AC757" s="9">
        <f t="shared" si="39"/>
        <v>154017.12837231945</v>
      </c>
    </row>
    <row r="758" spans="1:29" x14ac:dyDescent="0.25">
      <c r="A758" t="s">
        <v>29</v>
      </c>
      <c r="B758">
        <v>30012</v>
      </c>
      <c r="C758" s="8">
        <v>45589</v>
      </c>
      <c r="D758" s="9">
        <v>321600</v>
      </c>
      <c r="E758" s="10">
        <v>9</v>
      </c>
      <c r="F758" t="s">
        <v>597</v>
      </c>
      <c r="G758" s="11">
        <v>6</v>
      </c>
      <c r="H758" t="s">
        <v>31</v>
      </c>
      <c r="J758" s="12">
        <v>0</v>
      </c>
      <c r="L758" t="s">
        <v>40</v>
      </c>
      <c r="M758" s="13">
        <v>500000</v>
      </c>
      <c r="N758" s="14">
        <v>11</v>
      </c>
      <c r="P758" s="14">
        <v>1</v>
      </c>
      <c r="Q758" s="15">
        <v>0.11</v>
      </c>
      <c r="R758" s="12">
        <v>25000</v>
      </c>
      <c r="S758" s="12">
        <v>1</v>
      </c>
      <c r="T758" s="12">
        <v>0</v>
      </c>
      <c r="U758" s="12">
        <v>20100</v>
      </c>
      <c r="V758" s="12">
        <v>1</v>
      </c>
      <c r="W758" s="12">
        <v>47992.559468170766</v>
      </c>
      <c r="X758">
        <v>1</v>
      </c>
      <c r="Y758">
        <v>1</v>
      </c>
      <c r="Z758" s="15">
        <v>0.30803425674463891</v>
      </c>
      <c r="AA758" t="str">
        <f t="shared" si="37"/>
        <v>1-CT</v>
      </c>
      <c r="AB758" s="9">
        <f t="shared" si="38"/>
        <v>55000</v>
      </c>
      <c r="AC758" s="9">
        <f t="shared" si="39"/>
        <v>154017.12837231945</v>
      </c>
    </row>
    <row r="759" spans="1:29" x14ac:dyDescent="0.25">
      <c r="A759" t="s">
        <v>29</v>
      </c>
      <c r="B759">
        <v>30012</v>
      </c>
      <c r="C759" s="8">
        <v>45574</v>
      </c>
      <c r="D759" s="9">
        <v>321600</v>
      </c>
      <c r="E759" s="10">
        <v>9</v>
      </c>
      <c r="F759" t="s">
        <v>598</v>
      </c>
      <c r="G759" s="11">
        <v>6</v>
      </c>
      <c r="H759" t="s">
        <v>31</v>
      </c>
      <c r="J759" s="12">
        <v>0</v>
      </c>
      <c r="L759" t="s">
        <v>40</v>
      </c>
      <c r="M759" s="13">
        <v>500000</v>
      </c>
      <c r="N759" s="14">
        <v>11</v>
      </c>
      <c r="P759" s="14">
        <v>1</v>
      </c>
      <c r="Q759" s="15">
        <v>0.11</v>
      </c>
      <c r="R759" s="12">
        <v>25000</v>
      </c>
      <c r="S759" s="12">
        <v>1</v>
      </c>
      <c r="T759" s="12">
        <v>0</v>
      </c>
      <c r="U759" s="12">
        <v>20100</v>
      </c>
      <c r="V759" s="12">
        <v>1</v>
      </c>
      <c r="W759" s="12">
        <v>47992.559468170766</v>
      </c>
      <c r="X759">
        <v>1</v>
      </c>
      <c r="Y759">
        <v>1</v>
      </c>
      <c r="Z759" s="15">
        <v>0.30803425674463891</v>
      </c>
      <c r="AA759" t="str">
        <f t="shared" si="37"/>
        <v>1-CT</v>
      </c>
      <c r="AB759" s="9">
        <f t="shared" si="38"/>
        <v>55000</v>
      </c>
      <c r="AC759" s="9">
        <f t="shared" si="39"/>
        <v>154017.12837231945</v>
      </c>
    </row>
    <row r="760" spans="1:29" x14ac:dyDescent="0.25">
      <c r="A760" t="s">
        <v>29</v>
      </c>
      <c r="B760">
        <v>30012</v>
      </c>
      <c r="C760" s="8">
        <v>45607</v>
      </c>
      <c r="D760" s="9">
        <v>321600</v>
      </c>
      <c r="E760" s="10">
        <v>9</v>
      </c>
      <c r="F760" t="s">
        <v>599</v>
      </c>
      <c r="G760" s="11">
        <v>6</v>
      </c>
      <c r="H760" t="s">
        <v>31</v>
      </c>
      <c r="J760" s="12">
        <v>0</v>
      </c>
      <c r="L760" t="s">
        <v>32</v>
      </c>
      <c r="M760" s="13">
        <v>500000</v>
      </c>
      <c r="N760" s="14">
        <v>11</v>
      </c>
      <c r="P760" s="14">
        <v>1</v>
      </c>
      <c r="Q760" s="15">
        <v>0.11</v>
      </c>
      <c r="R760" s="12">
        <v>25000</v>
      </c>
      <c r="S760" s="12">
        <v>1</v>
      </c>
      <c r="T760" s="12">
        <v>0</v>
      </c>
      <c r="U760" s="12">
        <v>20100</v>
      </c>
      <c r="V760" s="12">
        <v>1</v>
      </c>
      <c r="W760" s="12">
        <v>47992.559468170766</v>
      </c>
      <c r="X760">
        <v>1</v>
      </c>
      <c r="Y760">
        <v>1</v>
      </c>
      <c r="Z760" s="15">
        <v>0.30803425674463891</v>
      </c>
      <c r="AA760" t="str">
        <f t="shared" si="37"/>
        <v>1-CT</v>
      </c>
      <c r="AB760" s="9">
        <f t="shared" si="38"/>
        <v>55000</v>
      </c>
      <c r="AC760" s="9">
        <f t="shared" si="39"/>
        <v>154017.12837231945</v>
      </c>
    </row>
    <row r="761" spans="1:29" x14ac:dyDescent="0.25">
      <c r="A761" t="s">
        <v>29</v>
      </c>
      <c r="B761">
        <v>30012</v>
      </c>
      <c r="C761" s="8">
        <v>45572</v>
      </c>
      <c r="D761" s="9">
        <v>321600</v>
      </c>
      <c r="E761" s="10">
        <v>9</v>
      </c>
      <c r="F761" t="s">
        <v>600</v>
      </c>
      <c r="G761" s="11">
        <v>6</v>
      </c>
      <c r="H761" t="s">
        <v>31</v>
      </c>
      <c r="J761" s="12">
        <v>0</v>
      </c>
      <c r="L761" t="s">
        <v>36</v>
      </c>
      <c r="M761" s="13">
        <v>500000</v>
      </c>
      <c r="N761" s="14">
        <v>11</v>
      </c>
      <c r="P761" s="14">
        <v>1</v>
      </c>
      <c r="Q761" s="15">
        <v>0.11</v>
      </c>
      <c r="R761" s="12">
        <v>25000</v>
      </c>
      <c r="S761" s="12">
        <v>1</v>
      </c>
      <c r="T761" s="12">
        <v>0</v>
      </c>
      <c r="U761" s="12">
        <v>20100</v>
      </c>
      <c r="V761" s="12">
        <v>1</v>
      </c>
      <c r="W761" s="12">
        <v>47992.559468170766</v>
      </c>
      <c r="X761">
        <v>1</v>
      </c>
      <c r="Y761">
        <v>1</v>
      </c>
      <c r="Z761" s="15">
        <v>0.30803425674463891</v>
      </c>
      <c r="AA761" t="str">
        <f t="shared" si="37"/>
        <v>1-CT</v>
      </c>
      <c r="AB761" s="9">
        <f t="shared" si="38"/>
        <v>55000</v>
      </c>
      <c r="AC761" s="9">
        <f t="shared" si="39"/>
        <v>154017.12837231945</v>
      </c>
    </row>
    <row r="762" spans="1:29" x14ac:dyDescent="0.25">
      <c r="A762" t="s">
        <v>29</v>
      </c>
      <c r="B762">
        <v>30012</v>
      </c>
      <c r="C762" s="8">
        <v>45590</v>
      </c>
      <c r="D762" s="9">
        <v>321600</v>
      </c>
      <c r="E762" s="10">
        <v>9</v>
      </c>
      <c r="F762" t="s">
        <v>601</v>
      </c>
      <c r="G762" s="11">
        <v>6</v>
      </c>
      <c r="H762" t="s">
        <v>31</v>
      </c>
      <c r="J762" s="12">
        <v>0</v>
      </c>
      <c r="L762" t="s">
        <v>32</v>
      </c>
      <c r="M762" s="13">
        <v>500000</v>
      </c>
      <c r="N762" s="14">
        <v>11</v>
      </c>
      <c r="P762" s="14">
        <v>1</v>
      </c>
      <c r="Q762" s="15">
        <v>0.11</v>
      </c>
      <c r="R762" s="12">
        <v>25000</v>
      </c>
      <c r="S762" s="12">
        <v>1</v>
      </c>
      <c r="T762" s="12">
        <v>0</v>
      </c>
      <c r="U762" s="12">
        <v>20100</v>
      </c>
      <c r="V762" s="12">
        <v>1</v>
      </c>
      <c r="W762" s="12">
        <v>47992.559468170766</v>
      </c>
      <c r="X762">
        <v>1</v>
      </c>
      <c r="Y762">
        <v>1</v>
      </c>
      <c r="Z762" s="15">
        <v>0.30803425674463891</v>
      </c>
      <c r="AA762" t="str">
        <f t="shared" si="37"/>
        <v>1-CT</v>
      </c>
      <c r="AB762" s="9">
        <f t="shared" si="38"/>
        <v>55000</v>
      </c>
      <c r="AC762" s="9">
        <f t="shared" si="39"/>
        <v>154017.12837231945</v>
      </c>
    </row>
    <row r="763" spans="1:29" x14ac:dyDescent="0.25">
      <c r="A763" t="s">
        <v>29</v>
      </c>
      <c r="B763">
        <v>30012</v>
      </c>
      <c r="C763" s="8">
        <v>45575</v>
      </c>
      <c r="D763" s="9">
        <v>321600</v>
      </c>
      <c r="E763" s="10">
        <v>9</v>
      </c>
      <c r="F763" t="s">
        <v>602</v>
      </c>
      <c r="G763" s="11">
        <v>6</v>
      </c>
      <c r="H763" t="s">
        <v>31</v>
      </c>
      <c r="J763" s="12">
        <v>0</v>
      </c>
      <c r="L763" t="s">
        <v>38</v>
      </c>
      <c r="M763" s="13">
        <v>500000</v>
      </c>
      <c r="N763" s="14">
        <v>11</v>
      </c>
      <c r="P763" s="14">
        <v>1</v>
      </c>
      <c r="Q763" s="15">
        <v>0.11</v>
      </c>
      <c r="R763" s="12">
        <v>25000</v>
      </c>
      <c r="S763" s="12">
        <v>1</v>
      </c>
      <c r="T763" s="12">
        <v>0</v>
      </c>
      <c r="U763" s="12">
        <v>20100</v>
      </c>
      <c r="V763" s="12">
        <v>1</v>
      </c>
      <c r="W763" s="12">
        <v>47992.559468170766</v>
      </c>
      <c r="X763">
        <v>1</v>
      </c>
      <c r="Y763">
        <v>1</v>
      </c>
      <c r="Z763" s="15">
        <v>0.30803425674463891</v>
      </c>
      <c r="AA763" t="str">
        <f t="shared" si="37"/>
        <v>1-CT</v>
      </c>
      <c r="AB763" s="9">
        <f t="shared" si="38"/>
        <v>55000</v>
      </c>
      <c r="AC763" s="9">
        <f t="shared" si="39"/>
        <v>154017.12837231945</v>
      </c>
    </row>
    <row r="764" spans="1:29" x14ac:dyDescent="0.25">
      <c r="A764" t="s">
        <v>29</v>
      </c>
      <c r="B764">
        <v>30012</v>
      </c>
      <c r="C764" s="8">
        <v>45587</v>
      </c>
      <c r="D764" s="9">
        <v>321600</v>
      </c>
      <c r="E764" s="10">
        <v>9</v>
      </c>
      <c r="F764" t="s">
        <v>603</v>
      </c>
      <c r="G764" s="11">
        <v>6</v>
      </c>
      <c r="H764" t="s">
        <v>31</v>
      </c>
      <c r="J764" s="12">
        <v>0</v>
      </c>
      <c r="L764" t="s">
        <v>38</v>
      </c>
      <c r="M764" s="13">
        <v>500000</v>
      </c>
      <c r="N764" s="14">
        <v>11</v>
      </c>
      <c r="P764" s="14">
        <v>1</v>
      </c>
      <c r="Q764" s="15">
        <v>0.11</v>
      </c>
      <c r="R764" s="12">
        <v>25000</v>
      </c>
      <c r="S764" s="12">
        <v>1</v>
      </c>
      <c r="T764" s="12">
        <v>0</v>
      </c>
      <c r="U764" s="12">
        <v>20100</v>
      </c>
      <c r="V764" s="12">
        <v>1</v>
      </c>
      <c r="W764" s="12">
        <v>47992.559468170766</v>
      </c>
      <c r="X764">
        <v>1</v>
      </c>
      <c r="Y764">
        <v>1</v>
      </c>
      <c r="Z764" s="15">
        <v>0.30803425674463891</v>
      </c>
      <c r="AA764" t="str">
        <f t="shared" si="37"/>
        <v>1-CT</v>
      </c>
      <c r="AB764" s="9">
        <f t="shared" si="38"/>
        <v>55000</v>
      </c>
      <c r="AC764" s="9">
        <f t="shared" si="39"/>
        <v>154017.12837231945</v>
      </c>
    </row>
    <row r="765" spans="1:29" x14ac:dyDescent="0.25">
      <c r="A765" t="s">
        <v>29</v>
      </c>
      <c r="B765">
        <v>30012</v>
      </c>
      <c r="C765" s="8">
        <v>45574</v>
      </c>
      <c r="D765" s="9">
        <v>321600</v>
      </c>
      <c r="E765" s="10">
        <v>9</v>
      </c>
      <c r="F765" t="s">
        <v>604</v>
      </c>
      <c r="G765" s="11">
        <v>6</v>
      </c>
      <c r="H765" t="s">
        <v>31</v>
      </c>
      <c r="J765" s="12">
        <v>0</v>
      </c>
      <c r="L765" t="s">
        <v>32</v>
      </c>
      <c r="M765" s="13">
        <v>500000</v>
      </c>
      <c r="N765" s="14">
        <v>11</v>
      </c>
      <c r="P765" s="14">
        <v>1</v>
      </c>
      <c r="Q765" s="15">
        <v>0.11</v>
      </c>
      <c r="R765" s="12">
        <v>25000</v>
      </c>
      <c r="S765" s="12">
        <v>1</v>
      </c>
      <c r="T765" s="12">
        <v>0</v>
      </c>
      <c r="U765" s="12">
        <v>20100</v>
      </c>
      <c r="V765" s="12">
        <v>1</v>
      </c>
      <c r="W765" s="12">
        <v>47992.559468170766</v>
      </c>
      <c r="X765">
        <v>1</v>
      </c>
      <c r="Y765">
        <v>1</v>
      </c>
      <c r="Z765" s="15">
        <v>0.30803425674463891</v>
      </c>
      <c r="AA765" t="str">
        <f t="shared" si="37"/>
        <v>1-CT</v>
      </c>
      <c r="AB765" s="9">
        <f t="shared" si="38"/>
        <v>55000</v>
      </c>
      <c r="AC765" s="9">
        <f t="shared" si="39"/>
        <v>154017.12837231945</v>
      </c>
    </row>
    <row r="766" spans="1:29" x14ac:dyDescent="0.25">
      <c r="A766" t="s">
        <v>29</v>
      </c>
      <c r="B766">
        <v>30012</v>
      </c>
      <c r="C766" s="8">
        <v>45566</v>
      </c>
      <c r="D766" s="9">
        <v>321600</v>
      </c>
      <c r="E766" s="10">
        <v>9</v>
      </c>
      <c r="F766" t="s">
        <v>605</v>
      </c>
      <c r="G766" s="11">
        <v>6</v>
      </c>
      <c r="H766" t="s">
        <v>31</v>
      </c>
      <c r="J766" s="12">
        <v>0</v>
      </c>
      <c r="L766" t="s">
        <v>38</v>
      </c>
      <c r="M766" s="13">
        <v>500000</v>
      </c>
      <c r="N766" s="14">
        <v>11</v>
      </c>
      <c r="P766" s="14">
        <v>1</v>
      </c>
      <c r="Q766" s="15">
        <v>0.11</v>
      </c>
      <c r="R766" s="12">
        <v>25000</v>
      </c>
      <c r="S766" s="12">
        <v>1</v>
      </c>
      <c r="T766" s="12">
        <v>0</v>
      </c>
      <c r="U766" s="12">
        <v>20100</v>
      </c>
      <c r="V766" s="12">
        <v>1</v>
      </c>
      <c r="W766" s="12">
        <v>47992.559468170766</v>
      </c>
      <c r="X766">
        <v>1</v>
      </c>
      <c r="Y766">
        <v>1</v>
      </c>
      <c r="Z766" s="15">
        <v>0.30803425674463891</v>
      </c>
      <c r="AA766" t="str">
        <f t="shared" si="37"/>
        <v>1-CT</v>
      </c>
      <c r="AB766" s="9">
        <f t="shared" si="38"/>
        <v>55000</v>
      </c>
      <c r="AC766" s="9">
        <f t="shared" si="39"/>
        <v>154017.12837231945</v>
      </c>
    </row>
    <row r="767" spans="1:29" x14ac:dyDescent="0.25">
      <c r="A767" t="s">
        <v>29</v>
      </c>
      <c r="B767">
        <v>30012</v>
      </c>
      <c r="C767" s="8">
        <v>45637</v>
      </c>
      <c r="D767" s="9">
        <v>321620</v>
      </c>
      <c r="E767" s="10">
        <v>2</v>
      </c>
      <c r="F767" t="s">
        <v>606</v>
      </c>
      <c r="G767" s="11">
        <v>6</v>
      </c>
      <c r="H767" t="s">
        <v>31</v>
      </c>
      <c r="J767" s="12">
        <v>0</v>
      </c>
      <c r="L767" t="s">
        <v>32</v>
      </c>
      <c r="M767" s="13">
        <v>445000</v>
      </c>
      <c r="N767" s="14">
        <v>12</v>
      </c>
      <c r="P767" s="14">
        <v>1</v>
      </c>
      <c r="Q767" s="15">
        <v>0.105</v>
      </c>
      <c r="R767" s="12">
        <v>25000</v>
      </c>
      <c r="S767" s="12">
        <v>1</v>
      </c>
      <c r="T767" s="12">
        <v>0</v>
      </c>
      <c r="U767" s="12">
        <v>19132</v>
      </c>
      <c r="V767" s="12">
        <v>1</v>
      </c>
      <c r="W767" s="12">
        <v>39226.128287939464</v>
      </c>
      <c r="X767">
        <v>1</v>
      </c>
      <c r="Y767">
        <v>1</v>
      </c>
      <c r="Z767" s="15">
        <v>0.3074303303914841</v>
      </c>
      <c r="AA767" t="str">
        <f t="shared" si="37"/>
        <v>1-CT</v>
      </c>
      <c r="AB767" s="9">
        <f t="shared" si="38"/>
        <v>46725</v>
      </c>
      <c r="AC767" s="9">
        <f t="shared" si="39"/>
        <v>136806.49702421043</v>
      </c>
    </row>
    <row r="768" spans="1:29" x14ac:dyDescent="0.25">
      <c r="A768" t="s">
        <v>29</v>
      </c>
      <c r="B768">
        <v>30012</v>
      </c>
      <c r="C768" s="8">
        <v>45581</v>
      </c>
      <c r="D768" s="9">
        <v>321600</v>
      </c>
      <c r="E768" s="10">
        <v>9</v>
      </c>
      <c r="F768" t="s">
        <v>607</v>
      </c>
      <c r="G768" s="11">
        <v>6</v>
      </c>
      <c r="H768" t="s">
        <v>31</v>
      </c>
      <c r="J768" s="12">
        <v>0</v>
      </c>
      <c r="L768" t="s">
        <v>40</v>
      </c>
      <c r="M768" s="13">
        <v>710000</v>
      </c>
      <c r="N768" s="14">
        <v>11</v>
      </c>
      <c r="P768" s="14">
        <v>1</v>
      </c>
      <c r="Q768" s="15">
        <v>0.11</v>
      </c>
      <c r="R768" s="12">
        <v>40000</v>
      </c>
      <c r="S768" s="12">
        <v>1</v>
      </c>
      <c r="T768" s="12">
        <v>0</v>
      </c>
      <c r="U768" s="12">
        <v>23796</v>
      </c>
      <c r="V768" s="12">
        <v>1</v>
      </c>
      <c r="W768" s="12">
        <v>68149.434444802479</v>
      </c>
      <c r="X768">
        <v>1</v>
      </c>
      <c r="Y768">
        <v>1</v>
      </c>
      <c r="Z768" s="15">
        <v>0.30721886595445902</v>
      </c>
      <c r="AA768" t="str">
        <f t="shared" si="37"/>
        <v>1-CT</v>
      </c>
      <c r="AB768" s="9">
        <f t="shared" si="38"/>
        <v>78100</v>
      </c>
      <c r="AC768" s="9">
        <f t="shared" si="39"/>
        <v>218125.39482766591</v>
      </c>
    </row>
    <row r="769" spans="1:29" x14ac:dyDescent="0.25">
      <c r="A769" t="s">
        <v>29</v>
      </c>
      <c r="B769">
        <v>30012</v>
      </c>
      <c r="C769" s="8">
        <v>45623</v>
      </c>
      <c r="D769" s="9">
        <v>321300</v>
      </c>
      <c r="E769" s="10">
        <v>9</v>
      </c>
      <c r="F769" t="s">
        <v>608</v>
      </c>
      <c r="G769" s="11" t="s">
        <v>205</v>
      </c>
      <c r="H769" t="s">
        <v>31</v>
      </c>
      <c r="I769" t="s">
        <v>609</v>
      </c>
      <c r="J769" s="12">
        <v>0</v>
      </c>
      <c r="L769" t="s">
        <v>109</v>
      </c>
      <c r="M769" s="13">
        <v>34000000</v>
      </c>
      <c r="N769" s="14">
        <v>3</v>
      </c>
      <c r="P769" s="14">
        <v>1</v>
      </c>
      <c r="Q769" s="15">
        <v>0.12</v>
      </c>
      <c r="R769" s="12">
        <v>1020000</v>
      </c>
      <c r="S769" s="12">
        <v>1</v>
      </c>
      <c r="T769" s="12">
        <v>0</v>
      </c>
      <c r="U769" s="12">
        <v>0</v>
      </c>
      <c r="V769" s="12">
        <v>1</v>
      </c>
      <c r="W769" s="12">
        <v>11560751.790369952</v>
      </c>
      <c r="X769">
        <v>1</v>
      </c>
      <c r="Y769">
        <v>1</v>
      </c>
      <c r="Z769" s="15">
        <v>0.30710213312925672</v>
      </c>
      <c r="AA769" t="str">
        <f t="shared" si="37"/>
        <v>1-CT</v>
      </c>
      <c r="AB769" s="9">
        <f t="shared" si="38"/>
        <v>4080000</v>
      </c>
      <c r="AC769" s="9">
        <f t="shared" si="39"/>
        <v>10441472.526394729</v>
      </c>
    </row>
    <row r="770" spans="1:29" x14ac:dyDescent="0.25">
      <c r="A770" t="s">
        <v>29</v>
      </c>
      <c r="B770">
        <v>30012</v>
      </c>
      <c r="C770" s="8">
        <v>45635</v>
      </c>
      <c r="D770" s="9">
        <v>321620</v>
      </c>
      <c r="E770" s="10">
        <v>2</v>
      </c>
      <c r="F770" t="s">
        <v>610</v>
      </c>
      <c r="G770" s="11">
        <v>6</v>
      </c>
      <c r="H770" t="s">
        <v>31</v>
      </c>
      <c r="J770" s="12">
        <v>0</v>
      </c>
      <c r="L770" t="s">
        <v>38</v>
      </c>
      <c r="M770" s="13">
        <v>447000</v>
      </c>
      <c r="N770" s="14">
        <v>12</v>
      </c>
      <c r="P770" s="14">
        <v>1</v>
      </c>
      <c r="Q770" s="15">
        <v>0.105</v>
      </c>
      <c r="R770" s="12">
        <v>25000</v>
      </c>
      <c r="S770" s="12">
        <v>1</v>
      </c>
      <c r="T770" s="12">
        <v>0</v>
      </c>
      <c r="U770" s="12">
        <v>19167.2</v>
      </c>
      <c r="V770" s="12">
        <v>1</v>
      </c>
      <c r="W770" s="12">
        <v>39402.425493727962</v>
      </c>
      <c r="X770">
        <v>1</v>
      </c>
      <c r="Y770">
        <v>1</v>
      </c>
      <c r="Z770" s="15">
        <v>0.30662616920271213</v>
      </c>
      <c r="AA770" t="str">
        <f t="shared" si="37"/>
        <v>1-CT</v>
      </c>
      <c r="AB770" s="9">
        <f t="shared" si="38"/>
        <v>46935</v>
      </c>
      <c r="AC770" s="9">
        <f t="shared" si="39"/>
        <v>137061.89763361233</v>
      </c>
    </row>
    <row r="771" spans="1:29" x14ac:dyDescent="0.25">
      <c r="A771" t="s">
        <v>29</v>
      </c>
      <c r="B771">
        <v>30012</v>
      </c>
      <c r="C771" s="8">
        <v>45595</v>
      </c>
      <c r="D771" s="9">
        <v>321600</v>
      </c>
      <c r="E771" s="10">
        <v>9</v>
      </c>
      <c r="F771" t="s">
        <v>611</v>
      </c>
      <c r="G771" s="11">
        <v>6</v>
      </c>
      <c r="H771" t="s">
        <v>31</v>
      </c>
      <c r="J771" s="12">
        <v>0</v>
      </c>
      <c r="L771" t="s">
        <v>32</v>
      </c>
      <c r="M771" s="13">
        <v>715000</v>
      </c>
      <c r="N771" s="14">
        <v>11</v>
      </c>
      <c r="P771" s="14">
        <v>1</v>
      </c>
      <c r="Q771" s="15">
        <v>0.11</v>
      </c>
      <c r="R771" s="12">
        <v>40000</v>
      </c>
      <c r="S771" s="12">
        <v>1</v>
      </c>
      <c r="T771" s="12">
        <v>0</v>
      </c>
      <c r="U771" s="12">
        <v>23884</v>
      </c>
      <c r="V771" s="12">
        <v>1</v>
      </c>
      <c r="W771" s="12">
        <v>68629.360039484192</v>
      </c>
      <c r="X771">
        <v>1</v>
      </c>
      <c r="Y771">
        <v>1</v>
      </c>
      <c r="Z771" s="15">
        <v>0.30603060397776083</v>
      </c>
      <c r="AA771" t="str">
        <f t="shared" ref="AA771:AA818" si="40">IF(N771&lt;=24,"1-CT",IF(N771&gt;60,"3-LT","2-MT"))</f>
        <v>1-CT</v>
      </c>
      <c r="AB771" s="9">
        <f t="shared" ref="AB771:AB818" si="41">Q771*M771</f>
        <v>78650</v>
      </c>
      <c r="AC771" s="9">
        <f t="shared" ref="AC771:AC818" si="42">Z771*M771</f>
        <v>218811.881844099</v>
      </c>
    </row>
    <row r="772" spans="1:29" x14ac:dyDescent="0.25">
      <c r="A772" t="s">
        <v>29</v>
      </c>
      <c r="B772">
        <v>30012</v>
      </c>
      <c r="C772" s="8">
        <v>45643</v>
      </c>
      <c r="D772" s="9">
        <v>321620</v>
      </c>
      <c r="E772" s="10">
        <v>2</v>
      </c>
      <c r="F772" t="s">
        <v>612</v>
      </c>
      <c r="G772" s="11">
        <v>6</v>
      </c>
      <c r="H772" t="s">
        <v>31</v>
      </c>
      <c r="J772" s="12">
        <v>0</v>
      </c>
      <c r="L772" t="s">
        <v>32</v>
      </c>
      <c r="M772" s="13">
        <v>450000</v>
      </c>
      <c r="N772" s="14">
        <v>12</v>
      </c>
      <c r="P772" s="14">
        <v>1</v>
      </c>
      <c r="Q772" s="15">
        <v>0.105</v>
      </c>
      <c r="R772" s="12">
        <v>25000</v>
      </c>
      <c r="S772" s="12">
        <v>1</v>
      </c>
      <c r="T772" s="12">
        <v>0</v>
      </c>
      <c r="U772" s="12">
        <v>19220</v>
      </c>
      <c r="V772" s="12">
        <v>1</v>
      </c>
      <c r="W772" s="12">
        <v>39666.871302410698</v>
      </c>
      <c r="X772">
        <v>1</v>
      </c>
      <c r="Y772">
        <v>1</v>
      </c>
      <c r="Z772" s="15">
        <v>0.30543421140324811</v>
      </c>
      <c r="AA772" t="str">
        <f t="shared" si="40"/>
        <v>1-CT</v>
      </c>
      <c r="AB772" s="9">
        <f t="shared" si="41"/>
        <v>47250</v>
      </c>
      <c r="AC772" s="9">
        <f t="shared" si="42"/>
        <v>137445.39513146164</v>
      </c>
    </row>
    <row r="773" spans="1:29" x14ac:dyDescent="0.25">
      <c r="A773" t="s">
        <v>29</v>
      </c>
      <c r="B773">
        <v>30012</v>
      </c>
      <c r="C773" s="8">
        <v>45638</v>
      </c>
      <c r="D773" s="9">
        <v>321620</v>
      </c>
      <c r="E773" s="10">
        <v>2</v>
      </c>
      <c r="F773" t="s">
        <v>613</v>
      </c>
      <c r="G773" s="11">
        <v>6</v>
      </c>
      <c r="H773" t="s">
        <v>31</v>
      </c>
      <c r="J773" s="12">
        <v>0</v>
      </c>
      <c r="L773" t="s">
        <v>34</v>
      </c>
      <c r="M773" s="13">
        <v>450000</v>
      </c>
      <c r="N773" s="14">
        <v>12</v>
      </c>
      <c r="P773" s="14">
        <v>1</v>
      </c>
      <c r="Q773" s="15">
        <v>0.105</v>
      </c>
      <c r="R773" s="12">
        <v>25000</v>
      </c>
      <c r="S773" s="12">
        <v>1</v>
      </c>
      <c r="T773" s="12">
        <v>0</v>
      </c>
      <c r="U773" s="12">
        <v>19220</v>
      </c>
      <c r="V773" s="12">
        <v>1</v>
      </c>
      <c r="W773" s="12">
        <v>39666.871302410698</v>
      </c>
      <c r="X773">
        <v>1</v>
      </c>
      <c r="Y773">
        <v>1</v>
      </c>
      <c r="Z773" s="15">
        <v>0.30543421140324811</v>
      </c>
      <c r="AA773" t="str">
        <f t="shared" si="40"/>
        <v>1-CT</v>
      </c>
      <c r="AB773" s="9">
        <f t="shared" si="41"/>
        <v>47250</v>
      </c>
      <c r="AC773" s="9">
        <f t="shared" si="42"/>
        <v>137445.39513146164</v>
      </c>
    </row>
    <row r="774" spans="1:29" x14ac:dyDescent="0.25">
      <c r="A774" t="s">
        <v>29</v>
      </c>
      <c r="B774">
        <v>30012</v>
      </c>
      <c r="C774" s="8">
        <v>45582</v>
      </c>
      <c r="D774" s="9">
        <v>321600</v>
      </c>
      <c r="E774" s="10">
        <v>9</v>
      </c>
      <c r="F774" t="s">
        <v>614</v>
      </c>
      <c r="G774" s="11">
        <v>6</v>
      </c>
      <c r="H774" t="s">
        <v>31</v>
      </c>
      <c r="J774" s="12">
        <v>0</v>
      </c>
      <c r="L774" t="s">
        <v>32</v>
      </c>
      <c r="M774" s="13">
        <v>718000</v>
      </c>
      <c r="N774" s="14">
        <v>11</v>
      </c>
      <c r="P774" s="14">
        <v>1</v>
      </c>
      <c r="Q774" s="15">
        <v>0.11</v>
      </c>
      <c r="R774" s="12">
        <v>40000</v>
      </c>
      <c r="S774" s="12">
        <v>1</v>
      </c>
      <c r="T774" s="12">
        <v>0</v>
      </c>
      <c r="U774" s="12">
        <v>23936.799999999999</v>
      </c>
      <c r="V774" s="12">
        <v>1</v>
      </c>
      <c r="W774" s="12">
        <v>68917.315396293227</v>
      </c>
      <c r="X774">
        <v>1</v>
      </c>
      <c r="Y774">
        <v>1</v>
      </c>
      <c r="Z774" s="15">
        <v>0.30532605028844334</v>
      </c>
      <c r="AA774" t="str">
        <f t="shared" si="40"/>
        <v>1-CT</v>
      </c>
      <c r="AB774" s="9">
        <f t="shared" si="41"/>
        <v>78980</v>
      </c>
      <c r="AC774" s="9">
        <f t="shared" si="42"/>
        <v>219224.10410710232</v>
      </c>
    </row>
    <row r="775" spans="1:29" x14ac:dyDescent="0.25">
      <c r="A775" t="s">
        <v>29</v>
      </c>
      <c r="B775">
        <v>30012</v>
      </c>
      <c r="C775" s="8">
        <v>45569</v>
      </c>
      <c r="D775" s="9">
        <v>321600</v>
      </c>
      <c r="E775" s="10">
        <v>9</v>
      </c>
      <c r="F775" t="s">
        <v>615</v>
      </c>
      <c r="G775" s="11">
        <v>6</v>
      </c>
      <c r="H775" t="s">
        <v>31</v>
      </c>
      <c r="J775" s="12">
        <v>0</v>
      </c>
      <c r="L775" t="s">
        <v>40</v>
      </c>
      <c r="M775" s="13">
        <v>700000</v>
      </c>
      <c r="N775" s="14">
        <v>11</v>
      </c>
      <c r="P775" s="14">
        <v>1</v>
      </c>
      <c r="Q775" s="15">
        <v>0.11</v>
      </c>
      <c r="R775" s="12">
        <v>40000</v>
      </c>
      <c r="S775" s="12">
        <v>1</v>
      </c>
      <c r="T775" s="12">
        <v>0</v>
      </c>
      <c r="U775" s="12">
        <v>22320</v>
      </c>
      <c r="V775" s="12">
        <v>1</v>
      </c>
      <c r="W775" s="12">
        <v>67189.58325543908</v>
      </c>
      <c r="X775">
        <v>1</v>
      </c>
      <c r="Y775">
        <v>1</v>
      </c>
      <c r="Z775" s="15">
        <v>0.30527930142765508</v>
      </c>
      <c r="AA775" t="str">
        <f t="shared" si="40"/>
        <v>1-CT</v>
      </c>
      <c r="AB775" s="9">
        <f t="shared" si="41"/>
        <v>77000</v>
      </c>
      <c r="AC775" s="9">
        <f t="shared" si="42"/>
        <v>213695.51099935855</v>
      </c>
    </row>
    <row r="776" spans="1:29" x14ac:dyDescent="0.25">
      <c r="A776" t="s">
        <v>29</v>
      </c>
      <c r="B776">
        <v>30012</v>
      </c>
      <c r="C776" s="8">
        <v>45574</v>
      </c>
      <c r="D776" s="9">
        <v>321600</v>
      </c>
      <c r="E776" s="10">
        <v>9</v>
      </c>
      <c r="F776" t="s">
        <v>616</v>
      </c>
      <c r="G776" s="11">
        <v>6</v>
      </c>
      <c r="H776" t="s">
        <v>31</v>
      </c>
      <c r="J776" s="12">
        <v>0</v>
      </c>
      <c r="L776" t="s">
        <v>32</v>
      </c>
      <c r="M776" s="13">
        <v>720000</v>
      </c>
      <c r="N776" s="14">
        <v>11</v>
      </c>
      <c r="P776" s="14">
        <v>1</v>
      </c>
      <c r="Q776" s="15">
        <v>0.11</v>
      </c>
      <c r="R776" s="12">
        <v>40000</v>
      </c>
      <c r="S776" s="12">
        <v>1</v>
      </c>
      <c r="T776" s="12">
        <v>0</v>
      </c>
      <c r="U776" s="12">
        <v>23972</v>
      </c>
      <c r="V776" s="12">
        <v>1</v>
      </c>
      <c r="W776" s="12">
        <v>69109.285634165906</v>
      </c>
      <c r="X776">
        <v>1</v>
      </c>
      <c r="Y776">
        <v>1</v>
      </c>
      <c r="Z776" s="15">
        <v>0.30485979782029549</v>
      </c>
      <c r="AA776" t="str">
        <f t="shared" si="40"/>
        <v>1-CT</v>
      </c>
      <c r="AB776" s="9">
        <f t="shared" si="41"/>
        <v>79200</v>
      </c>
      <c r="AC776" s="9">
        <f t="shared" si="42"/>
        <v>219499.05443061274</v>
      </c>
    </row>
    <row r="777" spans="1:29" x14ac:dyDescent="0.25">
      <c r="A777" t="s">
        <v>29</v>
      </c>
      <c r="B777">
        <v>30012</v>
      </c>
      <c r="C777" s="8">
        <v>45572</v>
      </c>
      <c r="D777" s="9">
        <v>321600</v>
      </c>
      <c r="E777" s="10">
        <v>9</v>
      </c>
      <c r="F777" t="s">
        <v>617</v>
      </c>
      <c r="G777" s="11">
        <v>6</v>
      </c>
      <c r="H777" t="s">
        <v>31</v>
      </c>
      <c r="J777" s="12">
        <v>0</v>
      </c>
      <c r="L777" t="s">
        <v>34</v>
      </c>
      <c r="M777" s="13">
        <v>721000</v>
      </c>
      <c r="N777" s="14">
        <v>11</v>
      </c>
      <c r="P777" s="14">
        <v>1</v>
      </c>
      <c r="Q777" s="15">
        <v>0.11</v>
      </c>
      <c r="R777" s="12">
        <v>40000</v>
      </c>
      <c r="S777" s="12">
        <v>1</v>
      </c>
      <c r="T777" s="12">
        <v>0</v>
      </c>
      <c r="U777" s="12">
        <v>23989.599999999999</v>
      </c>
      <c r="V777" s="12">
        <v>1</v>
      </c>
      <c r="W777" s="12">
        <v>69205.270753102246</v>
      </c>
      <c r="X777">
        <v>1</v>
      </c>
      <c r="Y777">
        <v>1</v>
      </c>
      <c r="Z777" s="15">
        <v>0.30462769746947638</v>
      </c>
      <c r="AA777" t="str">
        <f t="shared" si="40"/>
        <v>1-CT</v>
      </c>
      <c r="AB777" s="9">
        <f t="shared" si="41"/>
        <v>79310</v>
      </c>
      <c r="AC777" s="9">
        <f t="shared" si="42"/>
        <v>219636.56987549248</v>
      </c>
    </row>
    <row r="778" spans="1:29" x14ac:dyDescent="0.25">
      <c r="A778" t="s">
        <v>29</v>
      </c>
      <c r="B778">
        <v>30012</v>
      </c>
      <c r="C778" s="8">
        <v>45636</v>
      </c>
      <c r="D778" s="9">
        <v>321620</v>
      </c>
      <c r="E778" s="10">
        <v>2</v>
      </c>
      <c r="F778" t="s">
        <v>618</v>
      </c>
      <c r="G778" s="11">
        <v>6</v>
      </c>
      <c r="H778" t="s">
        <v>31</v>
      </c>
      <c r="J778" s="12">
        <v>0</v>
      </c>
      <c r="L778" t="s">
        <v>32</v>
      </c>
      <c r="M778" s="13">
        <v>300000</v>
      </c>
      <c r="N778" s="14">
        <v>12</v>
      </c>
      <c r="P778" s="14">
        <v>1</v>
      </c>
      <c r="Q778" s="15">
        <v>0.105</v>
      </c>
      <c r="R778" s="12">
        <v>25000</v>
      </c>
      <c r="S778" s="12">
        <v>1</v>
      </c>
      <c r="T778" s="12">
        <v>0</v>
      </c>
      <c r="U778" s="12">
        <v>4300</v>
      </c>
      <c r="V778" s="12">
        <v>1</v>
      </c>
      <c r="W778" s="12">
        <v>26444.580868273802</v>
      </c>
      <c r="X778">
        <v>1</v>
      </c>
      <c r="Y778">
        <v>1</v>
      </c>
      <c r="Z778" s="15">
        <v>0.30411443510920444</v>
      </c>
      <c r="AA778" t="str">
        <f t="shared" si="40"/>
        <v>1-CT</v>
      </c>
      <c r="AB778" s="9">
        <f t="shared" si="41"/>
        <v>31500</v>
      </c>
      <c r="AC778" s="9">
        <f t="shared" si="42"/>
        <v>91234.330532761334</v>
      </c>
    </row>
    <row r="779" spans="1:29" x14ac:dyDescent="0.25">
      <c r="A779" t="s">
        <v>29</v>
      </c>
      <c r="B779">
        <v>30012</v>
      </c>
      <c r="C779" s="8">
        <v>45637</v>
      </c>
      <c r="D779" s="9">
        <v>321620</v>
      </c>
      <c r="E779" s="10">
        <v>2</v>
      </c>
      <c r="F779" t="s">
        <v>619</v>
      </c>
      <c r="G779" s="11">
        <v>6</v>
      </c>
      <c r="H779" t="s">
        <v>31</v>
      </c>
      <c r="J779" s="12">
        <v>0</v>
      </c>
      <c r="L779" t="s">
        <v>38</v>
      </c>
      <c r="M779" s="13">
        <v>300000</v>
      </c>
      <c r="N779" s="14">
        <v>12</v>
      </c>
      <c r="P779" s="14">
        <v>1</v>
      </c>
      <c r="Q779" s="15">
        <v>0.105</v>
      </c>
      <c r="R779" s="12">
        <v>25000</v>
      </c>
      <c r="S779" s="12">
        <v>1</v>
      </c>
      <c r="T779" s="12">
        <v>0</v>
      </c>
      <c r="U779" s="12">
        <v>4300</v>
      </c>
      <c r="V779" s="12">
        <v>1</v>
      </c>
      <c r="W779" s="12">
        <v>26444.580868273802</v>
      </c>
      <c r="X779">
        <v>1</v>
      </c>
      <c r="Y779">
        <v>1</v>
      </c>
      <c r="Z779" s="15">
        <v>0.30411443510920444</v>
      </c>
      <c r="AA779" t="str">
        <f t="shared" si="40"/>
        <v>1-CT</v>
      </c>
      <c r="AB779" s="9">
        <f t="shared" si="41"/>
        <v>31500</v>
      </c>
      <c r="AC779" s="9">
        <f t="shared" si="42"/>
        <v>91234.330532761334</v>
      </c>
    </row>
    <row r="780" spans="1:29" x14ac:dyDescent="0.25">
      <c r="A780" t="s">
        <v>29</v>
      </c>
      <c r="B780">
        <v>30012</v>
      </c>
      <c r="C780" s="8">
        <v>45580</v>
      </c>
      <c r="D780" s="9">
        <v>321600</v>
      </c>
      <c r="E780" s="10">
        <v>9</v>
      </c>
      <c r="F780" t="s">
        <v>620</v>
      </c>
      <c r="G780" s="11">
        <v>6</v>
      </c>
      <c r="H780" t="s">
        <v>31</v>
      </c>
      <c r="J780" s="12">
        <v>0</v>
      </c>
      <c r="L780" t="s">
        <v>40</v>
      </c>
      <c r="M780" s="13">
        <v>335000</v>
      </c>
      <c r="N780" s="14">
        <v>4</v>
      </c>
      <c r="P780" s="14">
        <v>2</v>
      </c>
      <c r="Q780" s="15">
        <v>0.11</v>
      </c>
      <c r="R780" s="12">
        <v>25000</v>
      </c>
      <c r="S780" s="12">
        <v>1</v>
      </c>
      <c r="T780" s="12">
        <v>0</v>
      </c>
      <c r="U780" s="12">
        <v>17196</v>
      </c>
      <c r="V780" s="12">
        <v>1</v>
      </c>
      <c r="W780" s="12">
        <v>87623.406383021109</v>
      </c>
      <c r="X780">
        <v>1</v>
      </c>
      <c r="Y780">
        <v>1</v>
      </c>
      <c r="Z780" s="15">
        <v>0.30411417968122972</v>
      </c>
      <c r="AA780" t="str">
        <f t="shared" si="40"/>
        <v>1-CT</v>
      </c>
      <c r="AB780" s="9">
        <f t="shared" si="41"/>
        <v>36850</v>
      </c>
      <c r="AC780" s="9">
        <f t="shared" si="42"/>
        <v>101878.25019321196</v>
      </c>
    </row>
    <row r="781" spans="1:29" x14ac:dyDescent="0.25">
      <c r="A781" t="s">
        <v>29</v>
      </c>
      <c r="B781">
        <v>30012</v>
      </c>
      <c r="C781" s="8">
        <v>45568</v>
      </c>
      <c r="D781" s="9">
        <v>321600</v>
      </c>
      <c r="E781" s="10">
        <v>9</v>
      </c>
      <c r="F781" t="s">
        <v>621</v>
      </c>
      <c r="G781" s="11">
        <v>6</v>
      </c>
      <c r="H781" t="s">
        <v>31</v>
      </c>
      <c r="J781" s="12">
        <v>0</v>
      </c>
      <c r="L781" t="s">
        <v>32</v>
      </c>
      <c r="M781" s="13">
        <v>705000</v>
      </c>
      <c r="N781" s="14">
        <v>11</v>
      </c>
      <c r="P781" s="14">
        <v>1</v>
      </c>
      <c r="Q781" s="15">
        <v>0.11</v>
      </c>
      <c r="R781" s="12">
        <v>40000</v>
      </c>
      <c r="S781" s="12">
        <v>1</v>
      </c>
      <c r="T781" s="12">
        <v>0</v>
      </c>
      <c r="U781" s="12">
        <v>22408</v>
      </c>
      <c r="V781" s="12">
        <v>1</v>
      </c>
      <c r="W781" s="12">
        <v>67669.508850120779</v>
      </c>
      <c r="X781">
        <v>1</v>
      </c>
      <c r="Y781">
        <v>1</v>
      </c>
      <c r="Z781" s="15">
        <v>0.30408953620943036</v>
      </c>
      <c r="AA781" t="str">
        <f t="shared" si="40"/>
        <v>1-CT</v>
      </c>
      <c r="AB781" s="9">
        <f t="shared" si="41"/>
        <v>77550</v>
      </c>
      <c r="AC781" s="9">
        <f t="shared" si="42"/>
        <v>214383.1230276484</v>
      </c>
    </row>
    <row r="782" spans="1:29" x14ac:dyDescent="0.25">
      <c r="A782" t="s">
        <v>29</v>
      </c>
      <c r="B782">
        <v>30012</v>
      </c>
      <c r="C782" s="8">
        <v>45639</v>
      </c>
      <c r="D782" s="9">
        <v>321620</v>
      </c>
      <c r="E782" s="10">
        <v>2</v>
      </c>
      <c r="F782" t="s">
        <v>622</v>
      </c>
      <c r="G782" s="11">
        <v>6</v>
      </c>
      <c r="H782" t="s">
        <v>31</v>
      </c>
      <c r="J782" s="12">
        <v>0</v>
      </c>
      <c r="L782" t="s">
        <v>38</v>
      </c>
      <c r="M782" s="13">
        <v>500000</v>
      </c>
      <c r="N782" s="14">
        <v>12</v>
      </c>
      <c r="P782" s="14">
        <v>1</v>
      </c>
      <c r="Q782" s="15">
        <v>0.11</v>
      </c>
      <c r="R782" s="12">
        <v>27500</v>
      </c>
      <c r="S782" s="12">
        <v>1</v>
      </c>
      <c r="T782" s="12">
        <v>0</v>
      </c>
      <c r="U782" s="12">
        <v>20100</v>
      </c>
      <c r="V782" s="12">
        <v>1</v>
      </c>
      <c r="W782" s="12">
        <v>44190.829260802013</v>
      </c>
      <c r="X782">
        <v>1</v>
      </c>
      <c r="Y782">
        <v>1</v>
      </c>
      <c r="Z782" s="15">
        <v>0.30393685049638031</v>
      </c>
      <c r="AA782" t="str">
        <f t="shared" si="40"/>
        <v>1-CT</v>
      </c>
      <c r="AB782" s="9">
        <f t="shared" si="41"/>
        <v>55000</v>
      </c>
      <c r="AC782" s="9">
        <f t="shared" si="42"/>
        <v>151968.42524819015</v>
      </c>
    </row>
    <row r="783" spans="1:29" x14ac:dyDescent="0.25">
      <c r="A783" t="s">
        <v>29</v>
      </c>
      <c r="B783">
        <v>30012</v>
      </c>
      <c r="C783" s="8">
        <v>45650</v>
      </c>
      <c r="D783" s="9">
        <v>321620</v>
      </c>
      <c r="E783" s="10">
        <v>2</v>
      </c>
      <c r="F783" t="s">
        <v>623</v>
      </c>
      <c r="G783" s="11">
        <v>6</v>
      </c>
      <c r="H783" t="s">
        <v>31</v>
      </c>
      <c r="J783" s="12">
        <v>0</v>
      </c>
      <c r="L783" t="s">
        <v>38</v>
      </c>
      <c r="M783" s="13">
        <v>500000</v>
      </c>
      <c r="N783" s="14">
        <v>12</v>
      </c>
      <c r="P783" s="14">
        <v>1</v>
      </c>
      <c r="Q783" s="15">
        <v>0.11</v>
      </c>
      <c r="R783" s="12">
        <v>27500</v>
      </c>
      <c r="S783" s="12">
        <v>1</v>
      </c>
      <c r="T783" s="12">
        <v>0</v>
      </c>
      <c r="U783" s="12">
        <v>20100</v>
      </c>
      <c r="V783" s="12">
        <v>1</v>
      </c>
      <c r="W783" s="12">
        <v>44190.829260802013</v>
      </c>
      <c r="X783">
        <v>1</v>
      </c>
      <c r="Y783">
        <v>1</v>
      </c>
      <c r="Z783" s="15">
        <v>0.30393685049638031</v>
      </c>
      <c r="AA783" t="str">
        <f t="shared" si="40"/>
        <v>1-CT</v>
      </c>
      <c r="AB783" s="9">
        <f t="shared" si="41"/>
        <v>55000</v>
      </c>
      <c r="AC783" s="9">
        <f t="shared" si="42"/>
        <v>151968.42524819015</v>
      </c>
    </row>
    <row r="784" spans="1:29" x14ac:dyDescent="0.25">
      <c r="A784" t="s">
        <v>29</v>
      </c>
      <c r="B784">
        <v>30012</v>
      </c>
      <c r="C784" s="8">
        <v>45575</v>
      </c>
      <c r="D784" s="9">
        <v>321600</v>
      </c>
      <c r="E784" s="10">
        <v>9</v>
      </c>
      <c r="F784" t="s">
        <v>624</v>
      </c>
      <c r="G784" s="11">
        <v>6</v>
      </c>
      <c r="H784" t="s">
        <v>31</v>
      </c>
      <c r="J784" s="12">
        <v>0</v>
      </c>
      <c r="L784" t="s">
        <v>40</v>
      </c>
      <c r="M784" s="13">
        <v>724000</v>
      </c>
      <c r="N784" s="14">
        <v>11</v>
      </c>
      <c r="P784" s="14">
        <v>1</v>
      </c>
      <c r="Q784" s="15">
        <v>0.11</v>
      </c>
      <c r="R784" s="12">
        <v>40000</v>
      </c>
      <c r="S784" s="12">
        <v>1</v>
      </c>
      <c r="T784" s="12">
        <v>0</v>
      </c>
      <c r="U784" s="12">
        <v>24042.400000000001</v>
      </c>
      <c r="V784" s="12">
        <v>1</v>
      </c>
      <c r="W784" s="12">
        <v>69493.226109911266</v>
      </c>
      <c r="X784">
        <v>1</v>
      </c>
      <c r="Y784">
        <v>1</v>
      </c>
      <c r="Z784" s="15">
        <v>0.30393546397308924</v>
      </c>
      <c r="AA784" t="str">
        <f t="shared" si="40"/>
        <v>1-CT</v>
      </c>
      <c r="AB784" s="9">
        <f t="shared" si="41"/>
        <v>79640</v>
      </c>
      <c r="AC784" s="9">
        <f t="shared" si="42"/>
        <v>220049.27591651661</v>
      </c>
    </row>
    <row r="785" spans="1:29" x14ac:dyDescent="0.25">
      <c r="A785" t="s">
        <v>29</v>
      </c>
      <c r="B785">
        <v>30012</v>
      </c>
      <c r="C785" s="8">
        <v>45587</v>
      </c>
      <c r="D785" s="9">
        <v>321600</v>
      </c>
      <c r="E785" s="10">
        <v>9</v>
      </c>
      <c r="F785" t="s">
        <v>625</v>
      </c>
      <c r="G785" s="11">
        <v>6</v>
      </c>
      <c r="H785" t="s">
        <v>31</v>
      </c>
      <c r="J785" s="12">
        <v>0</v>
      </c>
      <c r="L785" t="s">
        <v>40</v>
      </c>
      <c r="M785" s="13">
        <v>1010000</v>
      </c>
      <c r="N785" s="14">
        <v>11</v>
      </c>
      <c r="P785" s="14">
        <v>1</v>
      </c>
      <c r="Q785" s="15">
        <v>0.11</v>
      </c>
      <c r="R785" s="12">
        <v>60000</v>
      </c>
      <c r="S785" s="12">
        <v>1</v>
      </c>
      <c r="T785" s="12">
        <v>0</v>
      </c>
      <c r="U785" s="12">
        <v>29076</v>
      </c>
      <c r="V785" s="12">
        <v>1</v>
      </c>
      <c r="W785" s="12">
        <v>96944.97012570496</v>
      </c>
      <c r="X785">
        <v>1</v>
      </c>
      <c r="Y785">
        <v>1</v>
      </c>
      <c r="Z785" s="15">
        <v>0.30331988936366644</v>
      </c>
      <c r="AA785" t="str">
        <f t="shared" si="40"/>
        <v>1-CT</v>
      </c>
      <c r="AB785" s="9">
        <f t="shared" si="41"/>
        <v>111100</v>
      </c>
      <c r="AC785" s="9">
        <f t="shared" si="42"/>
        <v>306353.08825730311</v>
      </c>
    </row>
    <row r="786" spans="1:29" x14ac:dyDescent="0.25">
      <c r="A786" t="s">
        <v>29</v>
      </c>
      <c r="B786">
        <v>30012</v>
      </c>
      <c r="C786" s="8">
        <v>45573</v>
      </c>
      <c r="D786" s="9">
        <v>321600</v>
      </c>
      <c r="E786" s="10">
        <v>9</v>
      </c>
      <c r="F786" t="s">
        <v>626</v>
      </c>
      <c r="G786" s="11">
        <v>6</v>
      </c>
      <c r="H786" t="s">
        <v>31</v>
      </c>
      <c r="J786" s="12">
        <v>0</v>
      </c>
      <c r="L786" t="s">
        <v>40</v>
      </c>
      <c r="M786" s="13">
        <v>1010000</v>
      </c>
      <c r="N786" s="14">
        <v>11</v>
      </c>
      <c r="P786" s="14">
        <v>1</v>
      </c>
      <c r="Q786" s="15">
        <v>0.11</v>
      </c>
      <c r="R786" s="12">
        <v>60000</v>
      </c>
      <c r="S786" s="12">
        <v>1</v>
      </c>
      <c r="T786" s="12">
        <v>0</v>
      </c>
      <c r="U786" s="12">
        <v>29076</v>
      </c>
      <c r="V786" s="12">
        <v>1</v>
      </c>
      <c r="W786" s="12">
        <v>96944.97012570496</v>
      </c>
      <c r="X786">
        <v>1</v>
      </c>
      <c r="Y786">
        <v>1</v>
      </c>
      <c r="Z786" s="15">
        <v>0.30331988936366644</v>
      </c>
      <c r="AA786" t="str">
        <f t="shared" si="40"/>
        <v>1-CT</v>
      </c>
      <c r="AB786" s="9">
        <f t="shared" si="41"/>
        <v>111100</v>
      </c>
      <c r="AC786" s="9">
        <f t="shared" si="42"/>
        <v>306353.08825730311</v>
      </c>
    </row>
    <row r="787" spans="1:29" x14ac:dyDescent="0.25">
      <c r="A787" t="s">
        <v>29</v>
      </c>
      <c r="B787">
        <v>30012</v>
      </c>
      <c r="C787" s="8">
        <v>45574</v>
      </c>
      <c r="D787" s="9">
        <v>321600</v>
      </c>
      <c r="E787" s="10">
        <v>9</v>
      </c>
      <c r="F787" t="s">
        <v>627</v>
      </c>
      <c r="G787" s="11">
        <v>6</v>
      </c>
      <c r="H787" t="s">
        <v>31</v>
      </c>
      <c r="J787" s="12">
        <v>0</v>
      </c>
      <c r="L787" t="s">
        <v>40</v>
      </c>
      <c r="M787" s="13">
        <v>730000</v>
      </c>
      <c r="N787" s="14">
        <v>11</v>
      </c>
      <c r="P787" s="14">
        <v>1</v>
      </c>
      <c r="Q787" s="15">
        <v>0.11</v>
      </c>
      <c r="R787" s="12">
        <v>40000</v>
      </c>
      <c r="S787" s="12">
        <v>1</v>
      </c>
      <c r="T787" s="12">
        <v>0</v>
      </c>
      <c r="U787" s="12">
        <v>24148</v>
      </c>
      <c r="V787" s="12">
        <v>1</v>
      </c>
      <c r="W787" s="12">
        <v>70069.136823529319</v>
      </c>
      <c r="X787">
        <v>1</v>
      </c>
      <c r="Y787">
        <v>1</v>
      </c>
      <c r="Z787" s="15">
        <v>0.30256903584816947</v>
      </c>
      <c r="AA787" t="str">
        <f t="shared" si="40"/>
        <v>1-CT</v>
      </c>
      <c r="AB787" s="9">
        <f t="shared" si="41"/>
        <v>80300</v>
      </c>
      <c r="AC787" s="9">
        <f t="shared" si="42"/>
        <v>220875.39616916372</v>
      </c>
    </row>
    <row r="788" spans="1:29" x14ac:dyDescent="0.25">
      <c r="A788" t="s">
        <v>29</v>
      </c>
      <c r="B788">
        <v>30012</v>
      </c>
      <c r="C788" s="8">
        <v>45572</v>
      </c>
      <c r="D788" s="9">
        <v>321600</v>
      </c>
      <c r="E788" s="10">
        <v>9</v>
      </c>
      <c r="F788" t="s">
        <v>628</v>
      </c>
      <c r="G788" s="11">
        <v>6</v>
      </c>
      <c r="H788" t="s">
        <v>31</v>
      </c>
      <c r="J788" s="12">
        <v>0</v>
      </c>
      <c r="L788" t="s">
        <v>32</v>
      </c>
      <c r="M788" s="13">
        <v>730000</v>
      </c>
      <c r="N788" s="14">
        <v>11</v>
      </c>
      <c r="P788" s="14">
        <v>1</v>
      </c>
      <c r="Q788" s="15">
        <v>0.11</v>
      </c>
      <c r="R788" s="12">
        <v>40000</v>
      </c>
      <c r="S788" s="12">
        <v>1</v>
      </c>
      <c r="T788" s="12">
        <v>0</v>
      </c>
      <c r="U788" s="12">
        <v>24148</v>
      </c>
      <c r="V788" s="12">
        <v>1</v>
      </c>
      <c r="W788" s="12">
        <v>70069.136823529319</v>
      </c>
      <c r="X788">
        <v>1</v>
      </c>
      <c r="Y788">
        <v>1</v>
      </c>
      <c r="Z788" s="15">
        <v>0.30256903584816947</v>
      </c>
      <c r="AA788" t="str">
        <f t="shared" si="40"/>
        <v>1-CT</v>
      </c>
      <c r="AB788" s="9">
        <f t="shared" si="41"/>
        <v>80300</v>
      </c>
      <c r="AC788" s="9">
        <f t="shared" si="42"/>
        <v>220875.39616916372</v>
      </c>
    </row>
    <row r="789" spans="1:29" x14ac:dyDescent="0.25">
      <c r="A789" t="s">
        <v>29</v>
      </c>
      <c r="B789">
        <v>30012</v>
      </c>
      <c r="C789" s="8">
        <v>45568</v>
      </c>
      <c r="D789" s="9">
        <v>321600</v>
      </c>
      <c r="E789" s="10">
        <v>9</v>
      </c>
      <c r="F789" t="s">
        <v>629</v>
      </c>
      <c r="G789" s="11">
        <v>6</v>
      </c>
      <c r="H789" t="s">
        <v>31</v>
      </c>
      <c r="J789" s="12">
        <v>0</v>
      </c>
      <c r="L789" t="s">
        <v>32</v>
      </c>
      <c r="M789" s="13">
        <v>730000</v>
      </c>
      <c r="N789" s="14">
        <v>11</v>
      </c>
      <c r="P789" s="14">
        <v>1</v>
      </c>
      <c r="Q789" s="15">
        <v>0.11</v>
      </c>
      <c r="R789" s="12">
        <v>40000</v>
      </c>
      <c r="S789" s="12">
        <v>1</v>
      </c>
      <c r="T789" s="12">
        <v>0</v>
      </c>
      <c r="U789" s="12">
        <v>24148</v>
      </c>
      <c r="V789" s="12">
        <v>1</v>
      </c>
      <c r="W789" s="12">
        <v>70069.136823529319</v>
      </c>
      <c r="X789">
        <v>1</v>
      </c>
      <c r="Y789">
        <v>1</v>
      </c>
      <c r="Z789" s="15">
        <v>0.30256903584816947</v>
      </c>
      <c r="AA789" t="str">
        <f t="shared" si="40"/>
        <v>1-CT</v>
      </c>
      <c r="AB789" s="9">
        <f t="shared" si="41"/>
        <v>80300</v>
      </c>
      <c r="AC789" s="9">
        <f t="shared" si="42"/>
        <v>220875.39616916372</v>
      </c>
    </row>
    <row r="790" spans="1:29" x14ac:dyDescent="0.25">
      <c r="A790" t="s">
        <v>29</v>
      </c>
      <c r="B790">
        <v>30012</v>
      </c>
      <c r="C790" s="8">
        <v>45593</v>
      </c>
      <c r="D790" s="9">
        <v>321600</v>
      </c>
      <c r="E790" s="10">
        <v>9</v>
      </c>
      <c r="F790" t="s">
        <v>630</v>
      </c>
      <c r="G790" s="11">
        <v>6</v>
      </c>
      <c r="H790" t="s">
        <v>31</v>
      </c>
      <c r="J790" s="12">
        <v>0</v>
      </c>
      <c r="L790" t="s">
        <v>38</v>
      </c>
      <c r="M790" s="13">
        <v>500000</v>
      </c>
      <c r="N790" s="14">
        <v>11</v>
      </c>
      <c r="P790" s="14">
        <v>1</v>
      </c>
      <c r="Q790" s="15">
        <v>0.11</v>
      </c>
      <c r="R790" s="12">
        <v>25000</v>
      </c>
      <c r="S790" s="12">
        <v>1</v>
      </c>
      <c r="T790" s="12">
        <v>0</v>
      </c>
      <c r="U790" s="12">
        <v>18800</v>
      </c>
      <c r="V790" s="12">
        <v>1</v>
      </c>
      <c r="W790" s="12">
        <v>47992.559468170766</v>
      </c>
      <c r="X790">
        <v>1</v>
      </c>
      <c r="Y790">
        <v>1</v>
      </c>
      <c r="Z790" s="15">
        <v>0.30192666478584484</v>
      </c>
      <c r="AA790" t="str">
        <f t="shared" si="40"/>
        <v>1-CT</v>
      </c>
      <c r="AB790" s="9">
        <f t="shared" si="41"/>
        <v>55000</v>
      </c>
      <c r="AC790" s="9">
        <f t="shared" si="42"/>
        <v>150963.33239292243</v>
      </c>
    </row>
    <row r="791" spans="1:29" x14ac:dyDescent="0.25">
      <c r="A791" t="s">
        <v>29</v>
      </c>
      <c r="B791">
        <v>30012</v>
      </c>
      <c r="C791" s="8">
        <v>45572</v>
      </c>
      <c r="D791" s="9">
        <v>321600</v>
      </c>
      <c r="E791" s="10">
        <v>9</v>
      </c>
      <c r="F791" t="s">
        <v>631</v>
      </c>
      <c r="G791" s="11">
        <v>6</v>
      </c>
      <c r="H791" t="s">
        <v>31</v>
      </c>
      <c r="J791" s="12">
        <v>0</v>
      </c>
      <c r="L791" t="s">
        <v>36</v>
      </c>
      <c r="M791" s="13">
        <v>500000</v>
      </c>
      <c r="N791" s="14">
        <v>11</v>
      </c>
      <c r="P791" s="14">
        <v>1</v>
      </c>
      <c r="Q791" s="15">
        <v>0.11</v>
      </c>
      <c r="R791" s="12">
        <v>25000</v>
      </c>
      <c r="S791" s="12">
        <v>1</v>
      </c>
      <c r="T791" s="12">
        <v>0</v>
      </c>
      <c r="U791" s="12">
        <v>18800</v>
      </c>
      <c r="V791" s="12">
        <v>1</v>
      </c>
      <c r="W791" s="12">
        <v>47992.559468170766</v>
      </c>
      <c r="X791">
        <v>1</v>
      </c>
      <c r="Y791">
        <v>1</v>
      </c>
      <c r="Z791" s="15">
        <v>0.30192666478584484</v>
      </c>
      <c r="AA791" t="str">
        <f t="shared" si="40"/>
        <v>1-CT</v>
      </c>
      <c r="AB791" s="9">
        <f t="shared" si="41"/>
        <v>55000</v>
      </c>
      <c r="AC791" s="9">
        <f t="shared" si="42"/>
        <v>150963.33239292243</v>
      </c>
    </row>
    <row r="792" spans="1:29" x14ac:dyDescent="0.25">
      <c r="A792" t="s">
        <v>29</v>
      </c>
      <c r="B792">
        <v>30012</v>
      </c>
      <c r="C792" s="8">
        <v>45569</v>
      </c>
      <c r="D792" s="9">
        <v>321600</v>
      </c>
      <c r="E792" s="10">
        <v>9</v>
      </c>
      <c r="F792" t="s">
        <v>632</v>
      </c>
      <c r="G792" s="11">
        <v>6</v>
      </c>
      <c r="H792" t="s">
        <v>31</v>
      </c>
      <c r="J792" s="12">
        <v>0</v>
      </c>
      <c r="L792" t="s">
        <v>38</v>
      </c>
      <c r="M792" s="13">
        <v>736000</v>
      </c>
      <c r="N792" s="14">
        <v>11</v>
      </c>
      <c r="P792" s="14">
        <v>1</v>
      </c>
      <c r="Q792" s="15">
        <v>0.11</v>
      </c>
      <c r="R792" s="12">
        <v>40000</v>
      </c>
      <c r="S792" s="12">
        <v>1</v>
      </c>
      <c r="T792" s="12">
        <v>0</v>
      </c>
      <c r="U792" s="12">
        <v>24253.599999999999</v>
      </c>
      <c r="V792" s="12">
        <v>1</v>
      </c>
      <c r="W792" s="12">
        <v>70645.047537147373</v>
      </c>
      <c r="X792">
        <v>1</v>
      </c>
      <c r="Y792">
        <v>1</v>
      </c>
      <c r="Z792" s="15">
        <v>0.30122614146806692</v>
      </c>
      <c r="AA792" t="str">
        <f t="shared" si="40"/>
        <v>1-CT</v>
      </c>
      <c r="AB792" s="9">
        <f t="shared" si="41"/>
        <v>80960</v>
      </c>
      <c r="AC792" s="9">
        <f t="shared" si="42"/>
        <v>221702.44012049725</v>
      </c>
    </row>
    <row r="793" spans="1:29" x14ac:dyDescent="0.25">
      <c r="A793" t="s">
        <v>29</v>
      </c>
      <c r="B793">
        <v>30012</v>
      </c>
      <c r="C793" s="8">
        <v>45657</v>
      </c>
      <c r="D793" s="9">
        <v>321620</v>
      </c>
      <c r="E793" s="10">
        <v>2</v>
      </c>
      <c r="F793" t="s">
        <v>633</v>
      </c>
      <c r="G793" s="11">
        <v>6</v>
      </c>
      <c r="H793" t="s">
        <v>31</v>
      </c>
      <c r="J793" s="12">
        <v>0</v>
      </c>
      <c r="L793" t="s">
        <v>40</v>
      </c>
      <c r="M793" s="13">
        <v>510000</v>
      </c>
      <c r="N793" s="14">
        <v>12</v>
      </c>
      <c r="P793" s="14">
        <v>1</v>
      </c>
      <c r="Q793" s="15">
        <v>0.11</v>
      </c>
      <c r="R793" s="12">
        <v>27500</v>
      </c>
      <c r="S793" s="12">
        <v>1</v>
      </c>
      <c r="T793" s="12">
        <v>0</v>
      </c>
      <c r="U793" s="12">
        <v>20276</v>
      </c>
      <c r="V793" s="12">
        <v>1</v>
      </c>
      <c r="W793" s="12">
        <v>45074.645846018058</v>
      </c>
      <c r="X793">
        <v>1</v>
      </c>
      <c r="Y793">
        <v>1</v>
      </c>
      <c r="Z793" s="15">
        <v>0.30060497852037771</v>
      </c>
      <c r="AA793" t="str">
        <f t="shared" si="40"/>
        <v>1-CT</v>
      </c>
      <c r="AB793" s="9">
        <f t="shared" si="41"/>
        <v>56100</v>
      </c>
      <c r="AC793" s="9">
        <f t="shared" si="42"/>
        <v>153308.53904539262</v>
      </c>
    </row>
    <row r="794" spans="1:29" x14ac:dyDescent="0.25">
      <c r="A794" t="s">
        <v>29</v>
      </c>
      <c r="B794">
        <v>30012</v>
      </c>
      <c r="C794" s="8">
        <v>45574</v>
      </c>
      <c r="D794" s="9">
        <v>321600</v>
      </c>
      <c r="E794" s="10">
        <v>9</v>
      </c>
      <c r="F794" t="s">
        <v>634</v>
      </c>
      <c r="G794" s="11">
        <v>6</v>
      </c>
      <c r="H794" t="s">
        <v>31</v>
      </c>
      <c r="J794" s="12">
        <v>0</v>
      </c>
      <c r="L794" t="s">
        <v>38</v>
      </c>
      <c r="M794" s="13">
        <v>740000</v>
      </c>
      <c r="N794" s="14">
        <v>11</v>
      </c>
      <c r="P794" s="14">
        <v>1</v>
      </c>
      <c r="Q794" s="15">
        <v>0.11</v>
      </c>
      <c r="R794" s="12">
        <v>40000</v>
      </c>
      <c r="S794" s="12">
        <v>1</v>
      </c>
      <c r="T794" s="12">
        <v>0</v>
      </c>
      <c r="U794" s="12">
        <v>24324</v>
      </c>
      <c r="V794" s="12">
        <v>1</v>
      </c>
      <c r="W794" s="12">
        <v>71028.988012892733</v>
      </c>
      <c r="X794">
        <v>1</v>
      </c>
      <c r="Y794">
        <v>1</v>
      </c>
      <c r="Z794" s="15">
        <v>0.30034365417385772</v>
      </c>
      <c r="AA794" t="str">
        <f t="shared" si="40"/>
        <v>1-CT</v>
      </c>
      <c r="AB794" s="9">
        <f t="shared" si="41"/>
        <v>81400</v>
      </c>
      <c r="AC794" s="9">
        <f t="shared" si="42"/>
        <v>222254.30408865472</v>
      </c>
    </row>
    <row r="795" spans="1:29" x14ac:dyDescent="0.25">
      <c r="A795" t="s">
        <v>29</v>
      </c>
      <c r="B795">
        <v>30012</v>
      </c>
      <c r="C795" s="8">
        <v>45579</v>
      </c>
      <c r="D795" s="9">
        <v>321600</v>
      </c>
      <c r="E795" s="10">
        <v>9</v>
      </c>
      <c r="F795" t="s">
        <v>635</v>
      </c>
      <c r="G795" s="11">
        <v>6</v>
      </c>
      <c r="H795" t="s">
        <v>31</v>
      </c>
      <c r="J795" s="12">
        <v>0</v>
      </c>
      <c r="L795" t="s">
        <v>40</v>
      </c>
      <c r="M795" s="13">
        <v>740000</v>
      </c>
      <c r="N795" s="14">
        <v>11</v>
      </c>
      <c r="P795" s="14">
        <v>1</v>
      </c>
      <c r="Q795" s="15">
        <v>0.11</v>
      </c>
      <c r="R795" s="12">
        <v>40000</v>
      </c>
      <c r="S795" s="12">
        <v>1</v>
      </c>
      <c r="T795" s="12">
        <v>0</v>
      </c>
      <c r="U795" s="12">
        <v>24324</v>
      </c>
      <c r="V795" s="12">
        <v>1</v>
      </c>
      <c r="W795" s="12">
        <v>71028.988012892733</v>
      </c>
      <c r="X795">
        <v>1</v>
      </c>
      <c r="Y795">
        <v>1</v>
      </c>
      <c r="Z795" s="15">
        <v>0.30034365417385772</v>
      </c>
      <c r="AA795" t="str">
        <f t="shared" si="40"/>
        <v>1-CT</v>
      </c>
      <c r="AB795" s="9">
        <f t="shared" si="41"/>
        <v>81400</v>
      </c>
      <c r="AC795" s="9">
        <f t="shared" si="42"/>
        <v>222254.30408865472</v>
      </c>
    </row>
    <row r="796" spans="1:29" x14ac:dyDescent="0.25">
      <c r="A796" t="s">
        <v>29</v>
      </c>
      <c r="B796">
        <v>30012</v>
      </c>
      <c r="C796" s="8">
        <v>45569</v>
      </c>
      <c r="D796" s="9">
        <v>321600</v>
      </c>
      <c r="E796" s="10">
        <v>9</v>
      </c>
      <c r="F796" t="s">
        <v>636</v>
      </c>
      <c r="G796" s="11">
        <v>6</v>
      </c>
      <c r="H796" t="s">
        <v>31</v>
      </c>
      <c r="J796" s="12">
        <v>0</v>
      </c>
      <c r="L796" t="s">
        <v>32</v>
      </c>
      <c r="M796" s="13">
        <v>1030000</v>
      </c>
      <c r="N796" s="14">
        <v>11</v>
      </c>
      <c r="P796" s="14">
        <v>1</v>
      </c>
      <c r="Q796" s="15">
        <v>0.11</v>
      </c>
      <c r="R796" s="12">
        <v>60000</v>
      </c>
      <c r="S796" s="12">
        <v>1</v>
      </c>
      <c r="T796" s="12">
        <v>0</v>
      </c>
      <c r="U796" s="12">
        <v>29428</v>
      </c>
      <c r="V796" s="12">
        <v>1</v>
      </c>
      <c r="W796" s="12">
        <v>98864.672504431772</v>
      </c>
      <c r="X796">
        <v>1</v>
      </c>
      <c r="Y796">
        <v>1</v>
      </c>
      <c r="Z796" s="15">
        <v>0.30010711949966323</v>
      </c>
      <c r="AA796" t="str">
        <f t="shared" si="40"/>
        <v>1-CT</v>
      </c>
      <c r="AB796" s="9">
        <f t="shared" si="41"/>
        <v>113300</v>
      </c>
      <c r="AC796" s="9">
        <f t="shared" si="42"/>
        <v>309110.33308465313</v>
      </c>
    </row>
    <row r="797" spans="1:29" x14ac:dyDescent="0.25">
      <c r="A797" t="s">
        <v>29</v>
      </c>
      <c r="B797">
        <v>30012</v>
      </c>
      <c r="C797" s="8">
        <v>45567</v>
      </c>
      <c r="D797" s="9">
        <v>321600</v>
      </c>
      <c r="E797" s="10">
        <v>9</v>
      </c>
      <c r="F797" t="s">
        <v>637</v>
      </c>
      <c r="G797" s="11">
        <v>6</v>
      </c>
      <c r="H797" t="s">
        <v>31</v>
      </c>
      <c r="J797" s="12">
        <v>0</v>
      </c>
      <c r="L797" t="s">
        <v>38</v>
      </c>
      <c r="M797" s="13">
        <v>1035000</v>
      </c>
      <c r="N797" s="14">
        <v>11</v>
      </c>
      <c r="P797" s="14">
        <v>1</v>
      </c>
      <c r="Q797" s="15">
        <v>0.11</v>
      </c>
      <c r="R797" s="12">
        <v>60000</v>
      </c>
      <c r="S797" s="12">
        <v>1</v>
      </c>
      <c r="T797" s="12">
        <v>0</v>
      </c>
      <c r="U797" s="12">
        <v>29516</v>
      </c>
      <c r="V797" s="12">
        <v>1</v>
      </c>
      <c r="W797" s="12">
        <v>99344.598099113486</v>
      </c>
      <c r="X797">
        <v>1</v>
      </c>
      <c r="Y797">
        <v>1</v>
      </c>
      <c r="Z797" s="15">
        <v>0.29932440693371798</v>
      </c>
      <c r="AA797" t="str">
        <f t="shared" si="40"/>
        <v>1-CT</v>
      </c>
      <c r="AB797" s="9">
        <f t="shared" si="41"/>
        <v>113850</v>
      </c>
      <c r="AC797" s="9">
        <f t="shared" si="42"/>
        <v>309800.76117639808</v>
      </c>
    </row>
    <row r="798" spans="1:29" x14ac:dyDescent="0.25">
      <c r="A798" t="s">
        <v>29</v>
      </c>
      <c r="B798">
        <v>30012</v>
      </c>
      <c r="C798" s="8">
        <v>45581</v>
      </c>
      <c r="D798" s="9">
        <v>321600</v>
      </c>
      <c r="E798" s="10">
        <v>9</v>
      </c>
      <c r="F798" t="s">
        <v>638</v>
      </c>
      <c r="G798" s="11">
        <v>6</v>
      </c>
      <c r="H798" t="s">
        <v>31</v>
      </c>
      <c r="J798" s="12">
        <v>0</v>
      </c>
      <c r="L798" t="s">
        <v>32</v>
      </c>
      <c r="M798" s="13">
        <v>1035000</v>
      </c>
      <c r="N798" s="14">
        <v>11</v>
      </c>
      <c r="P798" s="14">
        <v>1</v>
      </c>
      <c r="Q798" s="15">
        <v>0.11</v>
      </c>
      <c r="R798" s="12">
        <v>60000</v>
      </c>
      <c r="S798" s="12">
        <v>1</v>
      </c>
      <c r="T798" s="12">
        <v>0</v>
      </c>
      <c r="U798" s="12">
        <v>29516</v>
      </c>
      <c r="V798" s="12">
        <v>1</v>
      </c>
      <c r="W798" s="12">
        <v>99344.598099113486</v>
      </c>
      <c r="X798">
        <v>1</v>
      </c>
      <c r="Y798">
        <v>1</v>
      </c>
      <c r="Z798" s="15">
        <v>0.29932440693371798</v>
      </c>
      <c r="AA798" t="str">
        <f t="shared" si="40"/>
        <v>1-CT</v>
      </c>
      <c r="AB798" s="9">
        <f t="shared" si="41"/>
        <v>113850</v>
      </c>
      <c r="AC798" s="9">
        <f t="shared" si="42"/>
        <v>309800.76117639808</v>
      </c>
    </row>
    <row r="799" spans="1:29" x14ac:dyDescent="0.25">
      <c r="A799" t="s">
        <v>29</v>
      </c>
      <c r="B799">
        <v>30012</v>
      </c>
      <c r="C799" s="8">
        <v>45574</v>
      </c>
      <c r="D799" s="9">
        <v>321600</v>
      </c>
      <c r="E799" s="10">
        <v>9</v>
      </c>
      <c r="F799" t="s">
        <v>639</v>
      </c>
      <c r="G799" s="11">
        <v>6</v>
      </c>
      <c r="H799" t="s">
        <v>31</v>
      </c>
      <c r="J799" s="12">
        <v>0</v>
      </c>
      <c r="L799" t="s">
        <v>32</v>
      </c>
      <c r="M799" s="13">
        <v>1040000</v>
      </c>
      <c r="N799" s="14">
        <v>11</v>
      </c>
      <c r="P799" s="14">
        <v>1</v>
      </c>
      <c r="Q799" s="15">
        <v>0.11</v>
      </c>
      <c r="R799" s="12">
        <v>60000</v>
      </c>
      <c r="S799" s="12">
        <v>1</v>
      </c>
      <c r="T799" s="12">
        <v>0</v>
      </c>
      <c r="U799" s="12">
        <v>29604</v>
      </c>
      <c r="V799" s="12">
        <v>1</v>
      </c>
      <c r="W799" s="12">
        <v>99824.5236937952</v>
      </c>
      <c r="X799">
        <v>1</v>
      </c>
      <c r="Y799">
        <v>1</v>
      </c>
      <c r="Z799" s="15">
        <v>0.29854963681702129</v>
      </c>
      <c r="AA799" t="str">
        <f t="shared" si="40"/>
        <v>1-CT</v>
      </c>
      <c r="AB799" s="9">
        <f t="shared" si="41"/>
        <v>114400</v>
      </c>
      <c r="AC799" s="9">
        <f t="shared" si="42"/>
        <v>310491.62228970212</v>
      </c>
    </row>
    <row r="800" spans="1:29" x14ac:dyDescent="0.25">
      <c r="A800" t="s">
        <v>29</v>
      </c>
      <c r="B800">
        <v>30012</v>
      </c>
      <c r="C800" s="8">
        <v>45579</v>
      </c>
      <c r="D800" s="9">
        <v>321600</v>
      </c>
      <c r="E800" s="10">
        <v>9</v>
      </c>
      <c r="F800" t="s">
        <v>640</v>
      </c>
      <c r="G800" s="11">
        <v>6</v>
      </c>
      <c r="H800" t="s">
        <v>31</v>
      </c>
      <c r="J800" s="12">
        <v>0</v>
      </c>
      <c r="L800" t="s">
        <v>40</v>
      </c>
      <c r="M800" s="13">
        <v>1040000</v>
      </c>
      <c r="N800" s="14">
        <v>11</v>
      </c>
      <c r="P800" s="14">
        <v>1</v>
      </c>
      <c r="Q800" s="15">
        <v>0.11</v>
      </c>
      <c r="R800" s="12">
        <v>60000</v>
      </c>
      <c r="S800" s="12">
        <v>1</v>
      </c>
      <c r="T800" s="12">
        <v>0</v>
      </c>
      <c r="U800" s="12">
        <v>29604</v>
      </c>
      <c r="V800" s="12">
        <v>1</v>
      </c>
      <c r="W800" s="12">
        <v>99824.5236937952</v>
      </c>
      <c r="X800">
        <v>1</v>
      </c>
      <c r="Y800">
        <v>1</v>
      </c>
      <c r="Z800" s="15">
        <v>0.29854963681702129</v>
      </c>
      <c r="AA800" t="str">
        <f t="shared" si="40"/>
        <v>1-CT</v>
      </c>
      <c r="AB800" s="9">
        <f t="shared" si="41"/>
        <v>114400</v>
      </c>
      <c r="AC800" s="9">
        <f t="shared" si="42"/>
        <v>310491.62228970212</v>
      </c>
    </row>
    <row r="801" spans="1:29" x14ac:dyDescent="0.25">
      <c r="A801" t="s">
        <v>29</v>
      </c>
      <c r="B801">
        <v>30012</v>
      </c>
      <c r="C801" s="8">
        <v>45581</v>
      </c>
      <c r="D801" s="9">
        <v>321600</v>
      </c>
      <c r="E801" s="10">
        <v>9</v>
      </c>
      <c r="F801" t="s">
        <v>641</v>
      </c>
      <c r="G801" s="11">
        <v>6</v>
      </c>
      <c r="H801" t="s">
        <v>31</v>
      </c>
      <c r="J801" s="12">
        <v>0</v>
      </c>
      <c r="L801" t="s">
        <v>32</v>
      </c>
      <c r="M801" s="13">
        <v>749000</v>
      </c>
      <c r="N801" s="14">
        <v>11</v>
      </c>
      <c r="P801" s="14">
        <v>1</v>
      </c>
      <c r="Q801" s="15">
        <v>0.11</v>
      </c>
      <c r="R801" s="12">
        <v>40000</v>
      </c>
      <c r="S801" s="12">
        <v>1</v>
      </c>
      <c r="T801" s="12">
        <v>0</v>
      </c>
      <c r="U801" s="12">
        <v>24482.400000000001</v>
      </c>
      <c r="V801" s="12">
        <v>1</v>
      </c>
      <c r="W801" s="12">
        <v>71892.854083319806</v>
      </c>
      <c r="X801">
        <v>1</v>
      </c>
      <c r="Y801">
        <v>1</v>
      </c>
      <c r="Z801" s="15">
        <v>0.29839442561139878</v>
      </c>
      <c r="AA801" t="str">
        <f t="shared" si="40"/>
        <v>1-CT</v>
      </c>
      <c r="AB801" s="9">
        <f t="shared" si="41"/>
        <v>82390</v>
      </c>
      <c r="AC801" s="9">
        <f t="shared" si="42"/>
        <v>223497.42478293768</v>
      </c>
    </row>
    <row r="802" spans="1:29" x14ac:dyDescent="0.25">
      <c r="A802" t="s">
        <v>29</v>
      </c>
      <c r="B802">
        <v>30012</v>
      </c>
      <c r="C802" s="8">
        <v>45646</v>
      </c>
      <c r="D802" s="9">
        <v>321620</v>
      </c>
      <c r="E802" s="10">
        <v>2</v>
      </c>
      <c r="F802" t="s">
        <v>642</v>
      </c>
      <c r="G802" s="11">
        <v>6</v>
      </c>
      <c r="H802" t="s">
        <v>31</v>
      </c>
      <c r="J802" s="12">
        <v>0</v>
      </c>
      <c r="L802" t="s">
        <v>38</v>
      </c>
      <c r="M802" s="13">
        <v>500000</v>
      </c>
      <c r="N802" s="14">
        <v>12</v>
      </c>
      <c r="P802" s="14">
        <v>1</v>
      </c>
      <c r="Q802" s="15">
        <v>0.11</v>
      </c>
      <c r="R802" s="12">
        <v>27500</v>
      </c>
      <c r="S802" s="12">
        <v>1</v>
      </c>
      <c r="T802" s="12">
        <v>0</v>
      </c>
      <c r="U802" s="12">
        <v>18800</v>
      </c>
      <c r="V802" s="12">
        <v>1</v>
      </c>
      <c r="W802" s="12">
        <v>44190.829260802013</v>
      </c>
      <c r="X802">
        <v>1</v>
      </c>
      <c r="Y802">
        <v>1</v>
      </c>
      <c r="Z802" s="15">
        <v>0.29824844397890621</v>
      </c>
      <c r="AA802" t="str">
        <f t="shared" si="40"/>
        <v>1-CT</v>
      </c>
      <c r="AB802" s="9">
        <f t="shared" si="41"/>
        <v>55000</v>
      </c>
      <c r="AC802" s="9">
        <f t="shared" si="42"/>
        <v>149124.2219894531</v>
      </c>
    </row>
    <row r="803" spans="1:29" x14ac:dyDescent="0.25">
      <c r="A803" t="s">
        <v>29</v>
      </c>
      <c r="B803">
        <v>30012</v>
      </c>
      <c r="C803" s="8">
        <v>45575</v>
      </c>
      <c r="D803" s="9">
        <v>321600</v>
      </c>
      <c r="E803" s="10">
        <v>9</v>
      </c>
      <c r="F803" t="s">
        <v>643</v>
      </c>
      <c r="G803" s="11">
        <v>6</v>
      </c>
      <c r="H803" t="s">
        <v>31</v>
      </c>
      <c r="J803" s="12">
        <v>0</v>
      </c>
      <c r="L803" t="s">
        <v>32</v>
      </c>
      <c r="M803" s="13">
        <v>750000</v>
      </c>
      <c r="N803" s="14">
        <v>11</v>
      </c>
      <c r="P803" s="14">
        <v>1</v>
      </c>
      <c r="Q803" s="15">
        <v>0.11</v>
      </c>
      <c r="R803" s="12">
        <v>40000</v>
      </c>
      <c r="S803" s="12">
        <v>1</v>
      </c>
      <c r="T803" s="12">
        <v>0</v>
      </c>
      <c r="U803" s="12">
        <v>24500</v>
      </c>
      <c r="V803" s="12">
        <v>1</v>
      </c>
      <c r="W803" s="12">
        <v>71988.839202256146</v>
      </c>
      <c r="X803">
        <v>1</v>
      </c>
      <c r="Y803">
        <v>1</v>
      </c>
      <c r="Z803" s="15">
        <v>0.29818089176678064</v>
      </c>
      <c r="AA803" t="str">
        <f t="shared" si="40"/>
        <v>1-CT</v>
      </c>
      <c r="AB803" s="9">
        <f t="shared" si="41"/>
        <v>82500</v>
      </c>
      <c r="AC803" s="9">
        <f t="shared" si="42"/>
        <v>223635.66882508548</v>
      </c>
    </row>
    <row r="804" spans="1:29" x14ac:dyDescent="0.25">
      <c r="A804" t="s">
        <v>29</v>
      </c>
      <c r="B804">
        <v>30012</v>
      </c>
      <c r="C804" s="8">
        <v>45579</v>
      </c>
      <c r="D804" s="9">
        <v>321600</v>
      </c>
      <c r="E804" s="10">
        <v>9</v>
      </c>
      <c r="F804" t="s">
        <v>644</v>
      </c>
      <c r="G804" s="11">
        <v>6</v>
      </c>
      <c r="H804" t="s">
        <v>31</v>
      </c>
      <c r="J804" s="12">
        <v>0</v>
      </c>
      <c r="M804" s="13">
        <v>750000</v>
      </c>
      <c r="N804" s="14">
        <v>11</v>
      </c>
      <c r="P804" s="14">
        <v>1</v>
      </c>
      <c r="Q804" s="15">
        <v>0.11</v>
      </c>
      <c r="R804" s="12">
        <v>40000</v>
      </c>
      <c r="S804" s="12">
        <v>1</v>
      </c>
      <c r="T804" s="12">
        <v>0</v>
      </c>
      <c r="U804" s="12">
        <v>24500</v>
      </c>
      <c r="V804" s="12">
        <v>1</v>
      </c>
      <c r="W804" s="12">
        <v>71988.839202256146</v>
      </c>
      <c r="X804">
        <v>1</v>
      </c>
      <c r="Y804">
        <v>1</v>
      </c>
      <c r="Z804" s="15">
        <v>0.29818089176678064</v>
      </c>
      <c r="AA804" t="str">
        <f t="shared" si="40"/>
        <v>1-CT</v>
      </c>
      <c r="AB804" s="9">
        <f t="shared" si="41"/>
        <v>82500</v>
      </c>
      <c r="AC804" s="9">
        <f t="shared" si="42"/>
        <v>223635.66882508548</v>
      </c>
    </row>
    <row r="805" spans="1:29" x14ac:dyDescent="0.25">
      <c r="A805" t="s">
        <v>29</v>
      </c>
      <c r="B805">
        <v>30012</v>
      </c>
      <c r="C805" s="8">
        <v>45568</v>
      </c>
      <c r="D805" s="9">
        <v>321600</v>
      </c>
      <c r="E805" s="10">
        <v>9</v>
      </c>
      <c r="F805" t="s">
        <v>645</v>
      </c>
      <c r="G805" s="11">
        <v>6</v>
      </c>
      <c r="H805" t="s">
        <v>31</v>
      </c>
      <c r="J805" s="12">
        <v>0</v>
      </c>
      <c r="L805" t="s">
        <v>38</v>
      </c>
      <c r="M805" s="13">
        <v>750000</v>
      </c>
      <c r="N805" s="14">
        <v>11</v>
      </c>
      <c r="P805" s="14">
        <v>1</v>
      </c>
      <c r="Q805" s="15">
        <v>0.11</v>
      </c>
      <c r="R805" s="12">
        <v>40000</v>
      </c>
      <c r="S805" s="12">
        <v>1</v>
      </c>
      <c r="T805" s="12">
        <v>0</v>
      </c>
      <c r="U805" s="12">
        <v>24500</v>
      </c>
      <c r="V805" s="12">
        <v>1</v>
      </c>
      <c r="W805" s="12">
        <v>71988.839202256146</v>
      </c>
      <c r="X805">
        <v>1</v>
      </c>
      <c r="Y805">
        <v>1</v>
      </c>
      <c r="Z805" s="15">
        <v>0.29818089176678064</v>
      </c>
      <c r="AA805" t="str">
        <f t="shared" si="40"/>
        <v>1-CT</v>
      </c>
      <c r="AB805" s="9">
        <f t="shared" si="41"/>
        <v>82500</v>
      </c>
      <c r="AC805" s="9">
        <f t="shared" si="42"/>
        <v>223635.66882508548</v>
      </c>
    </row>
    <row r="806" spans="1:29" x14ac:dyDescent="0.25">
      <c r="A806" t="s">
        <v>29</v>
      </c>
      <c r="B806">
        <v>30012</v>
      </c>
      <c r="C806" s="8">
        <v>45576</v>
      </c>
      <c r="D806" s="9">
        <v>321600</v>
      </c>
      <c r="E806" s="10">
        <v>9</v>
      </c>
      <c r="F806" t="s">
        <v>646</v>
      </c>
      <c r="G806" s="11">
        <v>6</v>
      </c>
      <c r="H806" t="s">
        <v>31</v>
      </c>
      <c r="J806" s="12">
        <v>0</v>
      </c>
      <c r="M806" s="13">
        <v>750000</v>
      </c>
      <c r="N806" s="14">
        <v>11</v>
      </c>
      <c r="P806" s="14">
        <v>1</v>
      </c>
      <c r="Q806" s="15">
        <v>0.11</v>
      </c>
      <c r="R806" s="12">
        <v>40000</v>
      </c>
      <c r="S806" s="12">
        <v>1</v>
      </c>
      <c r="T806" s="12">
        <v>0</v>
      </c>
      <c r="U806" s="12">
        <v>24500</v>
      </c>
      <c r="V806" s="12">
        <v>1</v>
      </c>
      <c r="W806" s="12">
        <v>71988.839202256146</v>
      </c>
      <c r="X806">
        <v>1</v>
      </c>
      <c r="Y806">
        <v>1</v>
      </c>
      <c r="Z806" s="15">
        <v>0.29818089176678064</v>
      </c>
      <c r="AA806" t="str">
        <f t="shared" si="40"/>
        <v>1-CT</v>
      </c>
      <c r="AB806" s="9">
        <f t="shared" si="41"/>
        <v>82500</v>
      </c>
      <c r="AC806" s="9">
        <f t="shared" si="42"/>
        <v>223635.66882508548</v>
      </c>
    </row>
    <row r="807" spans="1:29" x14ac:dyDescent="0.25">
      <c r="A807" t="s">
        <v>29</v>
      </c>
      <c r="B807">
        <v>30012</v>
      </c>
      <c r="C807" s="8">
        <v>45636</v>
      </c>
      <c r="D807" s="9">
        <v>321620</v>
      </c>
      <c r="E807" s="10">
        <v>2</v>
      </c>
      <c r="F807" t="s">
        <v>647</v>
      </c>
      <c r="G807" s="11">
        <v>6</v>
      </c>
      <c r="H807" t="s">
        <v>31</v>
      </c>
      <c r="J807" s="12">
        <v>0</v>
      </c>
      <c r="L807" t="s">
        <v>32</v>
      </c>
      <c r="M807" s="13">
        <v>470000</v>
      </c>
      <c r="N807" s="14">
        <v>12</v>
      </c>
      <c r="P807" s="14">
        <v>1</v>
      </c>
      <c r="Q807" s="15">
        <v>0.105</v>
      </c>
      <c r="R807" s="12">
        <v>25000</v>
      </c>
      <c r="S807" s="12">
        <v>1</v>
      </c>
      <c r="T807" s="12">
        <v>0</v>
      </c>
      <c r="U807" s="12">
        <v>19572</v>
      </c>
      <c r="V807" s="12">
        <v>1</v>
      </c>
      <c r="W807" s="12">
        <v>41429.843360295614</v>
      </c>
      <c r="X807">
        <v>1</v>
      </c>
      <c r="Y807">
        <v>1</v>
      </c>
      <c r="Z807" s="15">
        <v>0.29790108908660556</v>
      </c>
      <c r="AA807" t="str">
        <f t="shared" si="40"/>
        <v>1-CT</v>
      </c>
      <c r="AB807" s="9">
        <f t="shared" si="41"/>
        <v>49350</v>
      </c>
      <c r="AC807" s="9">
        <f t="shared" si="42"/>
        <v>140013.51187070462</v>
      </c>
    </row>
    <row r="808" spans="1:29" x14ac:dyDescent="0.25">
      <c r="A808" t="s">
        <v>29</v>
      </c>
      <c r="B808">
        <v>30012</v>
      </c>
      <c r="C808" s="8">
        <v>45638</v>
      </c>
      <c r="D808" s="9">
        <v>321620</v>
      </c>
      <c r="E808" s="10">
        <v>2</v>
      </c>
      <c r="F808" t="s">
        <v>648</v>
      </c>
      <c r="G808" s="11">
        <v>6</v>
      </c>
      <c r="H808" t="s">
        <v>31</v>
      </c>
      <c r="J808" s="12">
        <v>0</v>
      </c>
      <c r="L808" t="s">
        <v>32</v>
      </c>
      <c r="M808" s="13">
        <v>470000</v>
      </c>
      <c r="N808" s="14">
        <v>12</v>
      </c>
      <c r="P808" s="14">
        <v>1</v>
      </c>
      <c r="Q808" s="15">
        <v>0.105</v>
      </c>
      <c r="R808" s="12">
        <v>25000</v>
      </c>
      <c r="S808" s="12">
        <v>1</v>
      </c>
      <c r="T808" s="12">
        <v>0</v>
      </c>
      <c r="U808" s="12">
        <v>19572</v>
      </c>
      <c r="V808" s="12">
        <v>1</v>
      </c>
      <c r="W808" s="12">
        <v>41429.843360295614</v>
      </c>
      <c r="X808">
        <v>1</v>
      </c>
      <c r="Y808">
        <v>1</v>
      </c>
      <c r="Z808" s="15">
        <v>0.29790108908660556</v>
      </c>
      <c r="AA808" t="str">
        <f t="shared" si="40"/>
        <v>1-CT</v>
      </c>
      <c r="AB808" s="9">
        <f t="shared" si="41"/>
        <v>49350</v>
      </c>
      <c r="AC808" s="9">
        <f t="shared" si="42"/>
        <v>140013.51187070462</v>
      </c>
    </row>
    <row r="809" spans="1:29" x14ac:dyDescent="0.25">
      <c r="A809" t="s">
        <v>29</v>
      </c>
      <c r="B809">
        <v>30012</v>
      </c>
      <c r="C809" s="8">
        <v>45576</v>
      </c>
      <c r="D809" s="9">
        <v>321600</v>
      </c>
      <c r="E809" s="10">
        <v>9</v>
      </c>
      <c r="F809" t="s">
        <v>649</v>
      </c>
      <c r="G809" s="11">
        <v>6</v>
      </c>
      <c r="H809" t="s">
        <v>31</v>
      </c>
      <c r="J809" s="12">
        <v>0</v>
      </c>
      <c r="L809" t="s">
        <v>32</v>
      </c>
      <c r="M809" s="13">
        <v>755000</v>
      </c>
      <c r="N809" s="14">
        <v>11</v>
      </c>
      <c r="P809" s="14">
        <v>1</v>
      </c>
      <c r="Q809" s="15">
        <v>0.11</v>
      </c>
      <c r="R809" s="12">
        <v>40000</v>
      </c>
      <c r="S809" s="12">
        <v>1</v>
      </c>
      <c r="T809" s="12">
        <v>0</v>
      </c>
      <c r="U809" s="12">
        <v>24588</v>
      </c>
      <c r="V809" s="12">
        <v>1</v>
      </c>
      <c r="W809" s="12">
        <v>72468.76479693786</v>
      </c>
      <c r="X809">
        <v>1</v>
      </c>
      <c r="Y809">
        <v>1</v>
      </c>
      <c r="Z809" s="15">
        <v>0.29712217220013037</v>
      </c>
      <c r="AA809" t="str">
        <f t="shared" si="40"/>
        <v>1-CT</v>
      </c>
      <c r="AB809" s="9">
        <f t="shared" si="41"/>
        <v>83050</v>
      </c>
      <c r="AC809" s="9">
        <f t="shared" si="42"/>
        <v>224327.24001109845</v>
      </c>
    </row>
    <row r="810" spans="1:29" x14ac:dyDescent="0.25">
      <c r="A810" t="s">
        <v>29</v>
      </c>
      <c r="B810">
        <v>30012</v>
      </c>
      <c r="C810" s="8">
        <v>45586</v>
      </c>
      <c r="D810" s="9">
        <v>321600</v>
      </c>
      <c r="E810" s="10">
        <v>9</v>
      </c>
      <c r="F810" t="s">
        <v>650</v>
      </c>
      <c r="G810" s="11">
        <v>6</v>
      </c>
      <c r="H810" t="s">
        <v>31</v>
      </c>
      <c r="J810" s="12">
        <v>0</v>
      </c>
      <c r="L810" t="s">
        <v>38</v>
      </c>
      <c r="M810" s="13">
        <v>1050000</v>
      </c>
      <c r="N810" s="14">
        <v>11</v>
      </c>
      <c r="P810" s="14">
        <v>1</v>
      </c>
      <c r="Q810" s="15">
        <v>0.11</v>
      </c>
      <c r="R810" s="12">
        <v>60000</v>
      </c>
      <c r="S810" s="12">
        <v>1</v>
      </c>
      <c r="T810" s="12">
        <v>0</v>
      </c>
      <c r="U810" s="12">
        <v>29780</v>
      </c>
      <c r="V810" s="12">
        <v>1</v>
      </c>
      <c r="W810" s="12">
        <v>100784.37488315861</v>
      </c>
      <c r="X810">
        <v>1</v>
      </c>
      <c r="Y810">
        <v>1</v>
      </c>
      <c r="Z810" s="15">
        <v>0.29702344498173733</v>
      </c>
      <c r="AA810" t="str">
        <f t="shared" si="40"/>
        <v>1-CT</v>
      </c>
      <c r="AB810" s="9">
        <f t="shared" si="41"/>
        <v>115500</v>
      </c>
      <c r="AC810" s="9">
        <f t="shared" si="42"/>
        <v>311874.61723082419</v>
      </c>
    </row>
    <row r="811" spans="1:29" x14ac:dyDescent="0.25">
      <c r="A811" t="s">
        <v>29</v>
      </c>
      <c r="B811">
        <v>30012</v>
      </c>
      <c r="C811" s="8">
        <v>45573</v>
      </c>
      <c r="D811" s="9">
        <v>321600</v>
      </c>
      <c r="E811" s="10">
        <v>9</v>
      </c>
      <c r="F811" t="s">
        <v>651</v>
      </c>
      <c r="G811" s="11">
        <v>6</v>
      </c>
      <c r="H811" t="s">
        <v>31</v>
      </c>
      <c r="J811" s="12">
        <v>0</v>
      </c>
      <c r="L811" t="s">
        <v>32</v>
      </c>
      <c r="M811" s="13">
        <v>1050000</v>
      </c>
      <c r="N811" s="14">
        <v>11</v>
      </c>
      <c r="P811" s="14">
        <v>1</v>
      </c>
      <c r="Q811" s="15">
        <v>0.11</v>
      </c>
      <c r="R811" s="12">
        <v>60000</v>
      </c>
      <c r="S811" s="12">
        <v>1</v>
      </c>
      <c r="T811" s="12">
        <v>0</v>
      </c>
      <c r="U811" s="12">
        <v>29780</v>
      </c>
      <c r="V811" s="12">
        <v>1</v>
      </c>
      <c r="W811" s="12">
        <v>100784.37488315861</v>
      </c>
      <c r="X811">
        <v>1</v>
      </c>
      <c r="Y811">
        <v>1</v>
      </c>
      <c r="Z811" s="15">
        <v>0.29702344498173733</v>
      </c>
      <c r="AA811" t="str">
        <f t="shared" si="40"/>
        <v>1-CT</v>
      </c>
      <c r="AB811" s="9">
        <f t="shared" si="41"/>
        <v>115500</v>
      </c>
      <c r="AC811" s="9">
        <f t="shared" si="42"/>
        <v>311874.61723082419</v>
      </c>
    </row>
    <row r="812" spans="1:29" x14ac:dyDescent="0.25">
      <c r="A812" t="s">
        <v>29</v>
      </c>
      <c r="B812">
        <v>30012</v>
      </c>
      <c r="C812" s="8">
        <v>45569</v>
      </c>
      <c r="D812" s="9">
        <v>321600</v>
      </c>
      <c r="E812" s="10">
        <v>9</v>
      </c>
      <c r="F812" t="s">
        <v>652</v>
      </c>
      <c r="G812" s="11">
        <v>6</v>
      </c>
      <c r="H812" t="s">
        <v>31</v>
      </c>
      <c r="J812" s="12">
        <v>0</v>
      </c>
      <c r="L812" t="s">
        <v>32</v>
      </c>
      <c r="M812" s="13">
        <v>1050000</v>
      </c>
      <c r="N812" s="14">
        <v>11</v>
      </c>
      <c r="P812" s="14">
        <v>1</v>
      </c>
      <c r="Q812" s="15">
        <v>0.11</v>
      </c>
      <c r="R812" s="12">
        <v>60000</v>
      </c>
      <c r="S812" s="12">
        <v>1</v>
      </c>
      <c r="T812" s="12">
        <v>0</v>
      </c>
      <c r="U812" s="12">
        <v>29780</v>
      </c>
      <c r="V812" s="12">
        <v>1</v>
      </c>
      <c r="W812" s="12">
        <v>100784.37488315861</v>
      </c>
      <c r="X812">
        <v>1</v>
      </c>
      <c r="Y812">
        <v>1</v>
      </c>
      <c r="Z812" s="15">
        <v>0.29702344498173733</v>
      </c>
      <c r="AA812" t="str">
        <f t="shared" si="40"/>
        <v>1-CT</v>
      </c>
      <c r="AB812" s="9">
        <f t="shared" si="41"/>
        <v>115500</v>
      </c>
      <c r="AC812" s="9">
        <f t="shared" si="42"/>
        <v>311874.61723082419</v>
      </c>
    </row>
    <row r="813" spans="1:29" x14ac:dyDescent="0.25">
      <c r="A813" t="s">
        <v>29</v>
      </c>
      <c r="B813">
        <v>30012</v>
      </c>
      <c r="C813" s="8">
        <v>45645</v>
      </c>
      <c r="D813" s="9">
        <v>321620</v>
      </c>
      <c r="E813" s="10">
        <v>2</v>
      </c>
      <c r="F813" t="s">
        <v>653</v>
      </c>
      <c r="G813" s="11">
        <v>6</v>
      </c>
      <c r="H813" t="s">
        <v>31</v>
      </c>
      <c r="J813" s="12">
        <v>0</v>
      </c>
      <c r="L813" t="s">
        <v>38</v>
      </c>
      <c r="M813" s="13">
        <v>488000</v>
      </c>
      <c r="N813" s="14">
        <v>12</v>
      </c>
      <c r="P813" s="14">
        <v>1</v>
      </c>
      <c r="Q813" s="15">
        <v>0.11</v>
      </c>
      <c r="R813" s="12">
        <v>25000</v>
      </c>
      <c r="S813" s="12">
        <v>1</v>
      </c>
      <c r="T813" s="12">
        <v>0</v>
      </c>
      <c r="U813" s="12">
        <v>19888.8</v>
      </c>
      <c r="V813" s="12">
        <v>1</v>
      </c>
      <c r="W813" s="12">
        <v>43130.249358542773</v>
      </c>
      <c r="X813">
        <v>1</v>
      </c>
      <c r="Y813">
        <v>1</v>
      </c>
      <c r="Z813" s="15">
        <v>0.29690695420939894</v>
      </c>
      <c r="AA813" t="str">
        <f t="shared" si="40"/>
        <v>1-CT</v>
      </c>
      <c r="AB813" s="9">
        <f t="shared" si="41"/>
        <v>53680</v>
      </c>
      <c r="AC813" s="9">
        <f t="shared" si="42"/>
        <v>144890.5936541867</v>
      </c>
    </row>
    <row r="814" spans="1:29" x14ac:dyDescent="0.25">
      <c r="A814" t="s">
        <v>29</v>
      </c>
      <c r="B814">
        <v>30012</v>
      </c>
      <c r="C814" s="8">
        <v>45618</v>
      </c>
      <c r="D814" s="9">
        <v>321620</v>
      </c>
      <c r="E814" s="10">
        <v>2</v>
      </c>
      <c r="F814" t="s">
        <v>654</v>
      </c>
      <c r="G814" s="11">
        <v>6</v>
      </c>
      <c r="H814" t="s">
        <v>31</v>
      </c>
      <c r="J814" s="12">
        <v>0</v>
      </c>
      <c r="L814" t="s">
        <v>32</v>
      </c>
      <c r="M814" s="13">
        <v>475000</v>
      </c>
      <c r="N814" s="14">
        <v>12</v>
      </c>
      <c r="P814" s="14">
        <v>1</v>
      </c>
      <c r="Q814" s="15">
        <v>0.105</v>
      </c>
      <c r="R814" s="12">
        <v>25000</v>
      </c>
      <c r="S814" s="12">
        <v>1</v>
      </c>
      <c r="T814" s="12">
        <v>0</v>
      </c>
      <c r="U814" s="12">
        <v>19660</v>
      </c>
      <c r="V814" s="12">
        <v>1</v>
      </c>
      <c r="W814" s="12">
        <v>41870.586374766855</v>
      </c>
      <c r="X814">
        <v>1</v>
      </c>
      <c r="Y814">
        <v>1</v>
      </c>
      <c r="Z814" s="15">
        <v>0.29612307327606607</v>
      </c>
      <c r="AA814" t="str">
        <f t="shared" si="40"/>
        <v>1-CT</v>
      </c>
      <c r="AB814" s="9">
        <f t="shared" si="41"/>
        <v>49875</v>
      </c>
      <c r="AC814" s="9">
        <f t="shared" si="42"/>
        <v>140658.45980613137</v>
      </c>
    </row>
    <row r="815" spans="1:29" x14ac:dyDescent="0.25">
      <c r="A815" t="s">
        <v>29</v>
      </c>
      <c r="B815">
        <v>30012</v>
      </c>
      <c r="C815" s="8">
        <v>45579</v>
      </c>
      <c r="D815" s="9">
        <v>321600</v>
      </c>
      <c r="E815" s="10">
        <v>9</v>
      </c>
      <c r="F815" t="s">
        <v>655</v>
      </c>
      <c r="G815" s="11">
        <v>6</v>
      </c>
      <c r="H815" t="s">
        <v>31</v>
      </c>
      <c r="J815" s="12">
        <v>0</v>
      </c>
      <c r="L815" t="s">
        <v>40</v>
      </c>
      <c r="M815" s="13">
        <v>1060000</v>
      </c>
      <c r="N815" s="14">
        <v>11</v>
      </c>
      <c r="P815" s="14">
        <v>1</v>
      </c>
      <c r="Q815" s="15">
        <v>0.11</v>
      </c>
      <c r="R815" s="12">
        <v>60000</v>
      </c>
      <c r="S815" s="12">
        <v>1</v>
      </c>
      <c r="T815" s="12">
        <v>0</v>
      </c>
      <c r="U815" s="12">
        <v>29956</v>
      </c>
      <c r="V815" s="12">
        <v>1</v>
      </c>
      <c r="W815" s="12">
        <v>101744.22607252203</v>
      </c>
      <c r="X815">
        <v>1</v>
      </c>
      <c r="Y815">
        <v>1</v>
      </c>
      <c r="Z815" s="15">
        <v>0.29552760993452493</v>
      </c>
      <c r="AA815" t="str">
        <f t="shared" si="40"/>
        <v>1-CT</v>
      </c>
      <c r="AB815" s="9">
        <f t="shared" si="41"/>
        <v>116600</v>
      </c>
      <c r="AC815" s="9">
        <f t="shared" si="42"/>
        <v>313259.26653059642</v>
      </c>
    </row>
    <row r="816" spans="1:29" x14ac:dyDescent="0.25">
      <c r="A816" t="s">
        <v>29</v>
      </c>
      <c r="B816">
        <v>30012</v>
      </c>
      <c r="C816" s="8">
        <v>45593</v>
      </c>
      <c r="D816" s="9">
        <v>321600</v>
      </c>
      <c r="E816" s="10">
        <v>9</v>
      </c>
      <c r="F816" t="s">
        <v>656</v>
      </c>
      <c r="G816" s="11">
        <v>6</v>
      </c>
      <c r="H816" t="s">
        <v>31</v>
      </c>
      <c r="J816" s="12">
        <v>0</v>
      </c>
      <c r="L816" t="s">
        <v>34</v>
      </c>
      <c r="M816" s="13">
        <v>763000</v>
      </c>
      <c r="N816" s="14">
        <v>11</v>
      </c>
      <c r="P816" s="14">
        <v>1</v>
      </c>
      <c r="Q816" s="15">
        <v>0.11</v>
      </c>
      <c r="R816" s="12">
        <v>40000</v>
      </c>
      <c r="S816" s="12">
        <v>1</v>
      </c>
      <c r="T816" s="12">
        <v>0</v>
      </c>
      <c r="U816" s="12">
        <v>24728.799999999999</v>
      </c>
      <c r="V816" s="12">
        <v>1</v>
      </c>
      <c r="W816" s="12">
        <v>73236.645748428593</v>
      </c>
      <c r="X816">
        <v>1</v>
      </c>
      <c r="Y816">
        <v>1</v>
      </c>
      <c r="Z816" s="15">
        <v>0.29545864595564025</v>
      </c>
      <c r="AA816" t="str">
        <f t="shared" si="40"/>
        <v>1-CT</v>
      </c>
      <c r="AB816" s="9">
        <f t="shared" si="41"/>
        <v>83930</v>
      </c>
      <c r="AC816" s="9">
        <f t="shared" si="42"/>
        <v>225434.94686415352</v>
      </c>
    </row>
    <row r="817" spans="1:29" x14ac:dyDescent="0.25">
      <c r="A817" t="s">
        <v>29</v>
      </c>
      <c r="B817">
        <v>30012</v>
      </c>
      <c r="C817" s="8">
        <v>45623</v>
      </c>
      <c r="D817" s="9">
        <v>321660</v>
      </c>
      <c r="E817" s="10">
        <v>9</v>
      </c>
      <c r="F817" t="s">
        <v>657</v>
      </c>
      <c r="G817" s="11">
        <v>6</v>
      </c>
      <c r="H817" t="s">
        <v>31</v>
      </c>
      <c r="J817" s="12">
        <v>0</v>
      </c>
      <c r="L817" t="s">
        <v>32</v>
      </c>
      <c r="M817" s="13">
        <v>525000</v>
      </c>
      <c r="N817" s="14">
        <v>15</v>
      </c>
      <c r="P817" s="14">
        <v>1</v>
      </c>
      <c r="Q817" s="15">
        <v>0.1</v>
      </c>
      <c r="R817" s="12">
        <v>40000</v>
      </c>
      <c r="S817" s="12">
        <v>1</v>
      </c>
      <c r="T817" s="12">
        <v>14266</v>
      </c>
      <c r="U817" s="12">
        <v>6550</v>
      </c>
      <c r="V817" s="12">
        <v>1</v>
      </c>
      <c r="W817" s="12">
        <v>37378.503987740405</v>
      </c>
      <c r="X817">
        <v>1</v>
      </c>
      <c r="Y817">
        <v>1</v>
      </c>
      <c r="Z817" s="15">
        <v>0.2951230705070238</v>
      </c>
      <c r="AA817" t="str">
        <f t="shared" si="40"/>
        <v>1-CT</v>
      </c>
      <c r="AB817" s="9">
        <f t="shared" si="41"/>
        <v>52500</v>
      </c>
      <c r="AC817" s="9">
        <f t="shared" si="42"/>
        <v>154939.61201618749</v>
      </c>
    </row>
    <row r="818" spans="1:29" x14ac:dyDescent="0.25">
      <c r="A818" t="s">
        <v>29</v>
      </c>
      <c r="B818">
        <v>30012</v>
      </c>
      <c r="C818" s="8">
        <v>45575</v>
      </c>
      <c r="D818" s="9">
        <v>321600</v>
      </c>
      <c r="E818" s="10">
        <v>9</v>
      </c>
      <c r="F818" t="s">
        <v>658</v>
      </c>
      <c r="G818" s="11">
        <v>6</v>
      </c>
      <c r="H818" t="s">
        <v>31</v>
      </c>
      <c r="J818" s="12">
        <v>0</v>
      </c>
      <c r="L818" t="s">
        <v>32</v>
      </c>
      <c r="M818" s="13">
        <v>1065000</v>
      </c>
      <c r="N818" s="14">
        <v>11</v>
      </c>
      <c r="P818" s="14">
        <v>1</v>
      </c>
      <c r="Q818" s="15">
        <v>0.11</v>
      </c>
      <c r="R818" s="12">
        <v>60000</v>
      </c>
      <c r="S818" s="12">
        <v>1</v>
      </c>
      <c r="T818" s="12">
        <v>0</v>
      </c>
      <c r="U818" s="12">
        <v>30044</v>
      </c>
      <c r="V818" s="12">
        <v>1</v>
      </c>
      <c r="W818" s="12">
        <v>102224.15166720374</v>
      </c>
      <c r="X818">
        <v>1</v>
      </c>
      <c r="Y818">
        <v>1</v>
      </c>
      <c r="Z818" s="15">
        <v>0.29479079443291678</v>
      </c>
      <c r="AA818" t="str">
        <f t="shared" si="40"/>
        <v>1-CT</v>
      </c>
      <c r="AB818" s="9">
        <f t="shared" si="41"/>
        <v>117150</v>
      </c>
      <c r="AC818" s="9">
        <f t="shared" si="42"/>
        <v>313952.19607105636</v>
      </c>
    </row>
    <row r="834" spans="23:23" x14ac:dyDescent="0.25">
      <c r="W834" s="22"/>
    </row>
  </sheetData>
  <autoFilter ref="A1:AC818"/>
  <pageMargins left="0.7" right="0.7" top="0.75" bottom="0.75" header="0.3" footer="0.3"/>
  <pageSetup paperSize="9" scale="3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80"/>
  <sheetViews>
    <sheetView topLeftCell="C663" zoomScale="110" zoomScaleNormal="110" workbookViewId="0">
      <selection activeCell="D675" sqref="D675"/>
    </sheetView>
  </sheetViews>
  <sheetFormatPr baseColWidth="10" defaultColWidth="27.28515625" defaultRowHeight="15" x14ac:dyDescent="0.25"/>
  <cols>
    <col min="1" max="1" width="20.7109375" customWidth="1"/>
    <col min="2" max="2" width="14.5703125" customWidth="1"/>
    <col min="3" max="3" width="20.140625" customWidth="1"/>
    <col min="4" max="4" width="43.42578125" customWidth="1"/>
    <col min="5" max="5" width="13.85546875" style="11" customWidth="1"/>
    <col min="6" max="6" width="21.42578125" customWidth="1"/>
    <col min="7" max="7" width="31" customWidth="1"/>
    <col min="8" max="8" width="16.7109375" style="12" customWidth="1"/>
    <col min="9" max="9" width="17" customWidth="1"/>
    <col min="10" max="10" width="9" customWidth="1"/>
    <col min="11" max="11" width="14" style="12" customWidth="1"/>
    <col min="12" max="12" width="10.7109375" style="12" customWidth="1"/>
    <col min="13" max="13" width="16.5703125" style="9" customWidth="1"/>
    <col min="14" max="14" width="15.140625" style="12" customWidth="1"/>
    <col min="15" max="15" width="17.7109375" customWidth="1"/>
    <col min="16" max="16" width="12.7109375" customWidth="1"/>
    <col min="17" max="17" width="15.140625" customWidth="1"/>
    <col min="18" max="18" width="14.140625" customWidth="1"/>
    <col min="19" max="19" width="15.140625" customWidth="1"/>
  </cols>
  <sheetData>
    <row r="1" spans="1:19" s="7" customFormat="1" x14ac:dyDescent="0.25">
      <c r="A1" s="23" t="s">
        <v>788</v>
      </c>
      <c r="B1" s="23" t="s">
        <v>789</v>
      </c>
      <c r="C1" s="23" t="s">
        <v>790</v>
      </c>
      <c r="D1" s="23" t="s">
        <v>791</v>
      </c>
      <c r="E1" s="23" t="s">
        <v>792</v>
      </c>
      <c r="F1" s="23" t="s">
        <v>793</v>
      </c>
      <c r="G1" s="23" t="s">
        <v>794</v>
      </c>
      <c r="H1" s="23" t="s">
        <v>795</v>
      </c>
      <c r="I1" s="23" t="s">
        <v>796</v>
      </c>
      <c r="J1" s="23" t="s">
        <v>797</v>
      </c>
      <c r="K1" s="23" t="s">
        <v>798</v>
      </c>
      <c r="L1" s="23" t="s">
        <v>799</v>
      </c>
      <c r="M1" s="23" t="s">
        <v>800</v>
      </c>
      <c r="N1" s="23" t="s">
        <v>801</v>
      </c>
      <c r="O1" s="23" t="s">
        <v>802</v>
      </c>
      <c r="P1" s="23" t="s">
        <v>803</v>
      </c>
      <c r="Q1" s="7" t="s">
        <v>804</v>
      </c>
      <c r="R1" s="7" t="s">
        <v>27</v>
      </c>
      <c r="S1" s="7" t="s">
        <v>28</v>
      </c>
    </row>
    <row r="2" spans="1:19" x14ac:dyDescent="0.25">
      <c r="A2" t="s">
        <v>272</v>
      </c>
      <c r="B2">
        <v>30008</v>
      </c>
      <c r="C2" s="8">
        <v>45574</v>
      </c>
      <c r="D2" t="s">
        <v>810</v>
      </c>
      <c r="E2" s="11" t="s">
        <v>205</v>
      </c>
      <c r="F2" t="s">
        <v>274</v>
      </c>
      <c r="G2" t="s">
        <v>372</v>
      </c>
      <c r="H2" s="12">
        <v>15000000</v>
      </c>
      <c r="I2" s="9"/>
      <c r="J2" s="17">
        <v>0.09</v>
      </c>
      <c r="K2" s="12">
        <v>237800</v>
      </c>
      <c r="L2" s="9"/>
      <c r="M2" s="12">
        <f>H2*(1.05/100)</f>
        <v>157500</v>
      </c>
      <c r="N2" s="12">
        <v>65316</v>
      </c>
      <c r="O2">
        <v>0</v>
      </c>
      <c r="P2">
        <v>1</v>
      </c>
      <c r="Q2" s="15">
        <f t="shared" ref="Q2:Q65" si="0">((H2*J2)+K2+M2)/H2</f>
        <v>0.11635333333333334</v>
      </c>
      <c r="R2" s="9">
        <f t="shared" ref="R2:R65" si="1">J2*H2</f>
        <v>1350000</v>
      </c>
      <c r="S2" s="9">
        <f t="shared" ref="S2:S65" si="2">Q2*H2</f>
        <v>1745300</v>
      </c>
    </row>
    <row r="3" spans="1:19" x14ac:dyDescent="0.25">
      <c r="A3" t="s">
        <v>1192</v>
      </c>
      <c r="B3">
        <v>30019</v>
      </c>
      <c r="C3" s="8">
        <v>45575</v>
      </c>
      <c r="D3" t="s">
        <v>1248</v>
      </c>
      <c r="E3" s="11">
        <v>6</v>
      </c>
      <c r="F3" t="s">
        <v>805</v>
      </c>
      <c r="H3" s="12">
        <v>42000</v>
      </c>
      <c r="I3" s="9">
        <v>0</v>
      </c>
      <c r="J3" s="15">
        <v>0.15</v>
      </c>
      <c r="K3" s="12">
        <v>6890</v>
      </c>
      <c r="L3" s="12">
        <v>5000</v>
      </c>
      <c r="M3" s="9">
        <v>0</v>
      </c>
      <c r="N3" s="12">
        <v>0</v>
      </c>
      <c r="O3">
        <v>0</v>
      </c>
      <c r="P3">
        <v>1</v>
      </c>
      <c r="Q3" s="15">
        <f t="shared" si="0"/>
        <v>0.31404761904761902</v>
      </c>
      <c r="R3" s="9">
        <f t="shared" si="1"/>
        <v>6300</v>
      </c>
      <c r="S3" s="9">
        <f t="shared" si="2"/>
        <v>13189.999999999998</v>
      </c>
    </row>
    <row r="4" spans="1:19" x14ac:dyDescent="0.25">
      <c r="A4" t="s">
        <v>29</v>
      </c>
      <c r="B4">
        <v>30012</v>
      </c>
      <c r="C4" s="8">
        <v>45567</v>
      </c>
      <c r="D4" t="s">
        <v>1107</v>
      </c>
      <c r="E4" s="11">
        <v>6</v>
      </c>
      <c r="F4" t="s">
        <v>805</v>
      </c>
      <c r="H4" s="12">
        <v>152913</v>
      </c>
      <c r="I4" s="9">
        <v>152913</v>
      </c>
      <c r="J4" s="15">
        <v>0.15</v>
      </c>
      <c r="K4" s="12">
        <v>0</v>
      </c>
      <c r="L4" s="12">
        <v>0</v>
      </c>
      <c r="M4" s="9">
        <v>0</v>
      </c>
      <c r="N4" s="12">
        <v>5797.9512500000001</v>
      </c>
      <c r="O4">
        <v>91</v>
      </c>
      <c r="Q4" s="15">
        <f t="shared" si="0"/>
        <v>0.15</v>
      </c>
      <c r="R4" s="9">
        <f t="shared" si="1"/>
        <v>22936.95</v>
      </c>
      <c r="S4" s="9">
        <f t="shared" si="2"/>
        <v>22936.95</v>
      </c>
    </row>
    <row r="5" spans="1:19" x14ac:dyDescent="0.25">
      <c r="A5" t="s">
        <v>29</v>
      </c>
      <c r="B5">
        <v>30012</v>
      </c>
      <c r="C5" s="8">
        <v>45567</v>
      </c>
      <c r="D5" t="s">
        <v>1103</v>
      </c>
      <c r="E5" s="11">
        <v>6</v>
      </c>
      <c r="F5" t="s">
        <v>805</v>
      </c>
      <c r="H5" s="12">
        <v>88643</v>
      </c>
      <c r="I5" s="9">
        <v>88643</v>
      </c>
      <c r="J5" s="15">
        <v>0.15</v>
      </c>
      <c r="K5" s="12">
        <v>0</v>
      </c>
      <c r="L5" s="12">
        <v>0</v>
      </c>
      <c r="M5" s="9">
        <v>0</v>
      </c>
      <c r="N5" s="12">
        <v>3361.0470833333334</v>
      </c>
      <c r="O5">
        <v>91</v>
      </c>
      <c r="Q5" s="15">
        <f t="shared" si="0"/>
        <v>0.15</v>
      </c>
      <c r="R5" s="9">
        <f t="shared" si="1"/>
        <v>13296.449999999999</v>
      </c>
      <c r="S5" s="9">
        <f t="shared" si="2"/>
        <v>13296.449999999999</v>
      </c>
    </row>
    <row r="6" spans="1:19" x14ac:dyDescent="0.25">
      <c r="A6" t="s">
        <v>29</v>
      </c>
      <c r="B6">
        <v>30012</v>
      </c>
      <c r="C6" s="8">
        <v>45597</v>
      </c>
      <c r="D6" t="s">
        <v>1014</v>
      </c>
      <c r="E6" s="11">
        <v>6</v>
      </c>
      <c r="F6" t="s">
        <v>805</v>
      </c>
      <c r="H6" s="12">
        <v>245660</v>
      </c>
      <c r="I6" s="9">
        <v>245660</v>
      </c>
      <c r="J6" s="15">
        <v>0.15</v>
      </c>
      <c r="K6" s="12">
        <v>0</v>
      </c>
      <c r="L6" s="12">
        <v>0</v>
      </c>
      <c r="M6" s="9">
        <v>0</v>
      </c>
      <c r="N6" s="12">
        <v>6243.8583333333336</v>
      </c>
      <c r="O6">
        <v>61</v>
      </c>
      <c r="Q6" s="15">
        <f t="shared" si="0"/>
        <v>0.15</v>
      </c>
      <c r="R6" s="9">
        <f t="shared" si="1"/>
        <v>36849</v>
      </c>
      <c r="S6" s="9">
        <f t="shared" si="2"/>
        <v>36849</v>
      </c>
    </row>
    <row r="7" spans="1:19" x14ac:dyDescent="0.25">
      <c r="A7" t="s">
        <v>1192</v>
      </c>
      <c r="B7">
        <v>30019</v>
      </c>
      <c r="C7" s="8">
        <v>45646</v>
      </c>
      <c r="D7" t="s">
        <v>1456</v>
      </c>
      <c r="E7" s="11">
        <v>6</v>
      </c>
      <c r="F7" t="s">
        <v>805</v>
      </c>
      <c r="G7" t="s">
        <v>1195</v>
      </c>
      <c r="H7" s="12">
        <v>41000</v>
      </c>
      <c r="I7" s="9">
        <v>0</v>
      </c>
      <c r="J7" s="15">
        <v>0.15</v>
      </c>
      <c r="K7" s="12">
        <v>6890</v>
      </c>
      <c r="L7" s="12">
        <v>5000</v>
      </c>
      <c r="M7" s="9">
        <v>0</v>
      </c>
      <c r="N7" s="12">
        <v>0</v>
      </c>
      <c r="O7">
        <v>0</v>
      </c>
      <c r="P7">
        <v>1</v>
      </c>
      <c r="Q7" s="15">
        <f t="shared" si="0"/>
        <v>0.31804878048780488</v>
      </c>
      <c r="R7" s="9">
        <f t="shared" si="1"/>
        <v>6150</v>
      </c>
      <c r="S7" s="9">
        <f t="shared" si="2"/>
        <v>13040</v>
      </c>
    </row>
    <row r="8" spans="1:19" x14ac:dyDescent="0.25">
      <c r="A8" t="s">
        <v>29</v>
      </c>
      <c r="B8">
        <v>30012</v>
      </c>
      <c r="C8" s="8">
        <v>45629</v>
      </c>
      <c r="D8" t="s">
        <v>924</v>
      </c>
      <c r="E8" s="11" t="s">
        <v>205</v>
      </c>
      <c r="F8" t="s">
        <v>805</v>
      </c>
      <c r="G8" t="s">
        <v>202</v>
      </c>
      <c r="H8" s="12">
        <v>387938</v>
      </c>
      <c r="I8" s="9">
        <v>387938</v>
      </c>
      <c r="J8" s="15">
        <v>0.15</v>
      </c>
      <c r="K8" s="12">
        <v>0</v>
      </c>
      <c r="L8" s="12">
        <v>0</v>
      </c>
      <c r="M8" s="9">
        <v>0</v>
      </c>
      <c r="N8" s="12">
        <v>4687.5841666666665</v>
      </c>
      <c r="O8">
        <v>29</v>
      </c>
      <c r="Q8" s="15">
        <f t="shared" si="0"/>
        <v>0.15</v>
      </c>
      <c r="R8" s="9">
        <f t="shared" si="1"/>
        <v>58190.7</v>
      </c>
      <c r="S8" s="9">
        <f t="shared" si="2"/>
        <v>58190.7</v>
      </c>
    </row>
    <row r="9" spans="1:19" x14ac:dyDescent="0.25">
      <c r="A9" t="s">
        <v>1192</v>
      </c>
      <c r="B9">
        <v>30019</v>
      </c>
      <c r="C9" s="8">
        <v>45642</v>
      </c>
      <c r="D9" t="s">
        <v>1452</v>
      </c>
      <c r="E9" s="11">
        <v>6</v>
      </c>
      <c r="F9" t="s">
        <v>805</v>
      </c>
      <c r="G9" t="s">
        <v>1195</v>
      </c>
      <c r="H9" s="12">
        <v>72000</v>
      </c>
      <c r="I9" s="9">
        <v>0</v>
      </c>
      <c r="J9" s="15">
        <v>0.125</v>
      </c>
      <c r="K9" s="12">
        <v>6890</v>
      </c>
      <c r="L9" s="12">
        <v>5000</v>
      </c>
      <c r="M9" s="9">
        <v>0</v>
      </c>
      <c r="N9" s="12">
        <v>0</v>
      </c>
      <c r="O9">
        <v>0</v>
      </c>
      <c r="P9">
        <v>1</v>
      </c>
      <c r="Q9" s="15">
        <f t="shared" si="0"/>
        <v>0.22069444444444444</v>
      </c>
      <c r="R9" s="9">
        <f t="shared" si="1"/>
        <v>9000</v>
      </c>
      <c r="S9" s="9">
        <f t="shared" si="2"/>
        <v>15890</v>
      </c>
    </row>
    <row r="10" spans="1:19" x14ac:dyDescent="0.25">
      <c r="A10" t="s">
        <v>29</v>
      </c>
      <c r="B10">
        <v>30012</v>
      </c>
      <c r="C10" s="8">
        <v>45644</v>
      </c>
      <c r="D10" t="s">
        <v>864</v>
      </c>
      <c r="E10" s="11">
        <v>6</v>
      </c>
      <c r="F10" t="s">
        <v>822</v>
      </c>
      <c r="H10" s="12">
        <v>95000</v>
      </c>
      <c r="I10" s="9">
        <v>95883</v>
      </c>
      <c r="J10" s="15">
        <v>0.1</v>
      </c>
      <c r="K10" s="12">
        <v>0</v>
      </c>
      <c r="L10" s="12">
        <v>0</v>
      </c>
      <c r="M10" s="9">
        <v>0</v>
      </c>
      <c r="N10" s="12">
        <v>852.29333333333341</v>
      </c>
      <c r="O10">
        <v>32</v>
      </c>
      <c r="Q10" s="15">
        <f t="shared" si="0"/>
        <v>0.1</v>
      </c>
      <c r="R10" s="9">
        <f t="shared" si="1"/>
        <v>9500</v>
      </c>
      <c r="S10" s="9">
        <f t="shared" si="2"/>
        <v>9500</v>
      </c>
    </row>
    <row r="11" spans="1:19" x14ac:dyDescent="0.25">
      <c r="A11" t="s">
        <v>210</v>
      </c>
      <c r="B11" t="s">
        <v>783</v>
      </c>
      <c r="C11" s="8">
        <v>45638</v>
      </c>
      <c r="D11" t="s">
        <v>1169</v>
      </c>
      <c r="E11" s="11" t="s">
        <v>205</v>
      </c>
      <c r="F11" t="s">
        <v>805</v>
      </c>
      <c r="G11" t="s">
        <v>241</v>
      </c>
      <c r="H11" s="12">
        <v>250000000</v>
      </c>
      <c r="I11" s="9">
        <v>250000000</v>
      </c>
      <c r="J11" s="15">
        <v>0.08</v>
      </c>
      <c r="K11" s="12">
        <v>300000</v>
      </c>
      <c r="M11" s="9">
        <v>56700</v>
      </c>
      <c r="P11">
        <v>1</v>
      </c>
      <c r="Q11" s="15">
        <f t="shared" si="0"/>
        <v>8.1426799999999994E-2</v>
      </c>
      <c r="R11" s="9">
        <f t="shared" si="1"/>
        <v>20000000</v>
      </c>
      <c r="S11" s="9">
        <f t="shared" si="2"/>
        <v>20356700</v>
      </c>
    </row>
    <row r="12" spans="1:19" x14ac:dyDescent="0.25">
      <c r="A12" t="s">
        <v>29</v>
      </c>
      <c r="B12">
        <v>30012</v>
      </c>
      <c r="C12" s="8">
        <v>45604</v>
      </c>
      <c r="D12" t="s">
        <v>979</v>
      </c>
      <c r="E12" s="11">
        <v>6</v>
      </c>
      <c r="F12" t="s">
        <v>805</v>
      </c>
      <c r="H12" s="12">
        <v>245000</v>
      </c>
      <c r="I12" s="9">
        <v>248443</v>
      </c>
      <c r="J12" s="15">
        <v>0.1</v>
      </c>
      <c r="K12" s="12">
        <v>0</v>
      </c>
      <c r="L12" s="12">
        <v>0</v>
      </c>
      <c r="M12" s="9">
        <v>0</v>
      </c>
      <c r="N12" s="12">
        <v>5866.0152777777794</v>
      </c>
      <c r="O12">
        <v>85</v>
      </c>
      <c r="Q12" s="15">
        <f t="shared" si="0"/>
        <v>0.1</v>
      </c>
      <c r="R12" s="9">
        <f t="shared" si="1"/>
        <v>24500</v>
      </c>
      <c r="S12" s="9">
        <f t="shared" si="2"/>
        <v>24500</v>
      </c>
    </row>
    <row r="13" spans="1:19" x14ac:dyDescent="0.25">
      <c r="A13" t="s">
        <v>29</v>
      </c>
      <c r="B13">
        <v>30012</v>
      </c>
      <c r="C13" s="8">
        <v>45644</v>
      </c>
      <c r="D13" t="s">
        <v>862</v>
      </c>
      <c r="E13" s="11">
        <v>6</v>
      </c>
      <c r="F13" t="s">
        <v>819</v>
      </c>
      <c r="H13" s="12">
        <v>60000</v>
      </c>
      <c r="I13" s="9">
        <v>61189</v>
      </c>
      <c r="J13" s="15">
        <v>0.1</v>
      </c>
      <c r="K13" s="12">
        <v>0</v>
      </c>
      <c r="L13" s="12">
        <v>0</v>
      </c>
      <c r="M13" s="9">
        <v>0</v>
      </c>
      <c r="N13" s="12">
        <v>1427.7433333333333</v>
      </c>
      <c r="O13">
        <v>84</v>
      </c>
      <c r="Q13" s="15">
        <f t="shared" si="0"/>
        <v>0.1</v>
      </c>
      <c r="R13" s="9">
        <f t="shared" si="1"/>
        <v>6000</v>
      </c>
      <c r="S13" s="9">
        <f t="shared" si="2"/>
        <v>6000</v>
      </c>
    </row>
    <row r="14" spans="1:19" x14ac:dyDescent="0.25">
      <c r="A14" t="s">
        <v>1192</v>
      </c>
      <c r="B14">
        <v>30019</v>
      </c>
      <c r="C14" s="8">
        <v>45594</v>
      </c>
      <c r="D14" t="s">
        <v>749</v>
      </c>
      <c r="E14" s="11">
        <v>6</v>
      </c>
      <c r="F14" t="s">
        <v>819</v>
      </c>
      <c r="G14" t="s">
        <v>1194</v>
      </c>
      <c r="H14" s="12">
        <v>75000</v>
      </c>
      <c r="I14" s="9">
        <v>0</v>
      </c>
      <c r="J14" s="15">
        <v>0.15</v>
      </c>
      <c r="K14" s="12">
        <v>6890</v>
      </c>
      <c r="L14" s="12">
        <v>5000</v>
      </c>
      <c r="M14" s="9">
        <v>0</v>
      </c>
      <c r="N14" s="12">
        <v>0</v>
      </c>
      <c r="O14">
        <v>0</v>
      </c>
      <c r="P14">
        <v>1</v>
      </c>
      <c r="Q14" s="15">
        <f t="shared" si="0"/>
        <v>0.24186666666666667</v>
      </c>
      <c r="R14" s="9">
        <f t="shared" si="1"/>
        <v>11250</v>
      </c>
      <c r="S14" s="9">
        <f t="shared" si="2"/>
        <v>18140</v>
      </c>
    </row>
    <row r="15" spans="1:19" x14ac:dyDescent="0.25">
      <c r="A15" t="s">
        <v>1192</v>
      </c>
      <c r="B15">
        <v>30019</v>
      </c>
      <c r="C15" s="8">
        <v>45607</v>
      </c>
      <c r="D15" t="s">
        <v>1337</v>
      </c>
      <c r="E15" s="11">
        <v>6</v>
      </c>
      <c r="F15" t="s">
        <v>805</v>
      </c>
      <c r="G15" t="s">
        <v>1195</v>
      </c>
      <c r="H15" s="12">
        <v>100000</v>
      </c>
      <c r="I15" s="9">
        <v>0</v>
      </c>
      <c r="J15" s="15">
        <v>0.15</v>
      </c>
      <c r="K15" s="12">
        <v>6890</v>
      </c>
      <c r="L15" s="12">
        <v>5000</v>
      </c>
      <c r="M15" s="9">
        <v>0</v>
      </c>
      <c r="N15" s="12">
        <v>0</v>
      </c>
      <c r="O15">
        <v>0</v>
      </c>
      <c r="P15">
        <v>1</v>
      </c>
      <c r="Q15" s="15">
        <f t="shared" si="0"/>
        <v>0.21890000000000001</v>
      </c>
      <c r="R15" s="9">
        <f t="shared" si="1"/>
        <v>15000</v>
      </c>
      <c r="S15" s="9">
        <f t="shared" si="2"/>
        <v>21890</v>
      </c>
    </row>
    <row r="16" spans="1:19" x14ac:dyDescent="0.25">
      <c r="A16" t="s">
        <v>1192</v>
      </c>
      <c r="B16">
        <v>30019</v>
      </c>
      <c r="C16" s="8">
        <v>45603</v>
      </c>
      <c r="D16" t="s">
        <v>751</v>
      </c>
      <c r="E16" s="11">
        <v>6</v>
      </c>
      <c r="F16" t="s">
        <v>805</v>
      </c>
      <c r="G16" t="s">
        <v>1194</v>
      </c>
      <c r="H16" s="12">
        <v>81000</v>
      </c>
      <c r="I16" s="9">
        <v>0</v>
      </c>
      <c r="J16" s="15">
        <v>0.10909090909090899</v>
      </c>
      <c r="K16" s="12">
        <v>6890</v>
      </c>
      <c r="L16" s="12">
        <v>5000</v>
      </c>
      <c r="M16" s="9">
        <v>0</v>
      </c>
      <c r="N16" s="12">
        <v>0</v>
      </c>
      <c r="O16">
        <v>0</v>
      </c>
      <c r="P16">
        <v>1</v>
      </c>
      <c r="Q16" s="15">
        <f t="shared" si="0"/>
        <v>0.19415263748597072</v>
      </c>
      <c r="R16" s="9">
        <f t="shared" si="1"/>
        <v>8836.3636363636288</v>
      </c>
      <c r="S16" s="9">
        <f t="shared" si="2"/>
        <v>15726.363636363629</v>
      </c>
    </row>
    <row r="17" spans="1:19" x14ac:dyDescent="0.25">
      <c r="A17" t="s">
        <v>1192</v>
      </c>
      <c r="B17">
        <v>30019</v>
      </c>
      <c r="C17" s="8">
        <v>45637</v>
      </c>
      <c r="D17" t="s">
        <v>1444</v>
      </c>
      <c r="E17" s="11">
        <v>6</v>
      </c>
      <c r="F17" t="s">
        <v>805</v>
      </c>
      <c r="G17" t="s">
        <v>1194</v>
      </c>
      <c r="H17" s="12">
        <v>83000</v>
      </c>
      <c r="I17" s="9">
        <v>0</v>
      </c>
      <c r="J17" s="15">
        <v>0.125</v>
      </c>
      <c r="K17" s="12">
        <v>6890</v>
      </c>
      <c r="L17" s="12">
        <v>5000</v>
      </c>
      <c r="M17" s="9">
        <v>0</v>
      </c>
      <c r="N17" s="12">
        <v>0</v>
      </c>
      <c r="O17">
        <v>0</v>
      </c>
      <c r="P17">
        <v>1</v>
      </c>
      <c r="Q17" s="15">
        <f t="shared" si="0"/>
        <v>0.20801204819277108</v>
      </c>
      <c r="R17" s="9">
        <f t="shared" si="1"/>
        <v>10375</v>
      </c>
      <c r="S17" s="9">
        <f t="shared" si="2"/>
        <v>17265</v>
      </c>
    </row>
    <row r="18" spans="1:19" x14ac:dyDescent="0.25">
      <c r="A18" t="s">
        <v>1192</v>
      </c>
      <c r="B18">
        <v>30019</v>
      </c>
      <c r="C18" s="8">
        <v>45615</v>
      </c>
      <c r="D18" t="s">
        <v>1360</v>
      </c>
      <c r="E18" s="11">
        <v>6</v>
      </c>
      <c r="F18" t="s">
        <v>805</v>
      </c>
      <c r="G18" t="s">
        <v>1195</v>
      </c>
      <c r="H18" s="12">
        <v>77000</v>
      </c>
      <c r="I18" s="9">
        <v>0</v>
      </c>
      <c r="J18" s="15">
        <v>0.15</v>
      </c>
      <c r="K18" s="12">
        <v>6890</v>
      </c>
      <c r="L18" s="12">
        <v>5000</v>
      </c>
      <c r="M18" s="9">
        <v>0</v>
      </c>
      <c r="N18" s="12">
        <v>0</v>
      </c>
      <c r="O18">
        <v>0</v>
      </c>
      <c r="P18">
        <v>1</v>
      </c>
      <c r="Q18" s="15">
        <f t="shared" si="0"/>
        <v>0.23948051948051949</v>
      </c>
      <c r="R18" s="9">
        <f t="shared" si="1"/>
        <v>11550</v>
      </c>
      <c r="S18" s="9">
        <f t="shared" si="2"/>
        <v>18440</v>
      </c>
    </row>
    <row r="19" spans="1:19" x14ac:dyDescent="0.25">
      <c r="A19" t="s">
        <v>29</v>
      </c>
      <c r="B19">
        <v>30012</v>
      </c>
      <c r="C19" s="8">
        <v>45630</v>
      </c>
      <c r="D19" t="s">
        <v>903</v>
      </c>
      <c r="E19" s="11">
        <v>6</v>
      </c>
      <c r="F19" t="s">
        <v>805</v>
      </c>
      <c r="H19" s="12">
        <v>206864</v>
      </c>
      <c r="I19" s="9">
        <v>206864</v>
      </c>
      <c r="J19" s="15">
        <v>0.15</v>
      </c>
      <c r="K19" s="12">
        <v>0</v>
      </c>
      <c r="L19" s="12">
        <v>0</v>
      </c>
      <c r="M19" s="9">
        <v>0</v>
      </c>
      <c r="N19" s="12">
        <v>2413.413333333333</v>
      </c>
      <c r="O19">
        <v>28</v>
      </c>
      <c r="Q19" s="15">
        <f t="shared" si="0"/>
        <v>0.15</v>
      </c>
      <c r="R19" s="9">
        <f t="shared" si="1"/>
        <v>31029.599999999999</v>
      </c>
      <c r="S19" s="9">
        <f t="shared" si="2"/>
        <v>31029.599999999999</v>
      </c>
    </row>
    <row r="20" spans="1:19" x14ac:dyDescent="0.25">
      <c r="A20" t="s">
        <v>29</v>
      </c>
      <c r="B20">
        <v>30012</v>
      </c>
      <c r="C20" s="8">
        <v>45609</v>
      </c>
      <c r="D20" t="s">
        <v>975</v>
      </c>
      <c r="E20" s="11">
        <v>6</v>
      </c>
      <c r="F20" t="s">
        <v>805</v>
      </c>
      <c r="H20" s="12">
        <v>193500</v>
      </c>
      <c r="I20" s="9">
        <v>191502</v>
      </c>
      <c r="J20" s="15">
        <v>0.1</v>
      </c>
      <c r="K20" s="12">
        <v>0</v>
      </c>
      <c r="L20" s="12">
        <v>0</v>
      </c>
      <c r="M20" s="9">
        <v>0</v>
      </c>
      <c r="N20" s="12">
        <v>2872.53</v>
      </c>
      <c r="O20">
        <v>54</v>
      </c>
      <c r="Q20" s="15">
        <f t="shared" si="0"/>
        <v>0.1</v>
      </c>
      <c r="R20" s="9">
        <f t="shared" si="1"/>
        <v>19350</v>
      </c>
      <c r="S20" s="9">
        <f t="shared" si="2"/>
        <v>19350</v>
      </c>
    </row>
    <row r="21" spans="1:19" x14ac:dyDescent="0.25">
      <c r="A21" t="s">
        <v>1192</v>
      </c>
      <c r="B21">
        <v>30019</v>
      </c>
      <c r="C21" s="8">
        <v>45569</v>
      </c>
      <c r="D21" t="s">
        <v>1223</v>
      </c>
      <c r="E21" s="11">
        <v>6</v>
      </c>
      <c r="F21" t="s">
        <v>805</v>
      </c>
      <c r="H21" s="12">
        <v>75500</v>
      </c>
      <c r="I21" s="9">
        <v>0</v>
      </c>
      <c r="J21" s="15">
        <v>7.4999999999999997E-2</v>
      </c>
      <c r="K21" s="12">
        <v>6890</v>
      </c>
      <c r="L21" s="12">
        <v>5000</v>
      </c>
      <c r="M21" s="9">
        <v>0</v>
      </c>
      <c r="N21" s="12">
        <v>0</v>
      </c>
      <c r="O21">
        <v>0</v>
      </c>
      <c r="P21">
        <v>1</v>
      </c>
      <c r="Q21" s="15">
        <f t="shared" si="0"/>
        <v>0.16625827814569535</v>
      </c>
      <c r="R21" s="9">
        <f t="shared" si="1"/>
        <v>5662.5</v>
      </c>
      <c r="S21" s="9">
        <f t="shared" si="2"/>
        <v>12552.5</v>
      </c>
    </row>
    <row r="22" spans="1:19" x14ac:dyDescent="0.25">
      <c r="A22" t="s">
        <v>210</v>
      </c>
      <c r="B22" t="s">
        <v>783</v>
      </c>
      <c r="C22" s="8">
        <v>45618</v>
      </c>
      <c r="D22" t="s">
        <v>1168</v>
      </c>
      <c r="E22" s="11">
        <v>6</v>
      </c>
      <c r="F22" t="s">
        <v>805</v>
      </c>
      <c r="G22" t="s">
        <v>213</v>
      </c>
      <c r="H22" s="12">
        <v>50000</v>
      </c>
      <c r="I22" s="9">
        <v>50000</v>
      </c>
      <c r="J22" s="15">
        <v>0.14000000000000001</v>
      </c>
      <c r="K22" s="12">
        <v>2600.0000000000005</v>
      </c>
      <c r="M22" s="9">
        <v>491.40000000000009</v>
      </c>
      <c r="P22">
        <v>1</v>
      </c>
      <c r="Q22" s="15">
        <f t="shared" si="0"/>
        <v>0.20182800000000004</v>
      </c>
      <c r="R22" s="9">
        <f t="shared" si="1"/>
        <v>7000.0000000000009</v>
      </c>
      <c r="S22" s="9">
        <f t="shared" si="2"/>
        <v>10091.400000000001</v>
      </c>
    </row>
    <row r="23" spans="1:19" x14ac:dyDescent="0.25">
      <c r="A23" t="s">
        <v>29</v>
      </c>
      <c r="B23">
        <v>30012</v>
      </c>
      <c r="C23" s="8">
        <v>45582</v>
      </c>
      <c r="D23" t="s">
        <v>1052</v>
      </c>
      <c r="E23" s="11">
        <v>6</v>
      </c>
      <c r="F23" t="s">
        <v>822</v>
      </c>
      <c r="H23" s="12">
        <v>60000</v>
      </c>
      <c r="I23" s="9">
        <v>59316</v>
      </c>
      <c r="J23" s="15">
        <v>0.1</v>
      </c>
      <c r="K23" s="12">
        <v>0</v>
      </c>
      <c r="L23" s="12">
        <v>0</v>
      </c>
      <c r="M23" s="9">
        <v>0</v>
      </c>
      <c r="N23" s="12">
        <v>1433.47</v>
      </c>
      <c r="O23">
        <v>87</v>
      </c>
      <c r="Q23" s="15">
        <f t="shared" si="0"/>
        <v>0.1</v>
      </c>
      <c r="R23" s="9">
        <f t="shared" si="1"/>
        <v>6000</v>
      </c>
      <c r="S23" s="9">
        <f t="shared" si="2"/>
        <v>6000</v>
      </c>
    </row>
    <row r="24" spans="1:19" x14ac:dyDescent="0.25">
      <c r="A24" t="s">
        <v>29</v>
      </c>
      <c r="B24">
        <v>30012</v>
      </c>
      <c r="C24" s="8">
        <v>45610</v>
      </c>
      <c r="D24" t="s">
        <v>971</v>
      </c>
      <c r="E24" s="11">
        <v>6</v>
      </c>
      <c r="F24" t="s">
        <v>805</v>
      </c>
      <c r="H24" s="12">
        <v>150000</v>
      </c>
      <c r="I24" s="9">
        <v>7338</v>
      </c>
      <c r="J24" s="15">
        <v>0.1</v>
      </c>
      <c r="K24" s="12">
        <v>0</v>
      </c>
      <c r="L24" s="12">
        <v>0</v>
      </c>
      <c r="M24" s="9">
        <v>0</v>
      </c>
      <c r="N24" s="12">
        <v>89.686666666666682</v>
      </c>
      <c r="O24">
        <v>44</v>
      </c>
      <c r="Q24" s="15">
        <f t="shared" si="0"/>
        <v>0.1</v>
      </c>
      <c r="R24" s="9">
        <f t="shared" si="1"/>
        <v>15000</v>
      </c>
      <c r="S24" s="9">
        <f t="shared" si="2"/>
        <v>15000</v>
      </c>
    </row>
    <row r="25" spans="1:19" x14ac:dyDescent="0.25">
      <c r="A25" t="s">
        <v>1192</v>
      </c>
      <c r="B25">
        <v>30019</v>
      </c>
      <c r="C25" s="8">
        <v>45590</v>
      </c>
      <c r="D25" t="s">
        <v>1300</v>
      </c>
      <c r="E25" s="11">
        <v>6</v>
      </c>
      <c r="F25" t="s">
        <v>805</v>
      </c>
      <c r="G25" t="s">
        <v>1195</v>
      </c>
      <c r="H25" s="12">
        <v>80000</v>
      </c>
      <c r="I25" s="9">
        <v>0</v>
      </c>
      <c r="J25" s="15">
        <v>0.15</v>
      </c>
      <c r="K25" s="12">
        <v>6890</v>
      </c>
      <c r="L25" s="12">
        <v>5000</v>
      </c>
      <c r="M25" s="9">
        <v>0</v>
      </c>
      <c r="N25" s="12">
        <v>0</v>
      </c>
      <c r="O25">
        <v>0</v>
      </c>
      <c r="P25">
        <v>1</v>
      </c>
      <c r="Q25" s="15">
        <f t="shared" si="0"/>
        <v>0.236125</v>
      </c>
      <c r="R25" s="9">
        <f t="shared" si="1"/>
        <v>12000</v>
      </c>
      <c r="S25" s="9">
        <f t="shared" si="2"/>
        <v>18890</v>
      </c>
    </row>
    <row r="26" spans="1:19" x14ac:dyDescent="0.25">
      <c r="A26" t="s">
        <v>29</v>
      </c>
      <c r="B26">
        <v>30012</v>
      </c>
      <c r="C26" s="8">
        <v>45601</v>
      </c>
      <c r="D26" t="s">
        <v>991</v>
      </c>
      <c r="E26" s="11">
        <v>6</v>
      </c>
      <c r="F26" t="s">
        <v>805</v>
      </c>
      <c r="H26" s="12">
        <v>120000</v>
      </c>
      <c r="I26" s="9">
        <v>1042</v>
      </c>
      <c r="J26" s="15">
        <v>0.1</v>
      </c>
      <c r="K26" s="12">
        <v>0</v>
      </c>
      <c r="L26" s="12">
        <v>0</v>
      </c>
      <c r="M26" s="9">
        <v>0</v>
      </c>
      <c r="N26" s="12">
        <v>22.287222222222223</v>
      </c>
      <c r="O26">
        <v>77</v>
      </c>
      <c r="Q26" s="15">
        <f t="shared" si="0"/>
        <v>0.1</v>
      </c>
      <c r="R26" s="9">
        <f t="shared" si="1"/>
        <v>12000</v>
      </c>
      <c r="S26" s="9">
        <f t="shared" si="2"/>
        <v>12000</v>
      </c>
    </row>
    <row r="27" spans="1:19" x14ac:dyDescent="0.25">
      <c r="A27" t="s">
        <v>1192</v>
      </c>
      <c r="B27">
        <v>30019</v>
      </c>
      <c r="C27" s="8">
        <v>45653</v>
      </c>
      <c r="D27" t="s">
        <v>755</v>
      </c>
      <c r="E27" s="11">
        <v>6</v>
      </c>
      <c r="F27" t="s">
        <v>805</v>
      </c>
      <c r="G27" t="s">
        <v>1194</v>
      </c>
      <c r="H27" s="12">
        <v>145000</v>
      </c>
      <c r="I27" s="9">
        <v>0</v>
      </c>
      <c r="J27" s="15">
        <v>0.15</v>
      </c>
      <c r="K27" s="12">
        <v>6890</v>
      </c>
      <c r="L27" s="12">
        <v>5000</v>
      </c>
      <c r="M27" s="9">
        <v>0</v>
      </c>
      <c r="N27" s="12">
        <v>0</v>
      </c>
      <c r="O27">
        <v>0</v>
      </c>
      <c r="P27">
        <v>1</v>
      </c>
      <c r="Q27" s="15">
        <f t="shared" si="0"/>
        <v>0.19751724137931034</v>
      </c>
      <c r="R27" s="9">
        <f t="shared" si="1"/>
        <v>21750</v>
      </c>
      <c r="S27" s="9">
        <f t="shared" si="2"/>
        <v>28640</v>
      </c>
    </row>
    <row r="28" spans="1:19" x14ac:dyDescent="0.25">
      <c r="A28" t="s">
        <v>1192</v>
      </c>
      <c r="B28">
        <v>30019</v>
      </c>
      <c r="C28" s="8">
        <v>45657</v>
      </c>
      <c r="D28" t="s">
        <v>1487</v>
      </c>
      <c r="E28" s="11">
        <v>6</v>
      </c>
      <c r="F28" t="s">
        <v>819</v>
      </c>
      <c r="G28" t="s">
        <v>1195</v>
      </c>
      <c r="H28" s="12">
        <v>100000</v>
      </c>
      <c r="I28" s="9">
        <v>0</v>
      </c>
      <c r="J28" s="15">
        <v>0.15</v>
      </c>
      <c r="K28" s="12">
        <v>6890</v>
      </c>
      <c r="L28" s="12">
        <v>5000</v>
      </c>
      <c r="M28" s="9">
        <v>0</v>
      </c>
      <c r="N28" s="12">
        <v>0</v>
      </c>
      <c r="O28">
        <v>0</v>
      </c>
      <c r="P28">
        <v>1</v>
      </c>
      <c r="Q28" s="15">
        <f t="shared" si="0"/>
        <v>0.21890000000000001</v>
      </c>
      <c r="R28" s="9">
        <f t="shared" si="1"/>
        <v>15000</v>
      </c>
      <c r="S28" s="9">
        <f t="shared" si="2"/>
        <v>21890</v>
      </c>
    </row>
    <row r="29" spans="1:19" x14ac:dyDescent="0.25">
      <c r="A29" t="s">
        <v>1192</v>
      </c>
      <c r="B29">
        <v>30019</v>
      </c>
      <c r="C29" s="8">
        <v>45609</v>
      </c>
      <c r="D29" t="s">
        <v>1348</v>
      </c>
      <c r="E29" s="11">
        <v>6</v>
      </c>
      <c r="F29" t="s">
        <v>805</v>
      </c>
      <c r="G29" t="s">
        <v>1195</v>
      </c>
      <c r="H29" s="12">
        <v>53000</v>
      </c>
      <c r="I29" s="9">
        <v>0</v>
      </c>
      <c r="J29" s="15">
        <v>0.15</v>
      </c>
      <c r="K29" s="12">
        <v>6890</v>
      </c>
      <c r="L29" s="12">
        <v>5000</v>
      </c>
      <c r="M29" s="9">
        <v>0</v>
      </c>
      <c r="N29" s="12">
        <v>0</v>
      </c>
      <c r="O29">
        <v>0</v>
      </c>
      <c r="P29">
        <v>1</v>
      </c>
      <c r="Q29" s="15">
        <f t="shared" si="0"/>
        <v>0.28000000000000003</v>
      </c>
      <c r="R29" s="9">
        <f t="shared" si="1"/>
        <v>7950</v>
      </c>
      <c r="S29" s="9">
        <f t="shared" si="2"/>
        <v>14840.000000000002</v>
      </c>
    </row>
    <row r="30" spans="1:19" x14ac:dyDescent="0.25">
      <c r="A30" t="s">
        <v>210</v>
      </c>
      <c r="B30" t="s">
        <v>783</v>
      </c>
      <c r="C30" s="8">
        <v>45609</v>
      </c>
      <c r="D30" t="s">
        <v>1167</v>
      </c>
      <c r="E30" s="11">
        <v>6</v>
      </c>
      <c r="F30" t="s">
        <v>805</v>
      </c>
      <c r="G30" t="s">
        <v>213</v>
      </c>
      <c r="H30" s="12">
        <v>52038</v>
      </c>
      <c r="I30" s="9">
        <v>52038</v>
      </c>
      <c r="J30" s="15">
        <v>0.14000000000000001</v>
      </c>
      <c r="K30" s="12">
        <v>2705.9760000000001</v>
      </c>
      <c r="M30" s="9">
        <v>511.429464</v>
      </c>
      <c r="P30">
        <v>1</v>
      </c>
      <c r="Q30" s="15">
        <f t="shared" si="0"/>
        <v>0.20182800000000001</v>
      </c>
      <c r="R30" s="9">
        <f t="shared" si="1"/>
        <v>7285.3200000000006</v>
      </c>
      <c r="S30" s="9">
        <f t="shared" si="2"/>
        <v>10502.725464000001</v>
      </c>
    </row>
    <row r="31" spans="1:19" x14ac:dyDescent="0.25">
      <c r="A31" t="s">
        <v>29</v>
      </c>
      <c r="B31">
        <v>30012</v>
      </c>
      <c r="C31" s="8">
        <v>45653</v>
      </c>
      <c r="D31" t="s">
        <v>836</v>
      </c>
      <c r="E31" s="11">
        <v>6</v>
      </c>
      <c r="F31" t="s">
        <v>837</v>
      </c>
      <c r="H31" s="12">
        <v>80000</v>
      </c>
      <c r="I31" s="9">
        <v>65542</v>
      </c>
      <c r="J31" s="15">
        <v>0.1</v>
      </c>
      <c r="K31" s="12">
        <v>0</v>
      </c>
      <c r="L31" s="12">
        <v>0</v>
      </c>
      <c r="M31" s="9">
        <v>0</v>
      </c>
      <c r="N31" s="12">
        <v>273.0916666666667</v>
      </c>
      <c r="O31">
        <v>15</v>
      </c>
      <c r="Q31" s="15">
        <f t="shared" si="0"/>
        <v>0.1</v>
      </c>
      <c r="R31" s="9">
        <f t="shared" si="1"/>
        <v>8000</v>
      </c>
      <c r="S31" s="9">
        <f t="shared" si="2"/>
        <v>8000</v>
      </c>
    </row>
    <row r="32" spans="1:19" x14ac:dyDescent="0.25">
      <c r="A32" t="s">
        <v>29</v>
      </c>
      <c r="B32">
        <v>30012</v>
      </c>
      <c r="C32" s="8">
        <v>45567</v>
      </c>
      <c r="D32" t="s">
        <v>1110</v>
      </c>
      <c r="E32" s="11">
        <v>6</v>
      </c>
      <c r="F32" t="s">
        <v>819</v>
      </c>
      <c r="H32" s="12">
        <v>506140</v>
      </c>
      <c r="I32" s="9">
        <v>506140</v>
      </c>
      <c r="J32" s="15">
        <v>0.15</v>
      </c>
      <c r="K32" s="12">
        <v>0</v>
      </c>
      <c r="L32" s="12">
        <v>0</v>
      </c>
      <c r="M32" s="9">
        <v>0</v>
      </c>
      <c r="N32" s="12">
        <v>19191.141666666666</v>
      </c>
      <c r="O32">
        <v>91</v>
      </c>
      <c r="Q32" s="15">
        <f t="shared" si="0"/>
        <v>0.15</v>
      </c>
      <c r="R32" s="9">
        <f t="shared" si="1"/>
        <v>75921</v>
      </c>
      <c r="S32" s="9">
        <f t="shared" si="2"/>
        <v>75921</v>
      </c>
    </row>
    <row r="33" spans="1:19" x14ac:dyDescent="0.25">
      <c r="A33" t="s">
        <v>29</v>
      </c>
      <c r="B33">
        <v>30012</v>
      </c>
      <c r="C33" s="8">
        <v>45629</v>
      </c>
      <c r="D33" t="s">
        <v>913</v>
      </c>
      <c r="E33" s="11">
        <v>6</v>
      </c>
      <c r="F33" t="s">
        <v>805</v>
      </c>
      <c r="H33" s="12">
        <v>108904</v>
      </c>
      <c r="I33" s="9">
        <v>108904</v>
      </c>
      <c r="J33" s="15">
        <v>0.15</v>
      </c>
      <c r="K33" s="12">
        <v>0</v>
      </c>
      <c r="L33" s="12">
        <v>0</v>
      </c>
      <c r="M33" s="9">
        <v>0</v>
      </c>
      <c r="N33" s="12">
        <v>1315.9233333333332</v>
      </c>
      <c r="O33">
        <v>29</v>
      </c>
      <c r="Q33" s="15">
        <f t="shared" si="0"/>
        <v>0.15</v>
      </c>
      <c r="R33" s="9">
        <f t="shared" si="1"/>
        <v>16335.599999999999</v>
      </c>
      <c r="S33" s="9">
        <f t="shared" si="2"/>
        <v>16335.599999999999</v>
      </c>
    </row>
    <row r="34" spans="1:19" x14ac:dyDescent="0.25">
      <c r="A34" t="s">
        <v>29</v>
      </c>
      <c r="B34">
        <v>30012</v>
      </c>
      <c r="C34" s="8">
        <v>45597</v>
      </c>
      <c r="D34" t="s">
        <v>1003</v>
      </c>
      <c r="E34" s="11">
        <v>6</v>
      </c>
      <c r="F34" t="s">
        <v>805</v>
      </c>
      <c r="H34" s="12">
        <v>122791</v>
      </c>
      <c r="I34" s="9">
        <v>122791</v>
      </c>
      <c r="J34" s="15">
        <v>0.15</v>
      </c>
      <c r="K34" s="12">
        <v>0</v>
      </c>
      <c r="L34" s="12">
        <v>0</v>
      </c>
      <c r="M34" s="9">
        <v>0</v>
      </c>
      <c r="N34" s="12">
        <v>3120.9379166666663</v>
      </c>
      <c r="O34">
        <v>61</v>
      </c>
      <c r="Q34" s="15">
        <f t="shared" si="0"/>
        <v>0.15</v>
      </c>
      <c r="R34" s="9">
        <f t="shared" si="1"/>
        <v>18418.649999999998</v>
      </c>
      <c r="S34" s="9">
        <f t="shared" si="2"/>
        <v>18418.649999999998</v>
      </c>
    </row>
    <row r="35" spans="1:19" x14ac:dyDescent="0.25">
      <c r="A35" t="s">
        <v>29</v>
      </c>
      <c r="B35">
        <v>30012</v>
      </c>
      <c r="C35" s="8">
        <v>45597</v>
      </c>
      <c r="D35" t="s">
        <v>1003</v>
      </c>
      <c r="E35" s="11">
        <v>6</v>
      </c>
      <c r="F35" t="s">
        <v>805</v>
      </c>
      <c r="H35" s="12">
        <v>123026</v>
      </c>
      <c r="I35" s="9">
        <v>123026</v>
      </c>
      <c r="J35" s="15">
        <v>0.15</v>
      </c>
      <c r="K35" s="12">
        <v>0</v>
      </c>
      <c r="L35" s="12">
        <v>0</v>
      </c>
      <c r="M35" s="9">
        <v>0</v>
      </c>
      <c r="N35" s="12">
        <v>3126.9108333333329</v>
      </c>
      <c r="O35">
        <v>61</v>
      </c>
      <c r="Q35" s="15">
        <f t="shared" si="0"/>
        <v>0.15</v>
      </c>
      <c r="R35" s="9">
        <f t="shared" si="1"/>
        <v>18453.899999999998</v>
      </c>
      <c r="S35" s="9">
        <f t="shared" si="2"/>
        <v>18453.899999999998</v>
      </c>
    </row>
    <row r="36" spans="1:19" x14ac:dyDescent="0.25">
      <c r="A36" t="s">
        <v>29</v>
      </c>
      <c r="B36">
        <v>30012</v>
      </c>
      <c r="C36" s="8">
        <v>45629</v>
      </c>
      <c r="D36" t="s">
        <v>918</v>
      </c>
      <c r="E36" s="11">
        <v>6</v>
      </c>
      <c r="F36" t="s">
        <v>805</v>
      </c>
      <c r="H36" s="12">
        <v>132147</v>
      </c>
      <c r="I36" s="9">
        <v>132147</v>
      </c>
      <c r="J36" s="15">
        <v>0.15</v>
      </c>
      <c r="K36" s="12">
        <v>0</v>
      </c>
      <c r="L36" s="12">
        <v>0</v>
      </c>
      <c r="M36" s="9">
        <v>0</v>
      </c>
      <c r="N36" s="12">
        <v>1596.7762499999999</v>
      </c>
      <c r="O36">
        <v>29</v>
      </c>
      <c r="Q36" s="15">
        <f t="shared" si="0"/>
        <v>0.15</v>
      </c>
      <c r="R36" s="9">
        <f t="shared" si="1"/>
        <v>19822.05</v>
      </c>
      <c r="S36" s="9">
        <f t="shared" si="2"/>
        <v>19822.05</v>
      </c>
    </row>
    <row r="37" spans="1:19" x14ac:dyDescent="0.25">
      <c r="A37" t="s">
        <v>29</v>
      </c>
      <c r="B37">
        <v>30012</v>
      </c>
      <c r="C37" s="8">
        <v>45586</v>
      </c>
      <c r="D37" t="s">
        <v>1049</v>
      </c>
      <c r="E37" s="11">
        <v>6</v>
      </c>
      <c r="F37" t="s">
        <v>819</v>
      </c>
      <c r="H37" s="12">
        <v>70000</v>
      </c>
      <c r="I37" s="9">
        <v>70889</v>
      </c>
      <c r="J37" s="15">
        <v>0.1</v>
      </c>
      <c r="K37" s="12">
        <v>0</v>
      </c>
      <c r="L37" s="12">
        <v>0</v>
      </c>
      <c r="M37" s="9">
        <v>0</v>
      </c>
      <c r="N37" s="12">
        <v>1713.1508333333334</v>
      </c>
      <c r="O37">
        <v>87</v>
      </c>
      <c r="Q37" s="15">
        <f t="shared" si="0"/>
        <v>0.1</v>
      </c>
      <c r="R37" s="9">
        <f t="shared" si="1"/>
        <v>7000</v>
      </c>
      <c r="S37" s="9">
        <f t="shared" si="2"/>
        <v>7000</v>
      </c>
    </row>
    <row r="38" spans="1:19" x14ac:dyDescent="0.25">
      <c r="A38" t="s">
        <v>29</v>
      </c>
      <c r="B38">
        <v>30012</v>
      </c>
      <c r="C38" s="8">
        <v>45610</v>
      </c>
      <c r="D38" t="s">
        <v>963</v>
      </c>
      <c r="E38" s="11">
        <v>6</v>
      </c>
      <c r="F38" t="s">
        <v>819</v>
      </c>
      <c r="H38" s="12">
        <v>60000</v>
      </c>
      <c r="I38" s="9">
        <v>64445</v>
      </c>
      <c r="J38" s="15">
        <v>0.1</v>
      </c>
      <c r="K38" s="12">
        <v>0</v>
      </c>
      <c r="L38" s="12">
        <v>0</v>
      </c>
      <c r="M38" s="9">
        <v>0</v>
      </c>
      <c r="N38" s="12">
        <v>1646.9277777777777</v>
      </c>
      <c r="O38">
        <v>92</v>
      </c>
      <c r="Q38" s="15">
        <f t="shared" si="0"/>
        <v>0.1</v>
      </c>
      <c r="R38" s="9">
        <f t="shared" si="1"/>
        <v>6000</v>
      </c>
      <c r="S38" s="9">
        <f t="shared" si="2"/>
        <v>6000</v>
      </c>
    </row>
    <row r="39" spans="1:19" x14ac:dyDescent="0.25">
      <c r="A39" t="s">
        <v>29</v>
      </c>
      <c r="B39">
        <v>30012</v>
      </c>
      <c r="C39" s="8">
        <v>45597</v>
      </c>
      <c r="D39" t="s">
        <v>1006</v>
      </c>
      <c r="E39" s="11">
        <v>6</v>
      </c>
      <c r="F39" t="s">
        <v>805</v>
      </c>
      <c r="H39" s="12">
        <v>138811</v>
      </c>
      <c r="I39" s="9">
        <v>138811</v>
      </c>
      <c r="J39" s="15">
        <v>0.15</v>
      </c>
      <c r="K39" s="12">
        <v>0</v>
      </c>
      <c r="L39" s="12">
        <v>0</v>
      </c>
      <c r="M39" s="9">
        <v>0</v>
      </c>
      <c r="N39" s="12">
        <v>3528.1129166666665</v>
      </c>
      <c r="O39">
        <v>61</v>
      </c>
      <c r="Q39" s="15">
        <f t="shared" si="0"/>
        <v>0.15</v>
      </c>
      <c r="R39" s="9">
        <f t="shared" si="1"/>
        <v>20821.649999999998</v>
      </c>
      <c r="S39" s="9">
        <f t="shared" si="2"/>
        <v>20821.649999999998</v>
      </c>
    </row>
    <row r="40" spans="1:19" x14ac:dyDescent="0.25">
      <c r="A40" t="s">
        <v>29</v>
      </c>
      <c r="B40">
        <v>30012</v>
      </c>
      <c r="C40" s="8">
        <v>45629</v>
      </c>
      <c r="D40" t="s">
        <v>917</v>
      </c>
      <c r="E40" s="11">
        <v>6</v>
      </c>
      <c r="F40" t="s">
        <v>805</v>
      </c>
      <c r="H40" s="12">
        <v>132067</v>
      </c>
      <c r="I40" s="9">
        <v>132067</v>
      </c>
      <c r="J40" s="15">
        <v>0.15</v>
      </c>
      <c r="K40" s="12">
        <v>0</v>
      </c>
      <c r="L40" s="12">
        <v>0</v>
      </c>
      <c r="M40" s="9">
        <v>0</v>
      </c>
      <c r="N40" s="12">
        <v>1595.8095833333332</v>
      </c>
      <c r="O40">
        <v>29</v>
      </c>
      <c r="Q40" s="15">
        <f t="shared" si="0"/>
        <v>0.15</v>
      </c>
      <c r="R40" s="9">
        <f t="shared" si="1"/>
        <v>19810.05</v>
      </c>
      <c r="S40" s="9">
        <f t="shared" si="2"/>
        <v>19810.05</v>
      </c>
    </row>
    <row r="41" spans="1:19" x14ac:dyDescent="0.25">
      <c r="A41" t="s">
        <v>29</v>
      </c>
      <c r="B41">
        <v>30012</v>
      </c>
      <c r="C41" s="8">
        <v>45629</v>
      </c>
      <c r="D41" t="s">
        <v>906</v>
      </c>
      <c r="E41" s="11">
        <v>6</v>
      </c>
      <c r="F41" t="s">
        <v>805</v>
      </c>
      <c r="H41" s="12">
        <v>75714</v>
      </c>
      <c r="I41" s="9">
        <v>75714</v>
      </c>
      <c r="J41" s="15">
        <v>0.15</v>
      </c>
      <c r="K41" s="12">
        <v>0</v>
      </c>
      <c r="L41" s="12">
        <v>0</v>
      </c>
      <c r="M41" s="9">
        <v>0</v>
      </c>
      <c r="N41" s="12">
        <v>914.87750000000005</v>
      </c>
      <c r="O41">
        <v>29</v>
      </c>
      <c r="Q41" s="15">
        <f t="shared" si="0"/>
        <v>0.15</v>
      </c>
      <c r="R41" s="9">
        <f t="shared" si="1"/>
        <v>11357.1</v>
      </c>
      <c r="S41" s="9">
        <f t="shared" si="2"/>
        <v>11357.1</v>
      </c>
    </row>
    <row r="42" spans="1:19" x14ac:dyDescent="0.25">
      <c r="A42" t="s">
        <v>670</v>
      </c>
      <c r="B42">
        <v>30018</v>
      </c>
      <c r="C42" s="8">
        <v>45657</v>
      </c>
      <c r="D42" t="s">
        <v>1132</v>
      </c>
      <c r="E42" s="11">
        <v>6</v>
      </c>
      <c r="F42" t="s">
        <v>805</v>
      </c>
      <c r="G42" t="s">
        <v>671</v>
      </c>
      <c r="H42" s="12">
        <v>300000</v>
      </c>
      <c r="I42" s="9">
        <v>0</v>
      </c>
      <c r="J42" s="15">
        <v>0.15</v>
      </c>
      <c r="K42" s="12">
        <v>6000</v>
      </c>
      <c r="L42" s="12">
        <v>9625</v>
      </c>
      <c r="M42" s="9">
        <v>35000</v>
      </c>
      <c r="N42" s="12">
        <v>24792</v>
      </c>
      <c r="O42">
        <v>12</v>
      </c>
      <c r="P42">
        <v>1</v>
      </c>
      <c r="Q42" s="15">
        <f t="shared" si="0"/>
        <v>0.28666666666666668</v>
      </c>
      <c r="R42" s="9">
        <f t="shared" si="1"/>
        <v>45000</v>
      </c>
      <c r="S42" s="9">
        <f t="shared" si="2"/>
        <v>86000</v>
      </c>
    </row>
    <row r="43" spans="1:19" x14ac:dyDescent="0.25">
      <c r="A43" t="s">
        <v>29</v>
      </c>
      <c r="B43">
        <v>30012</v>
      </c>
      <c r="C43" s="8">
        <v>45629</v>
      </c>
      <c r="D43" t="s">
        <v>921</v>
      </c>
      <c r="E43" s="11">
        <v>6</v>
      </c>
      <c r="F43" t="s">
        <v>805</v>
      </c>
      <c r="H43" s="12">
        <v>223307</v>
      </c>
      <c r="I43" s="9">
        <v>223307</v>
      </c>
      <c r="J43" s="15">
        <v>0.15</v>
      </c>
      <c r="K43" s="12">
        <v>0</v>
      </c>
      <c r="L43" s="12">
        <v>0</v>
      </c>
      <c r="M43" s="9">
        <v>0</v>
      </c>
      <c r="N43" s="12">
        <v>2698.2929166666663</v>
      </c>
      <c r="O43">
        <v>29</v>
      </c>
      <c r="Q43" s="15">
        <f t="shared" si="0"/>
        <v>0.14999999999999997</v>
      </c>
      <c r="R43" s="9">
        <f t="shared" si="1"/>
        <v>33496.049999999996</v>
      </c>
      <c r="S43" s="9">
        <f t="shared" si="2"/>
        <v>33496.049999999996</v>
      </c>
    </row>
    <row r="44" spans="1:19" x14ac:dyDescent="0.25">
      <c r="A44" t="s">
        <v>29</v>
      </c>
      <c r="B44">
        <v>30012</v>
      </c>
      <c r="C44" s="8">
        <v>45600</v>
      </c>
      <c r="D44" t="s">
        <v>994</v>
      </c>
      <c r="E44" s="11">
        <v>6</v>
      </c>
      <c r="F44" t="s">
        <v>805</v>
      </c>
      <c r="H44" s="12">
        <v>300000</v>
      </c>
      <c r="I44" s="9">
        <v>305034</v>
      </c>
      <c r="J44" s="15">
        <v>0.1</v>
      </c>
      <c r="K44" s="12">
        <v>0</v>
      </c>
      <c r="L44" s="12">
        <v>0</v>
      </c>
      <c r="M44" s="9">
        <v>0</v>
      </c>
      <c r="N44" s="12">
        <v>7286.9233333333332</v>
      </c>
      <c r="O44">
        <v>86</v>
      </c>
      <c r="Q44" s="15">
        <f t="shared" si="0"/>
        <v>0.1</v>
      </c>
      <c r="R44" s="9">
        <f t="shared" si="1"/>
        <v>30000</v>
      </c>
      <c r="S44" s="9">
        <f t="shared" si="2"/>
        <v>30000</v>
      </c>
    </row>
    <row r="45" spans="1:19" x14ac:dyDescent="0.25">
      <c r="A45" t="s">
        <v>29</v>
      </c>
      <c r="B45">
        <v>30012</v>
      </c>
      <c r="C45" s="8">
        <v>45582</v>
      </c>
      <c r="D45" t="s">
        <v>1055</v>
      </c>
      <c r="E45" s="11">
        <v>6</v>
      </c>
      <c r="F45" t="s">
        <v>819</v>
      </c>
      <c r="H45" s="12">
        <v>80000</v>
      </c>
      <c r="I45" s="9">
        <v>81506</v>
      </c>
      <c r="J45" s="15">
        <v>0.1</v>
      </c>
      <c r="K45" s="12">
        <v>0</v>
      </c>
      <c r="L45" s="12">
        <v>0</v>
      </c>
      <c r="M45" s="9">
        <v>0</v>
      </c>
      <c r="N45" s="12">
        <v>2037.65</v>
      </c>
      <c r="O45">
        <v>90</v>
      </c>
      <c r="Q45" s="15">
        <f t="shared" si="0"/>
        <v>0.1</v>
      </c>
      <c r="R45" s="9">
        <f t="shared" si="1"/>
        <v>8000</v>
      </c>
      <c r="S45" s="9">
        <f t="shared" si="2"/>
        <v>8000</v>
      </c>
    </row>
    <row r="46" spans="1:19" x14ac:dyDescent="0.25">
      <c r="A46" t="s">
        <v>1192</v>
      </c>
      <c r="B46">
        <v>30019</v>
      </c>
      <c r="C46" s="8">
        <v>45579</v>
      </c>
      <c r="D46" t="s">
        <v>1263</v>
      </c>
      <c r="E46" s="11">
        <v>6</v>
      </c>
      <c r="F46" t="s">
        <v>805</v>
      </c>
      <c r="G46" t="s">
        <v>1195</v>
      </c>
      <c r="H46" s="12">
        <v>122500</v>
      </c>
      <c r="I46" s="9">
        <v>0</v>
      </c>
      <c r="J46" s="15">
        <v>0.116666666666667</v>
      </c>
      <c r="K46" s="12">
        <v>6890</v>
      </c>
      <c r="L46" s="12">
        <v>5000</v>
      </c>
      <c r="M46" s="9">
        <v>0</v>
      </c>
      <c r="N46" s="12">
        <v>0</v>
      </c>
      <c r="O46">
        <v>0</v>
      </c>
      <c r="P46">
        <v>1</v>
      </c>
      <c r="Q46" s="15">
        <f t="shared" si="0"/>
        <v>0.17291156462585067</v>
      </c>
      <c r="R46" s="9">
        <f t="shared" si="1"/>
        <v>14291.666666666708</v>
      </c>
      <c r="S46" s="9">
        <f t="shared" si="2"/>
        <v>21181.666666666708</v>
      </c>
    </row>
    <row r="47" spans="1:19" x14ac:dyDescent="0.25">
      <c r="A47" t="s">
        <v>29</v>
      </c>
      <c r="B47">
        <v>30012</v>
      </c>
      <c r="C47" s="8">
        <v>45649</v>
      </c>
      <c r="D47" t="s">
        <v>846</v>
      </c>
      <c r="E47" s="11" t="s">
        <v>205</v>
      </c>
      <c r="F47" t="s">
        <v>805</v>
      </c>
      <c r="G47" t="s">
        <v>202</v>
      </c>
      <c r="H47" s="12">
        <v>82744</v>
      </c>
      <c r="I47" s="9">
        <v>82744</v>
      </c>
      <c r="J47" s="15">
        <v>0.15</v>
      </c>
      <c r="K47" s="12">
        <v>0</v>
      </c>
      <c r="L47" s="12">
        <v>0</v>
      </c>
      <c r="M47" s="9">
        <v>0</v>
      </c>
      <c r="N47" s="12">
        <v>310.29000000000002</v>
      </c>
      <c r="O47">
        <v>9</v>
      </c>
      <c r="Q47" s="15">
        <f t="shared" si="0"/>
        <v>0.15</v>
      </c>
      <c r="R47" s="9">
        <f t="shared" si="1"/>
        <v>12411.6</v>
      </c>
      <c r="S47" s="9">
        <f t="shared" si="2"/>
        <v>12411.6</v>
      </c>
    </row>
    <row r="48" spans="1:19" x14ac:dyDescent="0.25">
      <c r="A48" t="s">
        <v>29</v>
      </c>
      <c r="B48">
        <v>30012</v>
      </c>
      <c r="C48" s="8">
        <v>45597</v>
      </c>
      <c r="D48" t="s">
        <v>1017</v>
      </c>
      <c r="E48" s="11" t="s">
        <v>205</v>
      </c>
      <c r="F48" t="s">
        <v>805</v>
      </c>
      <c r="G48" t="s">
        <v>662</v>
      </c>
      <c r="H48" s="12">
        <v>426009</v>
      </c>
      <c r="I48" s="9">
        <v>426009</v>
      </c>
      <c r="J48" s="15">
        <v>0.15</v>
      </c>
      <c r="K48" s="12">
        <v>0</v>
      </c>
      <c r="L48" s="12">
        <v>0</v>
      </c>
      <c r="M48" s="9">
        <v>0</v>
      </c>
      <c r="N48" s="12">
        <v>10827.72875</v>
      </c>
      <c r="O48">
        <v>61</v>
      </c>
      <c r="Q48" s="15">
        <f t="shared" si="0"/>
        <v>0.15</v>
      </c>
      <c r="R48" s="9">
        <f t="shared" si="1"/>
        <v>63901.35</v>
      </c>
      <c r="S48" s="9">
        <f t="shared" si="2"/>
        <v>63901.35</v>
      </c>
    </row>
    <row r="49" spans="1:19" x14ac:dyDescent="0.25">
      <c r="A49" t="s">
        <v>670</v>
      </c>
      <c r="B49">
        <v>30018</v>
      </c>
      <c r="C49" s="8">
        <v>45631</v>
      </c>
      <c r="D49" t="s">
        <v>1120</v>
      </c>
      <c r="E49" s="11" t="s">
        <v>201</v>
      </c>
      <c r="F49" t="s">
        <v>819</v>
      </c>
      <c r="G49" t="s">
        <v>1121</v>
      </c>
      <c r="H49" s="12">
        <v>200000000</v>
      </c>
      <c r="I49" s="9">
        <v>0</v>
      </c>
      <c r="J49" s="15">
        <v>7.4999999999999997E-2</v>
      </c>
      <c r="K49" s="12">
        <v>2200000</v>
      </c>
      <c r="L49" s="12">
        <v>0</v>
      </c>
      <c r="M49" s="9">
        <v>2032000</v>
      </c>
      <c r="N49" s="12">
        <v>2374211</v>
      </c>
      <c r="O49">
        <v>12</v>
      </c>
      <c r="P49">
        <v>1</v>
      </c>
      <c r="Q49" s="15">
        <f t="shared" si="0"/>
        <v>9.6159999999999995E-2</v>
      </c>
      <c r="R49" s="9">
        <f t="shared" si="1"/>
        <v>15000000</v>
      </c>
      <c r="S49" s="9">
        <f t="shared" si="2"/>
        <v>19232000</v>
      </c>
    </row>
    <row r="50" spans="1:19" x14ac:dyDescent="0.25">
      <c r="A50" t="s">
        <v>1496</v>
      </c>
      <c r="B50" t="s">
        <v>764</v>
      </c>
      <c r="C50" s="8">
        <v>45568</v>
      </c>
      <c r="D50" t="s">
        <v>1502</v>
      </c>
      <c r="E50" s="11" t="s">
        <v>201</v>
      </c>
      <c r="F50" t="s">
        <v>805</v>
      </c>
      <c r="G50" t="s">
        <v>769</v>
      </c>
      <c r="H50" s="12">
        <v>1000000000</v>
      </c>
      <c r="I50" s="9">
        <v>828109083</v>
      </c>
      <c r="J50" s="15">
        <v>0.10249999999999999</v>
      </c>
      <c r="K50" s="12">
        <v>2000000</v>
      </c>
      <c r="L50" s="12">
        <v>0</v>
      </c>
      <c r="M50" s="9">
        <v>0</v>
      </c>
      <c r="N50" s="12">
        <v>0</v>
      </c>
      <c r="O50">
        <v>2</v>
      </c>
      <c r="P50">
        <v>1</v>
      </c>
      <c r="Q50" s="15">
        <f t="shared" si="0"/>
        <v>0.1045</v>
      </c>
      <c r="R50" s="9">
        <f t="shared" si="1"/>
        <v>102500000</v>
      </c>
      <c r="S50" s="9">
        <f t="shared" si="2"/>
        <v>104500000</v>
      </c>
    </row>
    <row r="51" spans="1:19" x14ac:dyDescent="0.25">
      <c r="A51" t="s">
        <v>259</v>
      </c>
      <c r="B51" s="24">
        <v>30013</v>
      </c>
      <c r="C51" s="8">
        <v>45580</v>
      </c>
      <c r="D51" t="s">
        <v>1180</v>
      </c>
      <c r="E51" s="11" t="s">
        <v>201</v>
      </c>
      <c r="F51" t="s">
        <v>819</v>
      </c>
      <c r="G51" t="s">
        <v>695</v>
      </c>
      <c r="H51" s="12">
        <v>1200000000</v>
      </c>
      <c r="I51" s="9">
        <v>52146801</v>
      </c>
      <c r="J51" s="15">
        <v>5.5E-2</v>
      </c>
      <c r="K51" s="12">
        <v>7134000</v>
      </c>
      <c r="L51" s="12">
        <v>0</v>
      </c>
      <c r="M51" s="9">
        <v>0</v>
      </c>
      <c r="N51" s="12">
        <v>2729041</v>
      </c>
      <c r="O51" s="9">
        <v>0</v>
      </c>
      <c r="P51">
        <v>1</v>
      </c>
      <c r="Q51" s="15">
        <f t="shared" si="0"/>
        <v>6.0944999999999999E-2</v>
      </c>
      <c r="R51" s="9">
        <f t="shared" si="1"/>
        <v>66000000</v>
      </c>
      <c r="S51" s="9">
        <f t="shared" si="2"/>
        <v>73134000</v>
      </c>
    </row>
    <row r="52" spans="1:19" x14ac:dyDescent="0.25">
      <c r="A52" t="s">
        <v>670</v>
      </c>
      <c r="B52">
        <v>30018</v>
      </c>
      <c r="C52" s="8">
        <v>45628</v>
      </c>
      <c r="D52" t="s">
        <v>1133</v>
      </c>
      <c r="E52" s="11">
        <v>6</v>
      </c>
      <c r="F52" t="s">
        <v>819</v>
      </c>
      <c r="G52" t="s">
        <v>1134</v>
      </c>
      <c r="H52" s="12">
        <v>290000</v>
      </c>
      <c r="I52" s="9">
        <v>181903</v>
      </c>
      <c r="J52" s="15">
        <v>0.15</v>
      </c>
      <c r="K52" s="12">
        <v>5900</v>
      </c>
      <c r="L52" s="12">
        <v>9625</v>
      </c>
      <c r="M52" s="9">
        <v>34900</v>
      </c>
      <c r="N52" s="12">
        <v>3091</v>
      </c>
      <c r="O52">
        <v>12</v>
      </c>
      <c r="P52">
        <v>1</v>
      </c>
      <c r="Q52" s="15">
        <f t="shared" si="0"/>
        <v>0.2906896551724138</v>
      </c>
      <c r="R52" s="9">
        <f t="shared" si="1"/>
        <v>43500</v>
      </c>
      <c r="S52" s="9">
        <f t="shared" si="2"/>
        <v>84300</v>
      </c>
    </row>
    <row r="53" spans="1:19" x14ac:dyDescent="0.25">
      <c r="A53" t="s">
        <v>1192</v>
      </c>
      <c r="B53">
        <v>30019</v>
      </c>
      <c r="C53" s="8">
        <v>45621</v>
      </c>
      <c r="D53" t="s">
        <v>1384</v>
      </c>
      <c r="E53" s="11">
        <v>6</v>
      </c>
      <c r="F53" t="s">
        <v>805</v>
      </c>
      <c r="G53" t="s">
        <v>1198</v>
      </c>
      <c r="H53" s="12">
        <v>63000</v>
      </c>
      <c r="I53" s="9">
        <v>0</v>
      </c>
      <c r="J53" s="15">
        <v>0.15</v>
      </c>
      <c r="K53" s="12">
        <v>6890</v>
      </c>
      <c r="L53" s="12">
        <v>5000</v>
      </c>
      <c r="M53" s="9">
        <v>0</v>
      </c>
      <c r="N53" s="12">
        <v>0</v>
      </c>
      <c r="O53">
        <v>0</v>
      </c>
      <c r="P53">
        <v>1</v>
      </c>
      <c r="Q53" s="15">
        <f t="shared" si="0"/>
        <v>0.25936507936507935</v>
      </c>
      <c r="R53" s="9">
        <f t="shared" si="1"/>
        <v>9450</v>
      </c>
      <c r="S53" s="9">
        <f t="shared" si="2"/>
        <v>16340</v>
      </c>
    </row>
    <row r="54" spans="1:19" x14ac:dyDescent="0.25">
      <c r="A54" t="s">
        <v>29</v>
      </c>
      <c r="B54">
        <v>30012</v>
      </c>
      <c r="C54" s="8">
        <v>45649</v>
      </c>
      <c r="D54" t="s">
        <v>850</v>
      </c>
      <c r="E54" s="11">
        <v>6</v>
      </c>
      <c r="F54" t="s">
        <v>837</v>
      </c>
      <c r="H54" s="12">
        <v>70000</v>
      </c>
      <c r="I54" s="9">
        <v>111028</v>
      </c>
      <c r="J54" s="15">
        <v>0.1</v>
      </c>
      <c r="K54" s="12">
        <v>0</v>
      </c>
      <c r="L54" s="12">
        <v>0</v>
      </c>
      <c r="M54" s="9">
        <v>0</v>
      </c>
      <c r="N54" s="12">
        <v>2528.9711111111114</v>
      </c>
      <c r="O54">
        <v>82</v>
      </c>
      <c r="Q54" s="15">
        <f t="shared" si="0"/>
        <v>0.1</v>
      </c>
      <c r="R54" s="9">
        <f t="shared" si="1"/>
        <v>7000</v>
      </c>
      <c r="S54" s="9">
        <f t="shared" si="2"/>
        <v>7000</v>
      </c>
    </row>
    <row r="55" spans="1:19" x14ac:dyDescent="0.25">
      <c r="A55" t="s">
        <v>29</v>
      </c>
      <c r="B55">
        <v>30012</v>
      </c>
      <c r="C55" s="8">
        <v>45649</v>
      </c>
      <c r="D55" t="s">
        <v>663</v>
      </c>
      <c r="E55" s="11">
        <v>6</v>
      </c>
      <c r="F55" t="s">
        <v>805</v>
      </c>
      <c r="H55" s="12">
        <v>1231836</v>
      </c>
      <c r="I55" s="9">
        <v>1231836</v>
      </c>
      <c r="J55" s="15">
        <v>0.15</v>
      </c>
      <c r="K55" s="12">
        <v>0</v>
      </c>
      <c r="L55" s="12">
        <v>0</v>
      </c>
      <c r="M55" s="9">
        <v>0</v>
      </c>
      <c r="N55" s="12">
        <v>4619.3849999999993</v>
      </c>
      <c r="O55">
        <v>9</v>
      </c>
      <c r="Q55" s="15">
        <f t="shared" si="0"/>
        <v>0.15</v>
      </c>
      <c r="R55" s="9">
        <f t="shared" si="1"/>
        <v>184775.4</v>
      </c>
      <c r="S55" s="9">
        <f t="shared" si="2"/>
        <v>184775.4</v>
      </c>
    </row>
    <row r="56" spans="1:19" x14ac:dyDescent="0.25">
      <c r="A56" t="s">
        <v>29</v>
      </c>
      <c r="B56">
        <v>30012</v>
      </c>
      <c r="C56" s="8">
        <v>45656</v>
      </c>
      <c r="D56" t="s">
        <v>833</v>
      </c>
      <c r="E56" s="11">
        <v>6</v>
      </c>
      <c r="F56" t="s">
        <v>805</v>
      </c>
      <c r="H56" s="12">
        <v>120000</v>
      </c>
      <c r="I56" s="9">
        <v>120459</v>
      </c>
      <c r="J56" s="15">
        <v>0.1</v>
      </c>
      <c r="K56" s="12">
        <v>0</v>
      </c>
      <c r="L56" s="12">
        <v>0</v>
      </c>
      <c r="M56" s="9">
        <v>0</v>
      </c>
      <c r="N56" s="12">
        <v>736.13833333333343</v>
      </c>
      <c r="O56">
        <v>22</v>
      </c>
      <c r="Q56" s="15">
        <f t="shared" si="0"/>
        <v>0.1</v>
      </c>
      <c r="R56" s="9">
        <f t="shared" si="1"/>
        <v>12000</v>
      </c>
      <c r="S56" s="9">
        <f t="shared" si="2"/>
        <v>12000</v>
      </c>
    </row>
    <row r="57" spans="1:19" x14ac:dyDescent="0.25">
      <c r="A57" t="s">
        <v>29</v>
      </c>
      <c r="B57">
        <v>30012</v>
      </c>
      <c r="C57" s="8">
        <v>45616</v>
      </c>
      <c r="D57" t="s">
        <v>951</v>
      </c>
      <c r="E57" s="11">
        <v>6</v>
      </c>
      <c r="F57" t="s">
        <v>822</v>
      </c>
      <c r="H57" s="12">
        <v>188000</v>
      </c>
      <c r="I57" s="9">
        <v>479355</v>
      </c>
      <c r="J57" s="15">
        <v>0.1</v>
      </c>
      <c r="K57" s="12">
        <v>0</v>
      </c>
      <c r="L57" s="12">
        <v>0</v>
      </c>
      <c r="M57" s="9">
        <v>0</v>
      </c>
      <c r="N57" s="12">
        <v>4793.55</v>
      </c>
      <c r="O57">
        <v>36</v>
      </c>
      <c r="Q57" s="15">
        <f t="shared" si="0"/>
        <v>0.1</v>
      </c>
      <c r="R57" s="9">
        <f t="shared" si="1"/>
        <v>18800</v>
      </c>
      <c r="S57" s="9">
        <f t="shared" si="2"/>
        <v>18800</v>
      </c>
    </row>
    <row r="58" spans="1:19" x14ac:dyDescent="0.25">
      <c r="A58" t="s">
        <v>1192</v>
      </c>
      <c r="B58">
        <v>30019</v>
      </c>
      <c r="C58" s="8">
        <v>45581</v>
      </c>
      <c r="D58" t="s">
        <v>1270</v>
      </c>
      <c r="E58" s="11">
        <v>6</v>
      </c>
      <c r="F58" t="s">
        <v>805</v>
      </c>
      <c r="G58" t="s">
        <v>1194</v>
      </c>
      <c r="H58" s="12">
        <v>123000</v>
      </c>
      <c r="I58" s="9">
        <v>0</v>
      </c>
      <c r="J58" s="15">
        <v>0.15</v>
      </c>
      <c r="K58" s="12">
        <v>6890</v>
      </c>
      <c r="L58" s="12">
        <v>5000</v>
      </c>
      <c r="M58" s="9">
        <v>0</v>
      </c>
      <c r="N58" s="12">
        <v>0</v>
      </c>
      <c r="O58">
        <v>0</v>
      </c>
      <c r="P58">
        <v>1</v>
      </c>
      <c r="Q58" s="15">
        <f t="shared" si="0"/>
        <v>0.20601626016260163</v>
      </c>
      <c r="R58" s="9">
        <f t="shared" si="1"/>
        <v>18450</v>
      </c>
      <c r="S58" s="9">
        <f t="shared" si="2"/>
        <v>25340</v>
      </c>
    </row>
    <row r="59" spans="1:19" x14ac:dyDescent="0.25">
      <c r="A59" t="s">
        <v>1192</v>
      </c>
      <c r="B59">
        <v>30019</v>
      </c>
      <c r="C59" s="8">
        <v>45576</v>
      </c>
      <c r="D59" t="s">
        <v>1256</v>
      </c>
      <c r="E59" s="11">
        <v>6</v>
      </c>
      <c r="F59" t="s">
        <v>805</v>
      </c>
      <c r="G59" t="s">
        <v>1194</v>
      </c>
      <c r="H59" s="12">
        <v>100000</v>
      </c>
      <c r="I59" s="9">
        <v>0</v>
      </c>
      <c r="J59" s="15">
        <v>0.15</v>
      </c>
      <c r="K59" s="12">
        <v>6890</v>
      </c>
      <c r="L59" s="12">
        <v>5000</v>
      </c>
      <c r="M59" s="9">
        <v>0</v>
      </c>
      <c r="N59" s="12">
        <v>0</v>
      </c>
      <c r="O59">
        <v>0</v>
      </c>
      <c r="P59">
        <v>1</v>
      </c>
      <c r="Q59" s="15">
        <f t="shared" si="0"/>
        <v>0.21890000000000001</v>
      </c>
      <c r="R59" s="9">
        <f t="shared" si="1"/>
        <v>15000</v>
      </c>
      <c r="S59" s="9">
        <f t="shared" si="2"/>
        <v>21890</v>
      </c>
    </row>
    <row r="60" spans="1:19" x14ac:dyDescent="0.25">
      <c r="A60" t="s">
        <v>1192</v>
      </c>
      <c r="B60">
        <v>30019</v>
      </c>
      <c r="C60" s="8">
        <v>45657</v>
      </c>
      <c r="D60" t="s">
        <v>1486</v>
      </c>
      <c r="E60" s="11">
        <v>6</v>
      </c>
      <c r="F60" t="s">
        <v>805</v>
      </c>
      <c r="G60" t="s">
        <v>1195</v>
      </c>
      <c r="H60" s="12">
        <v>42000</v>
      </c>
      <c r="I60" s="9">
        <v>0</v>
      </c>
      <c r="J60" s="15">
        <v>0.15</v>
      </c>
      <c r="K60" s="12">
        <v>6890</v>
      </c>
      <c r="L60" s="12">
        <v>5000</v>
      </c>
      <c r="M60" s="9">
        <v>0</v>
      </c>
      <c r="N60" s="12">
        <v>0</v>
      </c>
      <c r="O60">
        <v>0</v>
      </c>
      <c r="P60">
        <v>1</v>
      </c>
      <c r="Q60" s="15">
        <f t="shared" si="0"/>
        <v>0.31404761904761902</v>
      </c>
      <c r="R60" s="9">
        <f t="shared" si="1"/>
        <v>6300</v>
      </c>
      <c r="S60" s="9">
        <f t="shared" si="2"/>
        <v>13189.999999999998</v>
      </c>
    </row>
    <row r="61" spans="1:19" x14ac:dyDescent="0.25">
      <c r="A61" t="s">
        <v>1192</v>
      </c>
      <c r="B61">
        <v>30019</v>
      </c>
      <c r="C61" s="8">
        <v>45650</v>
      </c>
      <c r="D61" t="s">
        <v>1462</v>
      </c>
      <c r="E61" s="11">
        <v>6</v>
      </c>
      <c r="F61" t="s">
        <v>805</v>
      </c>
      <c r="G61" t="s">
        <v>1194</v>
      </c>
      <c r="H61" s="12">
        <v>82500</v>
      </c>
      <c r="I61" s="9">
        <v>0</v>
      </c>
      <c r="J61" s="15">
        <v>0.15</v>
      </c>
      <c r="K61" s="12">
        <v>6890</v>
      </c>
      <c r="L61" s="12">
        <v>5000</v>
      </c>
      <c r="M61" s="9">
        <v>0</v>
      </c>
      <c r="N61" s="12">
        <v>0</v>
      </c>
      <c r="O61">
        <v>0</v>
      </c>
      <c r="P61">
        <v>1</v>
      </c>
      <c r="Q61" s="15">
        <f t="shared" si="0"/>
        <v>0.23351515151515151</v>
      </c>
      <c r="R61" s="9">
        <f t="shared" si="1"/>
        <v>12375</v>
      </c>
      <c r="S61" s="9">
        <f t="shared" si="2"/>
        <v>19265</v>
      </c>
    </row>
    <row r="62" spans="1:19" x14ac:dyDescent="0.25">
      <c r="A62" t="s">
        <v>1192</v>
      </c>
      <c r="B62">
        <v>30019</v>
      </c>
      <c r="C62" s="8">
        <v>45569</v>
      </c>
      <c r="D62" t="s">
        <v>1221</v>
      </c>
      <c r="E62" s="11">
        <v>6</v>
      </c>
      <c r="F62" t="s">
        <v>805</v>
      </c>
      <c r="G62" t="s">
        <v>1222</v>
      </c>
      <c r="H62" s="12">
        <v>123000</v>
      </c>
      <c r="I62" s="9">
        <v>0</v>
      </c>
      <c r="J62" s="15">
        <v>0.15</v>
      </c>
      <c r="K62" s="12">
        <v>6890</v>
      </c>
      <c r="L62" s="12">
        <v>5000</v>
      </c>
      <c r="M62" s="9">
        <v>0</v>
      </c>
      <c r="N62" s="12">
        <v>0</v>
      </c>
      <c r="O62">
        <v>0</v>
      </c>
      <c r="P62">
        <v>1</v>
      </c>
      <c r="Q62" s="15">
        <f t="shared" si="0"/>
        <v>0.20601626016260163</v>
      </c>
      <c r="R62" s="9">
        <f t="shared" si="1"/>
        <v>18450</v>
      </c>
      <c r="S62" s="9">
        <f t="shared" si="2"/>
        <v>25340</v>
      </c>
    </row>
    <row r="63" spans="1:19" x14ac:dyDescent="0.25">
      <c r="A63" t="s">
        <v>29</v>
      </c>
      <c r="B63">
        <v>30012</v>
      </c>
      <c r="C63" s="8">
        <v>45630</v>
      </c>
      <c r="D63" t="s">
        <v>905</v>
      </c>
      <c r="E63" s="11">
        <v>6</v>
      </c>
      <c r="F63" t="s">
        <v>819</v>
      </c>
      <c r="H63" s="12">
        <v>114000</v>
      </c>
      <c r="I63" s="9">
        <v>105651</v>
      </c>
      <c r="J63" s="15">
        <v>0.1</v>
      </c>
      <c r="K63" s="12">
        <v>0</v>
      </c>
      <c r="L63" s="12">
        <v>0</v>
      </c>
      <c r="M63" s="9">
        <v>0</v>
      </c>
      <c r="N63" s="12">
        <v>645.64499999999998</v>
      </c>
      <c r="O63">
        <v>22</v>
      </c>
      <c r="Q63" s="15">
        <f t="shared" si="0"/>
        <v>0.1</v>
      </c>
      <c r="R63" s="9">
        <f t="shared" si="1"/>
        <v>11400</v>
      </c>
      <c r="S63" s="9">
        <f t="shared" si="2"/>
        <v>11400</v>
      </c>
    </row>
    <row r="64" spans="1:19" x14ac:dyDescent="0.25">
      <c r="A64" t="s">
        <v>29</v>
      </c>
      <c r="B64">
        <v>30012</v>
      </c>
      <c r="C64" s="8">
        <v>45575</v>
      </c>
      <c r="D64" t="s">
        <v>1078</v>
      </c>
      <c r="E64" s="11">
        <v>6</v>
      </c>
      <c r="F64" t="s">
        <v>805</v>
      </c>
      <c r="H64" s="12">
        <v>50000</v>
      </c>
      <c r="I64" s="9">
        <v>270964</v>
      </c>
      <c r="J64" s="15">
        <v>0.1</v>
      </c>
      <c r="K64" s="12">
        <v>0</v>
      </c>
      <c r="L64" s="12">
        <v>0</v>
      </c>
      <c r="M64" s="9">
        <v>0</v>
      </c>
      <c r="N64" s="12">
        <v>1881.6944444444443</v>
      </c>
      <c r="O64">
        <v>25</v>
      </c>
      <c r="Q64" s="15">
        <f t="shared" si="0"/>
        <v>0.1</v>
      </c>
      <c r="R64" s="9">
        <f t="shared" si="1"/>
        <v>5000</v>
      </c>
      <c r="S64" s="9">
        <f t="shared" si="2"/>
        <v>5000</v>
      </c>
    </row>
    <row r="65" spans="1:19" x14ac:dyDescent="0.25">
      <c r="A65" t="s">
        <v>1192</v>
      </c>
      <c r="B65">
        <v>30019</v>
      </c>
      <c r="C65" s="8">
        <v>45628</v>
      </c>
      <c r="D65" t="s">
        <v>1395</v>
      </c>
      <c r="E65" s="11">
        <v>6</v>
      </c>
      <c r="F65" t="s">
        <v>852</v>
      </c>
      <c r="H65" s="12">
        <v>110000</v>
      </c>
      <c r="I65" s="9">
        <v>0</v>
      </c>
      <c r="J65" s="15">
        <v>0.15</v>
      </c>
      <c r="K65" s="12">
        <v>6890</v>
      </c>
      <c r="L65" s="12">
        <v>5000</v>
      </c>
      <c r="M65" s="9">
        <v>0</v>
      </c>
      <c r="N65" s="12">
        <v>0</v>
      </c>
      <c r="O65">
        <v>0</v>
      </c>
      <c r="P65">
        <v>1</v>
      </c>
      <c r="Q65" s="15">
        <f t="shared" si="0"/>
        <v>0.21263636363636362</v>
      </c>
      <c r="R65" s="9">
        <f t="shared" si="1"/>
        <v>16500</v>
      </c>
      <c r="S65" s="9">
        <f t="shared" si="2"/>
        <v>23390</v>
      </c>
    </row>
    <row r="66" spans="1:19" x14ac:dyDescent="0.25">
      <c r="A66" t="s">
        <v>29</v>
      </c>
      <c r="B66">
        <v>30012</v>
      </c>
      <c r="C66" s="8">
        <v>45649</v>
      </c>
      <c r="D66" t="s">
        <v>854</v>
      </c>
      <c r="E66" s="11">
        <v>6</v>
      </c>
      <c r="F66" t="s">
        <v>805</v>
      </c>
      <c r="H66" s="12">
        <v>100000</v>
      </c>
      <c r="I66" s="9">
        <v>1592282</v>
      </c>
      <c r="J66" s="15">
        <v>0.1</v>
      </c>
      <c r="K66" s="12">
        <v>0</v>
      </c>
      <c r="L66" s="12">
        <v>0</v>
      </c>
      <c r="M66" s="9">
        <v>0</v>
      </c>
      <c r="N66" s="12">
        <v>0</v>
      </c>
      <c r="O66">
        <v>0</v>
      </c>
      <c r="Q66" s="15">
        <f t="shared" ref="Q66:Q129" si="3">((H66*J66)+K66+M66)/H66</f>
        <v>0.1</v>
      </c>
      <c r="R66" s="9">
        <f t="shared" ref="R66:R129" si="4">J66*H66</f>
        <v>10000</v>
      </c>
      <c r="S66" s="9">
        <f t="shared" ref="S66:S129" si="5">Q66*H66</f>
        <v>10000</v>
      </c>
    </row>
    <row r="67" spans="1:19" x14ac:dyDescent="0.25">
      <c r="A67" t="s">
        <v>1192</v>
      </c>
      <c r="B67">
        <v>30019</v>
      </c>
      <c r="C67" s="8">
        <v>45566</v>
      </c>
      <c r="D67" t="s">
        <v>1201</v>
      </c>
      <c r="E67" s="11">
        <v>6</v>
      </c>
      <c r="F67" t="s">
        <v>805</v>
      </c>
      <c r="G67" t="s">
        <v>1194</v>
      </c>
      <c r="H67" s="12">
        <v>442000</v>
      </c>
      <c r="I67" s="9">
        <v>0</v>
      </c>
      <c r="J67" s="15">
        <v>0.105</v>
      </c>
      <c r="K67" s="12">
        <v>6890</v>
      </c>
      <c r="L67" s="12">
        <v>5000</v>
      </c>
      <c r="M67" s="9">
        <v>0</v>
      </c>
      <c r="N67" s="12">
        <v>0</v>
      </c>
      <c r="O67">
        <v>0</v>
      </c>
      <c r="P67">
        <v>1</v>
      </c>
      <c r="Q67" s="15">
        <f t="shared" si="3"/>
        <v>0.12058823529411765</v>
      </c>
      <c r="R67" s="9">
        <f t="shared" si="4"/>
        <v>46410</v>
      </c>
      <c r="S67" s="9">
        <f t="shared" si="5"/>
        <v>53300</v>
      </c>
    </row>
    <row r="68" spans="1:19" x14ac:dyDescent="0.25">
      <c r="A68" t="s">
        <v>29</v>
      </c>
      <c r="B68">
        <v>30012</v>
      </c>
      <c r="C68" s="8">
        <v>45593</v>
      </c>
      <c r="D68" t="s">
        <v>1029</v>
      </c>
      <c r="E68" s="11">
        <v>6</v>
      </c>
      <c r="F68" t="s">
        <v>819</v>
      </c>
      <c r="H68" s="12">
        <v>50000</v>
      </c>
      <c r="I68" s="9">
        <v>56773</v>
      </c>
      <c r="J68" s="15">
        <v>0.1</v>
      </c>
      <c r="K68" s="12">
        <v>0</v>
      </c>
      <c r="L68" s="12">
        <v>0</v>
      </c>
      <c r="M68" s="9">
        <v>0</v>
      </c>
      <c r="N68" s="12">
        <v>1293.1627777777778</v>
      </c>
      <c r="O68">
        <v>82</v>
      </c>
      <c r="Q68" s="15">
        <f t="shared" si="3"/>
        <v>0.1</v>
      </c>
      <c r="R68" s="9">
        <f t="shared" si="4"/>
        <v>5000</v>
      </c>
      <c r="S68" s="9">
        <f t="shared" si="5"/>
        <v>5000</v>
      </c>
    </row>
    <row r="69" spans="1:19" x14ac:dyDescent="0.25">
      <c r="A69" t="s">
        <v>1192</v>
      </c>
      <c r="B69">
        <v>30019</v>
      </c>
      <c r="C69" s="8">
        <v>45642</v>
      </c>
      <c r="D69" t="s">
        <v>1451</v>
      </c>
      <c r="E69" s="11">
        <v>6</v>
      </c>
      <c r="F69" t="s">
        <v>805</v>
      </c>
      <c r="G69" t="s">
        <v>1195</v>
      </c>
      <c r="H69" s="12">
        <v>67000</v>
      </c>
      <c r="I69" s="9">
        <v>0</v>
      </c>
      <c r="J69" s="15">
        <v>0.125</v>
      </c>
      <c r="K69" s="12">
        <v>6890</v>
      </c>
      <c r="L69" s="12">
        <v>5000</v>
      </c>
      <c r="M69" s="9">
        <v>0</v>
      </c>
      <c r="N69" s="12">
        <v>0</v>
      </c>
      <c r="O69">
        <v>0</v>
      </c>
      <c r="P69">
        <v>1</v>
      </c>
      <c r="Q69" s="15">
        <f t="shared" si="3"/>
        <v>0.2278358208955224</v>
      </c>
      <c r="R69" s="9">
        <f t="shared" si="4"/>
        <v>8375</v>
      </c>
      <c r="S69" s="9">
        <f t="shared" si="5"/>
        <v>15265</v>
      </c>
    </row>
    <row r="70" spans="1:19" x14ac:dyDescent="0.25">
      <c r="A70" t="s">
        <v>29</v>
      </c>
      <c r="B70">
        <v>30012</v>
      </c>
      <c r="C70" s="8">
        <v>45638</v>
      </c>
      <c r="D70" t="s">
        <v>879</v>
      </c>
      <c r="E70" s="11">
        <v>6</v>
      </c>
      <c r="F70" t="s">
        <v>837</v>
      </c>
      <c r="H70" s="12">
        <v>60000</v>
      </c>
      <c r="I70" s="9">
        <v>61064</v>
      </c>
      <c r="J70" s="15">
        <v>0.1</v>
      </c>
      <c r="K70" s="12">
        <v>0</v>
      </c>
      <c r="L70" s="12">
        <v>0</v>
      </c>
      <c r="M70" s="9">
        <v>0</v>
      </c>
      <c r="N70" s="12">
        <v>1492.6755555555558</v>
      </c>
      <c r="O70">
        <v>88</v>
      </c>
      <c r="Q70" s="15">
        <f t="shared" si="3"/>
        <v>0.1</v>
      </c>
      <c r="R70" s="9">
        <f t="shared" si="4"/>
        <v>6000</v>
      </c>
      <c r="S70" s="9">
        <f t="shared" si="5"/>
        <v>6000</v>
      </c>
    </row>
    <row r="71" spans="1:19" x14ac:dyDescent="0.25">
      <c r="A71" t="s">
        <v>29</v>
      </c>
      <c r="B71">
        <v>30012</v>
      </c>
      <c r="C71" s="8">
        <v>45650</v>
      </c>
      <c r="D71" t="s">
        <v>844</v>
      </c>
      <c r="E71" s="11" t="s">
        <v>205</v>
      </c>
      <c r="F71" t="s">
        <v>819</v>
      </c>
      <c r="G71" t="s">
        <v>202</v>
      </c>
      <c r="H71" s="12">
        <v>617028</v>
      </c>
      <c r="I71" s="9">
        <v>617028</v>
      </c>
      <c r="J71" s="15">
        <v>0.15</v>
      </c>
      <c r="K71" s="12">
        <v>0</v>
      </c>
      <c r="L71" s="12">
        <v>0</v>
      </c>
      <c r="M71" s="9">
        <v>0</v>
      </c>
      <c r="N71" s="12">
        <v>2056.7599999999998</v>
      </c>
      <c r="O71">
        <v>8</v>
      </c>
      <c r="Q71" s="15">
        <f t="shared" si="3"/>
        <v>0.15</v>
      </c>
      <c r="R71" s="9">
        <f t="shared" si="4"/>
        <v>92554.2</v>
      </c>
      <c r="S71" s="9">
        <f t="shared" si="5"/>
        <v>92554.2</v>
      </c>
    </row>
    <row r="72" spans="1:19" x14ac:dyDescent="0.25">
      <c r="A72" t="s">
        <v>29</v>
      </c>
      <c r="B72">
        <v>30012</v>
      </c>
      <c r="C72" s="8">
        <v>45629</v>
      </c>
      <c r="D72" t="s">
        <v>910</v>
      </c>
      <c r="E72" s="11">
        <v>6</v>
      </c>
      <c r="F72" t="s">
        <v>805</v>
      </c>
      <c r="H72" s="12">
        <v>106015</v>
      </c>
      <c r="I72" s="9">
        <v>106015</v>
      </c>
      <c r="J72" s="15">
        <v>0.15</v>
      </c>
      <c r="K72" s="12">
        <v>0</v>
      </c>
      <c r="L72" s="12">
        <v>0</v>
      </c>
      <c r="M72" s="9">
        <v>0</v>
      </c>
      <c r="N72" s="12">
        <v>1281.0145833333333</v>
      </c>
      <c r="O72">
        <v>29</v>
      </c>
      <c r="Q72" s="15">
        <f t="shared" si="3"/>
        <v>0.15</v>
      </c>
      <c r="R72" s="9">
        <f t="shared" si="4"/>
        <v>15902.25</v>
      </c>
      <c r="S72" s="9">
        <f t="shared" si="5"/>
        <v>15902.25</v>
      </c>
    </row>
    <row r="73" spans="1:19" x14ac:dyDescent="0.25">
      <c r="A73" t="s">
        <v>29</v>
      </c>
      <c r="B73">
        <v>30012</v>
      </c>
      <c r="C73" s="8">
        <v>45629</v>
      </c>
      <c r="D73" t="s">
        <v>910</v>
      </c>
      <c r="E73" s="11">
        <v>6</v>
      </c>
      <c r="F73" t="s">
        <v>805</v>
      </c>
      <c r="H73" s="12">
        <v>106548</v>
      </c>
      <c r="I73" s="9">
        <v>106548</v>
      </c>
      <c r="J73" s="15">
        <v>0.15</v>
      </c>
      <c r="K73" s="12">
        <v>0</v>
      </c>
      <c r="L73" s="12">
        <v>0</v>
      </c>
      <c r="M73" s="9">
        <v>0</v>
      </c>
      <c r="N73" s="12">
        <v>1287.4549999999999</v>
      </c>
      <c r="O73">
        <v>29</v>
      </c>
      <c r="Q73" s="15">
        <f t="shared" si="3"/>
        <v>0.15</v>
      </c>
      <c r="R73" s="9">
        <f t="shared" si="4"/>
        <v>15982.199999999999</v>
      </c>
      <c r="S73" s="9">
        <f t="shared" si="5"/>
        <v>15982.199999999999</v>
      </c>
    </row>
    <row r="74" spans="1:19" x14ac:dyDescent="0.25">
      <c r="A74" t="s">
        <v>272</v>
      </c>
      <c r="B74">
        <v>30008</v>
      </c>
      <c r="C74" s="8">
        <v>45595</v>
      </c>
      <c r="D74" t="s">
        <v>809</v>
      </c>
      <c r="E74" s="11" t="s">
        <v>201</v>
      </c>
      <c r="F74" t="s">
        <v>274</v>
      </c>
      <c r="G74" t="s">
        <v>443</v>
      </c>
      <c r="H74" s="12">
        <v>100000000</v>
      </c>
      <c r="I74" s="9"/>
      <c r="J74" s="17">
        <v>0.1</v>
      </c>
      <c r="K74" s="12">
        <v>3567000</v>
      </c>
      <c r="L74" s="9"/>
      <c r="M74" s="12">
        <f>H74*(1.05/100)</f>
        <v>1050000</v>
      </c>
      <c r="N74" s="12">
        <v>39128</v>
      </c>
      <c r="O74">
        <v>0</v>
      </c>
      <c r="P74">
        <v>1</v>
      </c>
      <c r="Q74" s="15">
        <f t="shared" si="3"/>
        <v>0.14616999999999999</v>
      </c>
      <c r="R74" s="9">
        <f t="shared" si="4"/>
        <v>10000000</v>
      </c>
      <c r="S74" s="9">
        <f t="shared" si="5"/>
        <v>14617000</v>
      </c>
    </row>
    <row r="75" spans="1:19" x14ac:dyDescent="0.25">
      <c r="A75" t="s">
        <v>272</v>
      </c>
      <c r="B75">
        <v>30008</v>
      </c>
      <c r="C75" s="8">
        <v>45639</v>
      </c>
      <c r="D75" t="s">
        <v>817</v>
      </c>
      <c r="E75" s="11" t="s">
        <v>201</v>
      </c>
      <c r="F75" t="s">
        <v>274</v>
      </c>
      <c r="G75" t="s">
        <v>438</v>
      </c>
      <c r="H75" s="12">
        <v>50000000</v>
      </c>
      <c r="I75" s="9"/>
      <c r="J75" s="17">
        <v>0.11</v>
      </c>
      <c r="K75" s="12">
        <v>594500</v>
      </c>
      <c r="M75" s="12">
        <f>H75*(1.05/100)</f>
        <v>525000</v>
      </c>
      <c r="O75">
        <v>0</v>
      </c>
      <c r="P75">
        <v>1</v>
      </c>
      <c r="Q75" s="15">
        <f t="shared" si="3"/>
        <v>0.13239000000000001</v>
      </c>
      <c r="R75" s="9">
        <f t="shared" si="4"/>
        <v>5500000</v>
      </c>
      <c r="S75" s="9">
        <f t="shared" si="5"/>
        <v>6619500</v>
      </c>
    </row>
    <row r="76" spans="1:19" x14ac:dyDescent="0.25">
      <c r="A76" t="s">
        <v>259</v>
      </c>
      <c r="B76" s="24">
        <v>30013</v>
      </c>
      <c r="C76" s="8">
        <v>45595</v>
      </c>
      <c r="D76" t="s">
        <v>817</v>
      </c>
      <c r="E76" s="11" t="s">
        <v>205</v>
      </c>
      <c r="F76" t="s">
        <v>819</v>
      </c>
      <c r="G76" t="s">
        <v>1182</v>
      </c>
      <c r="H76" s="12">
        <v>50000000</v>
      </c>
      <c r="I76" s="9">
        <v>37872471</v>
      </c>
      <c r="J76" s="15">
        <v>7.4999999999999997E-2</v>
      </c>
      <c r="K76" s="12">
        <v>594500</v>
      </c>
      <c r="L76" s="12">
        <v>0</v>
      </c>
      <c r="M76" s="9">
        <v>500000</v>
      </c>
      <c r="N76" s="12">
        <v>551167</v>
      </c>
      <c r="O76" s="9">
        <v>0</v>
      </c>
      <c r="P76">
        <v>1</v>
      </c>
      <c r="Q76" s="15">
        <f t="shared" si="3"/>
        <v>9.6890000000000004E-2</v>
      </c>
      <c r="R76" s="9">
        <f t="shared" si="4"/>
        <v>3750000</v>
      </c>
      <c r="S76" s="9">
        <f t="shared" si="5"/>
        <v>4844500</v>
      </c>
    </row>
    <row r="77" spans="1:19" x14ac:dyDescent="0.25">
      <c r="A77" t="s">
        <v>670</v>
      </c>
      <c r="B77">
        <v>30018</v>
      </c>
      <c r="C77" s="8">
        <v>45645</v>
      </c>
      <c r="D77" t="s">
        <v>1126</v>
      </c>
      <c r="E77" s="11" t="s">
        <v>205</v>
      </c>
      <c r="F77" t="s">
        <v>819</v>
      </c>
      <c r="G77" t="s">
        <v>676</v>
      </c>
      <c r="H77" s="12">
        <v>60000000</v>
      </c>
      <c r="I77" s="9">
        <v>69937338</v>
      </c>
      <c r="J77" s="15">
        <v>0.09</v>
      </c>
      <c r="K77" s="12">
        <v>0</v>
      </c>
      <c r="L77" s="12">
        <v>0</v>
      </c>
      <c r="M77" s="9">
        <v>632000</v>
      </c>
      <c r="N77" s="12">
        <v>1997598</v>
      </c>
      <c r="O77">
        <v>1</v>
      </c>
      <c r="P77">
        <v>1</v>
      </c>
      <c r="Q77" s="15">
        <f t="shared" si="3"/>
        <v>0.10053333333333334</v>
      </c>
      <c r="R77" s="9">
        <f t="shared" si="4"/>
        <v>5400000</v>
      </c>
      <c r="S77" s="9">
        <f t="shared" si="5"/>
        <v>6032000</v>
      </c>
    </row>
    <row r="78" spans="1:19" x14ac:dyDescent="0.25">
      <c r="A78" t="s">
        <v>259</v>
      </c>
      <c r="B78" s="24">
        <v>30013</v>
      </c>
      <c r="C78" s="8">
        <v>45574</v>
      </c>
      <c r="D78" t="s">
        <v>1172</v>
      </c>
      <c r="E78" s="11" t="s">
        <v>201</v>
      </c>
      <c r="F78" t="s">
        <v>819</v>
      </c>
      <c r="G78" t="s">
        <v>1173</v>
      </c>
      <c r="H78" s="12">
        <v>250000000</v>
      </c>
      <c r="I78" s="9">
        <v>0</v>
      </c>
      <c r="J78" s="15">
        <v>7.4999999999999997E-2</v>
      </c>
      <c r="K78" s="12">
        <v>1486250</v>
      </c>
      <c r="L78" s="12">
        <v>0</v>
      </c>
      <c r="M78" s="9">
        <v>0</v>
      </c>
      <c r="N78" s="12">
        <v>175671</v>
      </c>
      <c r="O78" s="9">
        <v>0</v>
      </c>
      <c r="P78">
        <v>1</v>
      </c>
      <c r="Q78" s="15">
        <f t="shared" si="3"/>
        <v>8.0945000000000003E-2</v>
      </c>
      <c r="R78" s="9">
        <f t="shared" si="4"/>
        <v>18750000</v>
      </c>
      <c r="S78" s="9">
        <f t="shared" si="5"/>
        <v>20236250</v>
      </c>
    </row>
    <row r="79" spans="1:19" x14ac:dyDescent="0.25">
      <c r="A79" t="s">
        <v>29</v>
      </c>
      <c r="B79">
        <v>30012</v>
      </c>
      <c r="C79" s="8">
        <v>45608</v>
      </c>
      <c r="D79" t="s">
        <v>977</v>
      </c>
      <c r="E79" s="11">
        <v>6</v>
      </c>
      <c r="F79" t="s">
        <v>805</v>
      </c>
      <c r="H79" s="12">
        <v>70000</v>
      </c>
      <c r="I79" s="9">
        <v>52348</v>
      </c>
      <c r="J79" s="15">
        <v>0.1</v>
      </c>
      <c r="K79" s="12">
        <v>0</v>
      </c>
      <c r="L79" s="12">
        <v>0</v>
      </c>
      <c r="M79" s="9">
        <v>0</v>
      </c>
      <c r="N79" s="12">
        <v>930.63111111111118</v>
      </c>
      <c r="O79">
        <v>64</v>
      </c>
      <c r="Q79" s="15">
        <f t="shared" si="3"/>
        <v>0.1</v>
      </c>
      <c r="R79" s="9">
        <f t="shared" si="4"/>
        <v>7000</v>
      </c>
      <c r="S79" s="9">
        <f t="shared" si="5"/>
        <v>7000</v>
      </c>
    </row>
    <row r="80" spans="1:19" x14ac:dyDescent="0.25">
      <c r="A80" t="s">
        <v>29</v>
      </c>
      <c r="B80">
        <v>30012</v>
      </c>
      <c r="C80" s="8">
        <v>45629</v>
      </c>
      <c r="D80" t="s">
        <v>926</v>
      </c>
      <c r="E80" s="11">
        <v>6</v>
      </c>
      <c r="F80" t="s">
        <v>805</v>
      </c>
      <c r="H80" s="12">
        <v>606593</v>
      </c>
      <c r="I80" s="9">
        <v>606593</v>
      </c>
      <c r="J80" s="15">
        <v>0.15</v>
      </c>
      <c r="K80" s="12">
        <v>0</v>
      </c>
      <c r="L80" s="12">
        <v>0</v>
      </c>
      <c r="M80" s="9">
        <v>0</v>
      </c>
      <c r="N80" s="12">
        <v>7329.6654166666658</v>
      </c>
      <c r="O80">
        <v>29</v>
      </c>
      <c r="Q80" s="15">
        <f t="shared" si="3"/>
        <v>0.15</v>
      </c>
      <c r="R80" s="9">
        <f t="shared" si="4"/>
        <v>90988.95</v>
      </c>
      <c r="S80" s="9">
        <f t="shared" si="5"/>
        <v>90988.95</v>
      </c>
    </row>
    <row r="81" spans="1:19" x14ac:dyDescent="0.25">
      <c r="A81" t="s">
        <v>1192</v>
      </c>
      <c r="B81">
        <v>30019</v>
      </c>
      <c r="C81" s="8">
        <v>45603</v>
      </c>
      <c r="D81" t="s">
        <v>1323</v>
      </c>
      <c r="E81" s="11">
        <v>6</v>
      </c>
      <c r="F81" t="s">
        <v>805</v>
      </c>
      <c r="G81" t="s">
        <v>1195</v>
      </c>
      <c r="H81" s="12">
        <v>101500</v>
      </c>
      <c r="I81" s="9">
        <v>0</v>
      </c>
      <c r="J81" s="15">
        <v>0.122727272727273</v>
      </c>
      <c r="K81" s="12">
        <v>6890</v>
      </c>
      <c r="L81" s="12">
        <v>5000</v>
      </c>
      <c r="M81" s="9">
        <v>0</v>
      </c>
      <c r="N81" s="12">
        <v>0</v>
      </c>
      <c r="O81">
        <v>0</v>
      </c>
      <c r="P81">
        <v>1</v>
      </c>
      <c r="Q81" s="15">
        <f t="shared" si="3"/>
        <v>0.19060904612628776</v>
      </c>
      <c r="R81" s="9">
        <f t="shared" si="4"/>
        <v>12456.818181818209</v>
      </c>
      <c r="S81" s="9">
        <f t="shared" si="5"/>
        <v>19346.818181818209</v>
      </c>
    </row>
    <row r="82" spans="1:19" x14ac:dyDescent="0.25">
      <c r="A82" t="s">
        <v>29</v>
      </c>
      <c r="B82">
        <v>30012</v>
      </c>
      <c r="C82" s="8">
        <v>45597</v>
      </c>
      <c r="D82" t="s">
        <v>1000</v>
      </c>
      <c r="E82" s="11">
        <v>6</v>
      </c>
      <c r="F82" t="s">
        <v>819</v>
      </c>
      <c r="H82" s="12">
        <v>101151</v>
      </c>
      <c r="I82" s="9">
        <v>101151</v>
      </c>
      <c r="J82" s="15">
        <v>0.15</v>
      </c>
      <c r="K82" s="12">
        <v>0</v>
      </c>
      <c r="L82" s="12">
        <v>0</v>
      </c>
      <c r="M82" s="9">
        <v>0</v>
      </c>
      <c r="N82" s="12">
        <v>2570.9212499999999</v>
      </c>
      <c r="O82">
        <v>61</v>
      </c>
      <c r="Q82" s="15">
        <f t="shared" si="3"/>
        <v>0.15</v>
      </c>
      <c r="R82" s="9">
        <f t="shared" si="4"/>
        <v>15172.65</v>
      </c>
      <c r="S82" s="9">
        <f t="shared" si="5"/>
        <v>15172.65</v>
      </c>
    </row>
    <row r="83" spans="1:19" x14ac:dyDescent="0.25">
      <c r="A83" t="s">
        <v>259</v>
      </c>
      <c r="B83" s="24">
        <v>30013</v>
      </c>
      <c r="C83" s="8">
        <v>45637</v>
      </c>
      <c r="D83" t="s">
        <v>1190</v>
      </c>
      <c r="E83" s="11" t="s">
        <v>201</v>
      </c>
      <c r="F83" t="s">
        <v>805</v>
      </c>
      <c r="G83" t="s">
        <v>1191</v>
      </c>
      <c r="H83" s="12">
        <v>4000000000</v>
      </c>
      <c r="I83" s="9">
        <v>3808703518</v>
      </c>
      <c r="J83" s="15">
        <v>4.4999999999999998E-2</v>
      </c>
      <c r="K83" s="12">
        <v>4756000</v>
      </c>
      <c r="L83" s="12">
        <v>0</v>
      </c>
      <c r="M83" s="9">
        <v>40023400</v>
      </c>
      <c r="N83" s="12">
        <v>17233056</v>
      </c>
      <c r="O83" s="9">
        <v>0</v>
      </c>
      <c r="P83">
        <v>1</v>
      </c>
      <c r="Q83" s="15">
        <f t="shared" si="3"/>
        <v>5.6194849999999998E-2</v>
      </c>
      <c r="R83" s="9">
        <f t="shared" si="4"/>
        <v>180000000</v>
      </c>
      <c r="S83" s="9">
        <f t="shared" si="5"/>
        <v>224779400</v>
      </c>
    </row>
    <row r="84" spans="1:19" x14ac:dyDescent="0.25">
      <c r="A84" t="s">
        <v>29</v>
      </c>
      <c r="B84">
        <v>30012</v>
      </c>
      <c r="C84" s="8">
        <v>45628</v>
      </c>
      <c r="D84" t="s">
        <v>929</v>
      </c>
      <c r="E84" s="11">
        <v>6</v>
      </c>
      <c r="F84" t="s">
        <v>805</v>
      </c>
      <c r="H84" s="12">
        <v>110005</v>
      </c>
      <c r="I84" s="9">
        <v>110005</v>
      </c>
      <c r="J84" s="15">
        <v>0.15</v>
      </c>
      <c r="K84" s="12">
        <v>0</v>
      </c>
      <c r="L84" s="12">
        <v>0</v>
      </c>
      <c r="M84" s="9">
        <v>0</v>
      </c>
      <c r="N84" s="12">
        <v>1375.0625</v>
      </c>
      <c r="O84">
        <v>30</v>
      </c>
      <c r="Q84" s="15">
        <f t="shared" si="3"/>
        <v>0.15</v>
      </c>
      <c r="R84" s="9">
        <f t="shared" si="4"/>
        <v>16500.75</v>
      </c>
      <c r="S84" s="9">
        <f t="shared" si="5"/>
        <v>16500.75</v>
      </c>
    </row>
    <row r="85" spans="1:19" x14ac:dyDescent="0.25">
      <c r="A85" t="s">
        <v>272</v>
      </c>
      <c r="B85">
        <v>30008</v>
      </c>
      <c r="C85" s="8">
        <v>45623</v>
      </c>
      <c r="D85" t="s">
        <v>812</v>
      </c>
      <c r="E85" s="11" t="s">
        <v>201</v>
      </c>
      <c r="F85" t="s">
        <v>274</v>
      </c>
      <c r="G85" t="s">
        <v>341</v>
      </c>
      <c r="H85" s="12">
        <v>40000000</v>
      </c>
      <c r="I85" s="9"/>
      <c r="J85" s="17">
        <v>0.12</v>
      </c>
      <c r="K85" s="12">
        <v>154570</v>
      </c>
      <c r="M85" s="12">
        <f>H85*(1.05/100)</f>
        <v>420000</v>
      </c>
      <c r="N85" s="12">
        <v>389770</v>
      </c>
      <c r="O85">
        <v>0</v>
      </c>
      <c r="P85">
        <v>1</v>
      </c>
      <c r="Q85" s="15">
        <f t="shared" si="3"/>
        <v>0.13436424999999999</v>
      </c>
      <c r="R85" s="9">
        <f t="shared" si="4"/>
        <v>4800000</v>
      </c>
      <c r="S85" s="9">
        <f t="shared" si="5"/>
        <v>5374570</v>
      </c>
    </row>
    <row r="86" spans="1:19" x14ac:dyDescent="0.25">
      <c r="A86" t="s">
        <v>1192</v>
      </c>
      <c r="B86">
        <v>30019</v>
      </c>
      <c r="C86" s="8">
        <v>45630</v>
      </c>
      <c r="D86" t="s">
        <v>741</v>
      </c>
      <c r="E86" s="11">
        <v>6</v>
      </c>
      <c r="F86" t="s">
        <v>805</v>
      </c>
      <c r="G86" t="s">
        <v>1195</v>
      </c>
      <c r="H86" s="12">
        <v>114000</v>
      </c>
      <c r="I86" s="9">
        <v>0</v>
      </c>
      <c r="J86" s="15">
        <v>0.13750000000000001</v>
      </c>
      <c r="K86" s="12">
        <v>6890</v>
      </c>
      <c r="L86" s="12">
        <v>5000</v>
      </c>
      <c r="M86" s="9">
        <v>0</v>
      </c>
      <c r="N86" s="12">
        <v>0</v>
      </c>
      <c r="O86">
        <v>0</v>
      </c>
      <c r="P86">
        <v>1</v>
      </c>
      <c r="Q86" s="15">
        <f t="shared" si="3"/>
        <v>0.19793859649122808</v>
      </c>
      <c r="R86" s="9">
        <f t="shared" si="4"/>
        <v>15675.000000000002</v>
      </c>
      <c r="S86" s="9">
        <f t="shared" si="5"/>
        <v>22565</v>
      </c>
    </row>
    <row r="87" spans="1:19" x14ac:dyDescent="0.25">
      <c r="A87" t="s">
        <v>210</v>
      </c>
      <c r="B87" t="s">
        <v>783</v>
      </c>
      <c r="C87" s="8">
        <v>45587</v>
      </c>
      <c r="D87" t="s">
        <v>1165</v>
      </c>
      <c r="E87" s="11">
        <v>6</v>
      </c>
      <c r="F87" t="s">
        <v>1166</v>
      </c>
      <c r="G87" t="s">
        <v>213</v>
      </c>
      <c r="H87" s="12">
        <v>80433</v>
      </c>
      <c r="I87" s="9">
        <v>80433</v>
      </c>
      <c r="J87" s="15">
        <v>0.14000000000000001</v>
      </c>
      <c r="K87" s="12">
        <v>4182.5160000000005</v>
      </c>
      <c r="M87" s="9">
        <v>790.49552400000005</v>
      </c>
      <c r="P87">
        <v>1</v>
      </c>
      <c r="Q87" s="15">
        <f t="shared" si="3"/>
        <v>0.20182800000000004</v>
      </c>
      <c r="R87" s="9">
        <f t="shared" si="4"/>
        <v>11260.62</v>
      </c>
      <c r="S87" s="9">
        <f t="shared" si="5"/>
        <v>16233.631524000002</v>
      </c>
    </row>
    <row r="88" spans="1:19" x14ac:dyDescent="0.25">
      <c r="A88" t="s">
        <v>1192</v>
      </c>
      <c r="B88">
        <v>30019</v>
      </c>
      <c r="C88" s="8">
        <v>45657</v>
      </c>
      <c r="D88" t="s">
        <v>1485</v>
      </c>
      <c r="E88" s="11">
        <v>6</v>
      </c>
      <c r="F88" t="s">
        <v>805</v>
      </c>
      <c r="G88" t="s">
        <v>1195</v>
      </c>
      <c r="H88" s="12">
        <v>90000</v>
      </c>
      <c r="I88" s="9">
        <v>0</v>
      </c>
      <c r="J88" s="15">
        <v>0.15</v>
      </c>
      <c r="K88" s="12">
        <v>6890</v>
      </c>
      <c r="L88" s="12">
        <v>5000</v>
      </c>
      <c r="M88" s="9">
        <v>0</v>
      </c>
      <c r="N88" s="12">
        <v>0</v>
      </c>
      <c r="O88">
        <v>0</v>
      </c>
      <c r="P88">
        <v>1</v>
      </c>
      <c r="Q88" s="15">
        <f t="shared" si="3"/>
        <v>0.22655555555555557</v>
      </c>
      <c r="R88" s="9">
        <f t="shared" si="4"/>
        <v>13500</v>
      </c>
      <c r="S88" s="9">
        <f t="shared" si="5"/>
        <v>20390</v>
      </c>
    </row>
    <row r="89" spans="1:19" x14ac:dyDescent="0.25">
      <c r="A89" t="s">
        <v>1192</v>
      </c>
      <c r="B89">
        <v>30019</v>
      </c>
      <c r="C89" s="8">
        <v>45636</v>
      </c>
      <c r="D89" t="s">
        <v>1440</v>
      </c>
      <c r="E89" s="11">
        <v>6</v>
      </c>
      <c r="F89" t="s">
        <v>819</v>
      </c>
      <c r="G89" t="s">
        <v>1195</v>
      </c>
      <c r="H89" s="12">
        <v>100000</v>
      </c>
      <c r="I89" s="9">
        <v>0</v>
      </c>
      <c r="J89" s="15">
        <v>0.15</v>
      </c>
      <c r="K89" s="12">
        <v>6890</v>
      </c>
      <c r="L89" s="12">
        <v>5000</v>
      </c>
      <c r="M89" s="9">
        <v>0</v>
      </c>
      <c r="N89" s="12">
        <v>0</v>
      </c>
      <c r="O89">
        <v>0</v>
      </c>
      <c r="P89">
        <v>1</v>
      </c>
      <c r="Q89" s="15">
        <f t="shared" si="3"/>
        <v>0.21890000000000001</v>
      </c>
      <c r="R89" s="9">
        <f t="shared" si="4"/>
        <v>15000</v>
      </c>
      <c r="S89" s="9">
        <f t="shared" si="5"/>
        <v>21890</v>
      </c>
    </row>
    <row r="90" spans="1:19" x14ac:dyDescent="0.25">
      <c r="A90" t="s">
        <v>1192</v>
      </c>
      <c r="B90">
        <v>30019</v>
      </c>
      <c r="C90" s="8">
        <v>45656</v>
      </c>
      <c r="D90" t="s">
        <v>1474</v>
      </c>
      <c r="E90" s="11">
        <v>6</v>
      </c>
      <c r="F90" t="s">
        <v>852</v>
      </c>
      <c r="G90" t="s">
        <v>1195</v>
      </c>
      <c r="H90" s="12">
        <v>80000</v>
      </c>
      <c r="I90" s="9">
        <v>0</v>
      </c>
      <c r="J90" s="15">
        <v>0.15</v>
      </c>
      <c r="K90" s="12">
        <v>6890</v>
      </c>
      <c r="L90" s="12">
        <v>5000</v>
      </c>
      <c r="M90" s="9">
        <v>0</v>
      </c>
      <c r="N90" s="12">
        <v>0</v>
      </c>
      <c r="O90">
        <v>0</v>
      </c>
      <c r="P90">
        <v>1</v>
      </c>
      <c r="Q90" s="15">
        <f t="shared" si="3"/>
        <v>0.236125</v>
      </c>
      <c r="R90" s="9">
        <f t="shared" si="4"/>
        <v>12000</v>
      </c>
      <c r="S90" s="9">
        <f t="shared" si="5"/>
        <v>18890</v>
      </c>
    </row>
    <row r="91" spans="1:19" x14ac:dyDescent="0.25">
      <c r="A91" t="s">
        <v>1192</v>
      </c>
      <c r="B91">
        <v>30019</v>
      </c>
      <c r="C91" s="8">
        <v>45603</v>
      </c>
      <c r="D91" t="s">
        <v>1326</v>
      </c>
      <c r="E91" s="11">
        <v>6</v>
      </c>
      <c r="F91" t="s">
        <v>805</v>
      </c>
      <c r="G91" t="s">
        <v>1195</v>
      </c>
      <c r="H91" s="12">
        <v>70000</v>
      </c>
      <c r="I91" s="9">
        <v>0</v>
      </c>
      <c r="J91" s="15">
        <v>0.15</v>
      </c>
      <c r="K91" s="12">
        <v>6890</v>
      </c>
      <c r="L91" s="12">
        <v>5000</v>
      </c>
      <c r="M91" s="9">
        <v>0</v>
      </c>
      <c r="N91" s="12">
        <v>0</v>
      </c>
      <c r="O91">
        <v>0</v>
      </c>
      <c r="P91">
        <v>1</v>
      </c>
      <c r="Q91" s="15">
        <f t="shared" si="3"/>
        <v>0.24842857142857142</v>
      </c>
      <c r="R91" s="9">
        <f t="shared" si="4"/>
        <v>10500</v>
      </c>
      <c r="S91" s="9">
        <f t="shared" si="5"/>
        <v>17390</v>
      </c>
    </row>
    <row r="92" spans="1:19" x14ac:dyDescent="0.25">
      <c r="A92" t="s">
        <v>29</v>
      </c>
      <c r="B92">
        <v>30012</v>
      </c>
      <c r="C92" s="8">
        <v>45615</v>
      </c>
      <c r="D92" t="s">
        <v>953</v>
      </c>
      <c r="E92" s="11">
        <v>6</v>
      </c>
      <c r="F92" t="s">
        <v>819</v>
      </c>
      <c r="H92" s="12">
        <v>80000</v>
      </c>
      <c r="I92" s="9">
        <v>3272743</v>
      </c>
      <c r="J92" s="15">
        <v>0.1</v>
      </c>
      <c r="K92" s="12">
        <v>0</v>
      </c>
      <c r="L92" s="12">
        <v>0</v>
      </c>
      <c r="M92" s="9">
        <v>0</v>
      </c>
      <c r="N92" s="12">
        <v>43636.573333333341</v>
      </c>
      <c r="O92">
        <v>48</v>
      </c>
      <c r="Q92" s="15">
        <f t="shared" si="3"/>
        <v>0.1</v>
      </c>
      <c r="R92" s="9">
        <f t="shared" si="4"/>
        <v>8000</v>
      </c>
      <c r="S92" s="9">
        <f t="shared" si="5"/>
        <v>8000</v>
      </c>
    </row>
    <row r="93" spans="1:19" x14ac:dyDescent="0.25">
      <c r="A93" t="s">
        <v>29</v>
      </c>
      <c r="B93">
        <v>30012</v>
      </c>
      <c r="C93" s="8">
        <v>45653</v>
      </c>
      <c r="D93" t="s">
        <v>834</v>
      </c>
      <c r="E93" s="11" t="s">
        <v>205</v>
      </c>
      <c r="F93" t="s">
        <v>805</v>
      </c>
      <c r="G93" t="s">
        <v>835</v>
      </c>
      <c r="H93" s="12">
        <v>11527343</v>
      </c>
      <c r="I93" s="9">
        <v>11527343</v>
      </c>
      <c r="J93" s="15">
        <v>0.15</v>
      </c>
      <c r="K93" s="12">
        <v>0</v>
      </c>
      <c r="L93" s="12">
        <v>0</v>
      </c>
      <c r="M93" s="9">
        <v>0</v>
      </c>
      <c r="N93" s="12">
        <v>24015.297916666666</v>
      </c>
      <c r="O93">
        <v>5</v>
      </c>
      <c r="Q93" s="15">
        <f t="shared" si="3"/>
        <v>0.15</v>
      </c>
      <c r="R93" s="9">
        <f t="shared" si="4"/>
        <v>1729101.45</v>
      </c>
      <c r="S93" s="9">
        <f t="shared" si="5"/>
        <v>1729101.45</v>
      </c>
    </row>
    <row r="94" spans="1:19" x14ac:dyDescent="0.25">
      <c r="A94" t="s">
        <v>29</v>
      </c>
      <c r="B94">
        <v>30012</v>
      </c>
      <c r="C94" s="8">
        <v>45646</v>
      </c>
      <c r="D94" t="s">
        <v>856</v>
      </c>
      <c r="E94" s="11" t="s">
        <v>205</v>
      </c>
      <c r="F94" t="s">
        <v>805</v>
      </c>
      <c r="G94" t="s">
        <v>202</v>
      </c>
      <c r="H94" s="12">
        <v>172066</v>
      </c>
      <c r="I94" s="9">
        <v>172066</v>
      </c>
      <c r="J94" s="15">
        <v>0.15</v>
      </c>
      <c r="K94" s="12">
        <v>0</v>
      </c>
      <c r="L94" s="12">
        <v>0</v>
      </c>
      <c r="M94" s="9">
        <v>0</v>
      </c>
      <c r="N94" s="12">
        <v>860.32999999999993</v>
      </c>
      <c r="O94">
        <v>12</v>
      </c>
      <c r="Q94" s="15">
        <f t="shared" si="3"/>
        <v>0.15</v>
      </c>
      <c r="R94" s="9">
        <f t="shared" si="4"/>
        <v>25809.899999999998</v>
      </c>
      <c r="S94" s="9">
        <f t="shared" si="5"/>
        <v>25809.899999999998</v>
      </c>
    </row>
    <row r="95" spans="1:19" x14ac:dyDescent="0.25">
      <c r="A95" t="s">
        <v>1192</v>
      </c>
      <c r="B95">
        <v>30019</v>
      </c>
      <c r="C95" s="8">
        <v>45602</v>
      </c>
      <c r="D95" t="s">
        <v>1319</v>
      </c>
      <c r="E95" s="11">
        <v>6</v>
      </c>
      <c r="F95" t="s">
        <v>805</v>
      </c>
      <c r="G95" t="s">
        <v>1194</v>
      </c>
      <c r="H95" s="12">
        <v>78000</v>
      </c>
      <c r="I95" s="9">
        <v>0</v>
      </c>
      <c r="J95" s="15">
        <v>0.15</v>
      </c>
      <c r="K95" s="12">
        <v>6890</v>
      </c>
      <c r="L95" s="12">
        <v>5000</v>
      </c>
      <c r="M95" s="9">
        <v>0</v>
      </c>
      <c r="N95" s="12">
        <v>0</v>
      </c>
      <c r="O95">
        <v>0</v>
      </c>
      <c r="P95">
        <v>1</v>
      </c>
      <c r="Q95" s="15">
        <f t="shared" si="3"/>
        <v>0.23833333333333334</v>
      </c>
      <c r="R95" s="9">
        <f t="shared" si="4"/>
        <v>11700</v>
      </c>
      <c r="S95" s="9">
        <f t="shared" si="5"/>
        <v>18590</v>
      </c>
    </row>
    <row r="96" spans="1:19" x14ac:dyDescent="0.25">
      <c r="A96" t="s">
        <v>29</v>
      </c>
      <c r="B96">
        <v>30012</v>
      </c>
      <c r="C96" s="8">
        <v>45566</v>
      </c>
      <c r="D96" t="s">
        <v>1116</v>
      </c>
      <c r="E96" s="11">
        <v>6</v>
      </c>
      <c r="F96" t="s">
        <v>805</v>
      </c>
      <c r="H96" s="12">
        <v>352786</v>
      </c>
      <c r="I96" s="9">
        <v>352786</v>
      </c>
      <c r="J96" s="15">
        <v>0.15</v>
      </c>
      <c r="K96" s="12">
        <v>0</v>
      </c>
      <c r="L96" s="12">
        <v>0</v>
      </c>
      <c r="M96" s="9">
        <v>0</v>
      </c>
      <c r="N96" s="12">
        <v>13523.463333333333</v>
      </c>
      <c r="O96">
        <v>92</v>
      </c>
      <c r="Q96" s="15">
        <f t="shared" si="3"/>
        <v>0.15</v>
      </c>
      <c r="R96" s="9">
        <f t="shared" si="4"/>
        <v>52917.9</v>
      </c>
      <c r="S96" s="9">
        <f t="shared" si="5"/>
        <v>52917.9</v>
      </c>
    </row>
    <row r="97" spans="1:19" x14ac:dyDescent="0.25">
      <c r="A97" t="s">
        <v>1192</v>
      </c>
      <c r="B97">
        <v>30019</v>
      </c>
      <c r="C97" s="8">
        <v>45656</v>
      </c>
      <c r="D97" t="s">
        <v>1473</v>
      </c>
      <c r="E97" s="11">
        <v>6</v>
      </c>
      <c r="F97" t="s">
        <v>805</v>
      </c>
      <c r="G97" t="s">
        <v>1194</v>
      </c>
      <c r="H97" s="12">
        <v>100500</v>
      </c>
      <c r="I97" s="9">
        <v>0</v>
      </c>
      <c r="J97" s="15">
        <v>0.15</v>
      </c>
      <c r="K97" s="12">
        <v>6890</v>
      </c>
      <c r="L97" s="12">
        <v>5000</v>
      </c>
      <c r="M97" s="9">
        <v>0</v>
      </c>
      <c r="N97" s="12">
        <v>0</v>
      </c>
      <c r="O97">
        <v>0</v>
      </c>
      <c r="P97">
        <v>1</v>
      </c>
      <c r="Q97" s="15">
        <f t="shared" si="3"/>
        <v>0.21855721393034827</v>
      </c>
      <c r="R97" s="9">
        <f t="shared" si="4"/>
        <v>15075</v>
      </c>
      <c r="S97" s="9">
        <f t="shared" si="5"/>
        <v>21965</v>
      </c>
    </row>
    <row r="98" spans="1:19" x14ac:dyDescent="0.25">
      <c r="A98" t="s">
        <v>29</v>
      </c>
      <c r="B98">
        <v>30012</v>
      </c>
      <c r="C98" s="8">
        <v>45567</v>
      </c>
      <c r="D98" t="s">
        <v>1109</v>
      </c>
      <c r="E98" s="11">
        <v>6</v>
      </c>
      <c r="F98" t="s">
        <v>819</v>
      </c>
      <c r="H98" s="12">
        <v>211064</v>
      </c>
      <c r="I98" s="9">
        <v>211064</v>
      </c>
      <c r="J98" s="15">
        <v>0.15</v>
      </c>
      <c r="K98" s="12">
        <v>0</v>
      </c>
      <c r="L98" s="12">
        <v>0</v>
      </c>
      <c r="M98" s="9">
        <v>0</v>
      </c>
      <c r="N98" s="12">
        <v>8002.8433333333332</v>
      </c>
      <c r="O98">
        <v>91</v>
      </c>
      <c r="Q98" s="15">
        <f t="shared" si="3"/>
        <v>0.15</v>
      </c>
      <c r="R98" s="9">
        <f t="shared" si="4"/>
        <v>31659.599999999999</v>
      </c>
      <c r="S98" s="9">
        <f t="shared" si="5"/>
        <v>31659.599999999999</v>
      </c>
    </row>
    <row r="99" spans="1:19" x14ac:dyDescent="0.25">
      <c r="A99" t="s">
        <v>1192</v>
      </c>
      <c r="B99">
        <v>30019</v>
      </c>
      <c r="C99" s="8">
        <v>45589</v>
      </c>
      <c r="D99" t="s">
        <v>1292</v>
      </c>
      <c r="E99" s="11">
        <v>6</v>
      </c>
      <c r="F99" t="s">
        <v>805</v>
      </c>
      <c r="H99" s="12">
        <v>386000</v>
      </c>
      <c r="I99" s="9">
        <v>0</v>
      </c>
      <c r="J99" s="15">
        <v>0.12</v>
      </c>
      <c r="K99" s="12">
        <v>6890</v>
      </c>
      <c r="L99" s="12">
        <v>5000</v>
      </c>
      <c r="M99" s="9">
        <v>0</v>
      </c>
      <c r="N99" s="12">
        <v>0</v>
      </c>
      <c r="O99">
        <v>0</v>
      </c>
      <c r="P99">
        <v>1</v>
      </c>
      <c r="Q99" s="15">
        <f t="shared" si="3"/>
        <v>0.13784974093264249</v>
      </c>
      <c r="R99" s="9">
        <f t="shared" si="4"/>
        <v>46320</v>
      </c>
      <c r="S99" s="9">
        <f t="shared" si="5"/>
        <v>53210</v>
      </c>
    </row>
    <row r="100" spans="1:19" x14ac:dyDescent="0.25">
      <c r="A100" t="s">
        <v>1192</v>
      </c>
      <c r="B100">
        <v>30019</v>
      </c>
      <c r="C100" s="8">
        <v>45636</v>
      </c>
      <c r="D100" t="s">
        <v>1439</v>
      </c>
      <c r="E100" s="11">
        <v>6</v>
      </c>
      <c r="F100" t="s">
        <v>819</v>
      </c>
      <c r="G100" t="s">
        <v>1229</v>
      </c>
      <c r="H100" s="12">
        <v>115000</v>
      </c>
      <c r="I100" s="9">
        <v>0</v>
      </c>
      <c r="J100" s="15">
        <v>0.13750000000000001</v>
      </c>
      <c r="K100" s="12">
        <v>6890</v>
      </c>
      <c r="L100" s="12">
        <v>5000</v>
      </c>
      <c r="M100" s="9">
        <v>0</v>
      </c>
      <c r="N100" s="12">
        <v>0</v>
      </c>
      <c r="O100">
        <v>0</v>
      </c>
      <c r="P100">
        <v>1</v>
      </c>
      <c r="Q100" s="15">
        <f t="shared" si="3"/>
        <v>0.19741304347826086</v>
      </c>
      <c r="R100" s="9">
        <f t="shared" si="4"/>
        <v>15812.500000000002</v>
      </c>
      <c r="S100" s="9">
        <f t="shared" si="5"/>
        <v>22702.5</v>
      </c>
    </row>
    <row r="101" spans="1:19" x14ac:dyDescent="0.25">
      <c r="A101" t="s">
        <v>29</v>
      </c>
      <c r="B101">
        <v>30012</v>
      </c>
      <c r="C101" s="8">
        <v>45597</v>
      </c>
      <c r="D101" t="s">
        <v>664</v>
      </c>
      <c r="E101" s="11">
        <v>6</v>
      </c>
      <c r="F101" t="s">
        <v>819</v>
      </c>
      <c r="H101" s="12">
        <v>56797</v>
      </c>
      <c r="I101" s="9">
        <v>56797</v>
      </c>
      <c r="J101" s="15">
        <v>0.15</v>
      </c>
      <c r="K101" s="12">
        <v>0</v>
      </c>
      <c r="L101" s="12">
        <v>0</v>
      </c>
      <c r="M101" s="9">
        <v>0</v>
      </c>
      <c r="N101" s="12">
        <v>1443.5904166666664</v>
      </c>
      <c r="O101">
        <v>61</v>
      </c>
      <c r="Q101" s="15">
        <f t="shared" si="3"/>
        <v>0.15</v>
      </c>
      <c r="R101" s="9">
        <f t="shared" si="4"/>
        <v>8519.5499999999993</v>
      </c>
      <c r="S101" s="9">
        <f t="shared" si="5"/>
        <v>8519.5499999999993</v>
      </c>
    </row>
    <row r="102" spans="1:19" x14ac:dyDescent="0.25">
      <c r="A102" t="s">
        <v>1192</v>
      </c>
      <c r="B102">
        <v>30019</v>
      </c>
      <c r="C102" s="8">
        <v>45568</v>
      </c>
      <c r="D102" t="s">
        <v>1212</v>
      </c>
      <c r="E102" s="11">
        <v>6</v>
      </c>
      <c r="F102" t="s">
        <v>805</v>
      </c>
      <c r="G102" t="s">
        <v>1194</v>
      </c>
      <c r="H102" s="12">
        <v>181000</v>
      </c>
      <c r="I102" s="9">
        <v>0</v>
      </c>
      <c r="J102" s="15">
        <v>0.15</v>
      </c>
      <c r="K102" s="12">
        <v>6890</v>
      </c>
      <c r="L102" s="12">
        <v>5000</v>
      </c>
      <c r="M102" s="9">
        <v>0</v>
      </c>
      <c r="N102" s="12">
        <v>0</v>
      </c>
      <c r="O102">
        <v>0</v>
      </c>
      <c r="P102">
        <v>1</v>
      </c>
      <c r="Q102" s="15">
        <f t="shared" si="3"/>
        <v>0.18806629834254143</v>
      </c>
      <c r="R102" s="9">
        <f t="shared" si="4"/>
        <v>27150</v>
      </c>
      <c r="S102" s="9">
        <f t="shared" si="5"/>
        <v>34040</v>
      </c>
    </row>
    <row r="103" spans="1:19" x14ac:dyDescent="0.25">
      <c r="A103" t="s">
        <v>1192</v>
      </c>
      <c r="B103">
        <v>30019</v>
      </c>
      <c r="C103" s="8">
        <v>45568</v>
      </c>
      <c r="D103" t="s">
        <v>1211</v>
      </c>
      <c r="E103" s="11">
        <v>6</v>
      </c>
      <c r="F103" t="s">
        <v>805</v>
      </c>
      <c r="G103" t="s">
        <v>1194</v>
      </c>
      <c r="H103" s="12">
        <v>182000</v>
      </c>
      <c r="I103" s="9">
        <v>0</v>
      </c>
      <c r="J103" s="15">
        <v>0.15</v>
      </c>
      <c r="K103" s="12">
        <v>6890</v>
      </c>
      <c r="L103" s="12">
        <v>5000</v>
      </c>
      <c r="M103" s="9">
        <v>0</v>
      </c>
      <c r="N103" s="12">
        <v>0</v>
      </c>
      <c r="O103">
        <v>0</v>
      </c>
      <c r="P103">
        <v>1</v>
      </c>
      <c r="Q103" s="15">
        <f t="shared" si="3"/>
        <v>0.18785714285714286</v>
      </c>
      <c r="R103" s="9">
        <f t="shared" si="4"/>
        <v>27300</v>
      </c>
      <c r="S103" s="9">
        <f t="shared" si="5"/>
        <v>34190</v>
      </c>
    </row>
    <row r="104" spans="1:19" x14ac:dyDescent="0.25">
      <c r="A104" t="s">
        <v>1192</v>
      </c>
      <c r="B104">
        <v>30019</v>
      </c>
      <c r="C104" s="8">
        <v>45630</v>
      </c>
      <c r="D104" t="s">
        <v>1407</v>
      </c>
      <c r="E104" s="11">
        <v>6</v>
      </c>
      <c r="F104" t="s">
        <v>1196</v>
      </c>
      <c r="G104" t="s">
        <v>1194</v>
      </c>
      <c r="H104" s="12">
        <v>94000</v>
      </c>
      <c r="I104" s="9">
        <v>0</v>
      </c>
      <c r="J104" s="15">
        <v>0.15</v>
      </c>
      <c r="K104" s="12">
        <v>6890</v>
      </c>
      <c r="L104" s="12">
        <v>5000</v>
      </c>
      <c r="M104" s="9">
        <v>0</v>
      </c>
      <c r="N104" s="12">
        <v>0</v>
      </c>
      <c r="O104">
        <v>0</v>
      </c>
      <c r="P104">
        <v>1</v>
      </c>
      <c r="Q104" s="15">
        <f t="shared" si="3"/>
        <v>0.22329787234042553</v>
      </c>
      <c r="R104" s="9">
        <f t="shared" si="4"/>
        <v>14100</v>
      </c>
      <c r="S104" s="9">
        <f t="shared" si="5"/>
        <v>20990</v>
      </c>
    </row>
    <row r="105" spans="1:19" x14ac:dyDescent="0.25">
      <c r="A105" t="s">
        <v>29</v>
      </c>
      <c r="B105">
        <v>30012</v>
      </c>
      <c r="C105" s="8">
        <v>45589</v>
      </c>
      <c r="D105" t="s">
        <v>1037</v>
      </c>
      <c r="E105" s="11">
        <v>6</v>
      </c>
      <c r="F105" t="s">
        <v>819</v>
      </c>
      <c r="H105" s="12">
        <v>62000</v>
      </c>
      <c r="I105" s="9">
        <v>62803</v>
      </c>
      <c r="J105" s="15">
        <v>0.1</v>
      </c>
      <c r="K105" s="12">
        <v>0</v>
      </c>
      <c r="L105" s="12">
        <v>0</v>
      </c>
      <c r="M105" s="9">
        <v>0</v>
      </c>
      <c r="N105" s="12">
        <v>1395.6222222222223</v>
      </c>
      <c r="O105">
        <v>80</v>
      </c>
      <c r="Q105" s="15">
        <f t="shared" si="3"/>
        <v>0.1</v>
      </c>
      <c r="R105" s="9">
        <f t="shared" si="4"/>
        <v>6200</v>
      </c>
      <c r="S105" s="9">
        <f t="shared" si="5"/>
        <v>6200</v>
      </c>
    </row>
    <row r="106" spans="1:19" x14ac:dyDescent="0.25">
      <c r="A106" t="s">
        <v>670</v>
      </c>
      <c r="B106">
        <v>30018</v>
      </c>
      <c r="C106" s="8">
        <v>45631</v>
      </c>
      <c r="D106" t="s">
        <v>1130</v>
      </c>
      <c r="E106" s="11">
        <v>6</v>
      </c>
      <c r="F106" t="s">
        <v>819</v>
      </c>
      <c r="G106" t="s">
        <v>675</v>
      </c>
      <c r="H106" s="12">
        <v>500000</v>
      </c>
      <c r="I106" s="9">
        <v>0</v>
      </c>
      <c r="J106" s="15">
        <v>0.15</v>
      </c>
      <c r="K106" s="12">
        <v>8000</v>
      </c>
      <c r="L106" s="12">
        <v>9625</v>
      </c>
      <c r="M106" s="9">
        <v>37000</v>
      </c>
      <c r="N106" s="12">
        <v>9726</v>
      </c>
      <c r="O106">
        <v>12</v>
      </c>
      <c r="P106">
        <v>1</v>
      </c>
      <c r="Q106" s="15">
        <f t="shared" si="3"/>
        <v>0.24</v>
      </c>
      <c r="R106" s="9">
        <f t="shared" si="4"/>
        <v>75000</v>
      </c>
      <c r="S106" s="9">
        <f t="shared" si="5"/>
        <v>120000</v>
      </c>
    </row>
    <row r="107" spans="1:19" x14ac:dyDescent="0.25">
      <c r="A107" t="s">
        <v>29</v>
      </c>
      <c r="B107">
        <v>30012</v>
      </c>
      <c r="C107" s="8">
        <v>45582</v>
      </c>
      <c r="D107" t="s">
        <v>1054</v>
      </c>
      <c r="E107" s="11">
        <v>6</v>
      </c>
      <c r="F107" t="s">
        <v>819</v>
      </c>
      <c r="H107" s="12">
        <v>70000</v>
      </c>
      <c r="I107" s="9">
        <v>43436</v>
      </c>
      <c r="J107" s="15">
        <v>0.1</v>
      </c>
      <c r="K107" s="12">
        <v>0</v>
      </c>
      <c r="L107" s="12">
        <v>0</v>
      </c>
      <c r="M107" s="9">
        <v>0</v>
      </c>
      <c r="N107" s="12">
        <v>965.24444444444441</v>
      </c>
      <c r="O107">
        <v>80</v>
      </c>
      <c r="Q107" s="15">
        <f t="shared" si="3"/>
        <v>0.1</v>
      </c>
      <c r="R107" s="9">
        <f t="shared" si="4"/>
        <v>7000</v>
      </c>
      <c r="S107" s="9">
        <f t="shared" si="5"/>
        <v>7000</v>
      </c>
    </row>
    <row r="108" spans="1:19" x14ac:dyDescent="0.25">
      <c r="A108" t="s">
        <v>29</v>
      </c>
      <c r="B108">
        <v>30012</v>
      </c>
      <c r="C108" s="8">
        <v>45642</v>
      </c>
      <c r="D108" t="s">
        <v>867</v>
      </c>
      <c r="E108" s="11">
        <v>6</v>
      </c>
      <c r="F108" t="s">
        <v>819</v>
      </c>
      <c r="H108" s="12">
        <v>110000</v>
      </c>
      <c r="I108" s="9">
        <v>111960</v>
      </c>
      <c r="J108" s="15">
        <v>0.1</v>
      </c>
      <c r="K108" s="12">
        <v>0</v>
      </c>
      <c r="L108" s="12">
        <v>0</v>
      </c>
      <c r="M108" s="9">
        <v>0</v>
      </c>
      <c r="N108" s="12">
        <v>2799</v>
      </c>
      <c r="O108">
        <v>90</v>
      </c>
      <c r="Q108" s="15">
        <f t="shared" si="3"/>
        <v>0.1</v>
      </c>
      <c r="R108" s="9">
        <f t="shared" si="4"/>
        <v>11000</v>
      </c>
      <c r="S108" s="9">
        <f t="shared" si="5"/>
        <v>11000</v>
      </c>
    </row>
    <row r="109" spans="1:19" x14ac:dyDescent="0.25">
      <c r="A109" t="s">
        <v>29</v>
      </c>
      <c r="B109">
        <v>30012</v>
      </c>
      <c r="C109" s="8">
        <v>45656</v>
      </c>
      <c r="D109" t="s">
        <v>831</v>
      </c>
      <c r="E109" s="11">
        <v>6</v>
      </c>
      <c r="F109" t="s">
        <v>819</v>
      </c>
      <c r="H109" s="12">
        <v>80000</v>
      </c>
      <c r="I109" s="9">
        <v>80983</v>
      </c>
      <c r="J109" s="15">
        <v>0.1</v>
      </c>
      <c r="K109" s="12">
        <v>0</v>
      </c>
      <c r="L109" s="12">
        <v>0</v>
      </c>
      <c r="M109" s="9">
        <v>0</v>
      </c>
      <c r="N109" s="12">
        <v>1417.2025000000001</v>
      </c>
      <c r="O109">
        <v>63</v>
      </c>
      <c r="Q109" s="15">
        <f t="shared" si="3"/>
        <v>0.1</v>
      </c>
      <c r="R109" s="9">
        <f t="shared" si="4"/>
        <v>8000</v>
      </c>
      <c r="S109" s="9">
        <f t="shared" si="5"/>
        <v>8000</v>
      </c>
    </row>
    <row r="110" spans="1:19" x14ac:dyDescent="0.25">
      <c r="A110" t="s">
        <v>29</v>
      </c>
      <c r="B110">
        <v>30012</v>
      </c>
      <c r="C110" s="8">
        <v>45645</v>
      </c>
      <c r="D110" t="s">
        <v>860</v>
      </c>
      <c r="E110" s="11" t="s">
        <v>205</v>
      </c>
      <c r="F110" t="s">
        <v>805</v>
      </c>
      <c r="G110" t="s">
        <v>202</v>
      </c>
      <c r="H110" s="12">
        <v>114124</v>
      </c>
      <c r="I110" s="9">
        <v>114124</v>
      </c>
      <c r="J110" s="15">
        <v>0.15</v>
      </c>
      <c r="K110" s="12">
        <v>0</v>
      </c>
      <c r="L110" s="12">
        <v>0</v>
      </c>
      <c r="M110" s="9">
        <v>0</v>
      </c>
      <c r="N110" s="12">
        <v>618.17166666666662</v>
      </c>
      <c r="O110">
        <v>13</v>
      </c>
      <c r="Q110" s="15">
        <f t="shared" si="3"/>
        <v>0.15</v>
      </c>
      <c r="R110" s="9">
        <f t="shared" si="4"/>
        <v>17118.599999999999</v>
      </c>
      <c r="S110" s="9">
        <f t="shared" si="5"/>
        <v>17118.599999999999</v>
      </c>
    </row>
    <row r="111" spans="1:19" x14ac:dyDescent="0.25">
      <c r="A111" t="s">
        <v>1496</v>
      </c>
      <c r="B111" t="s">
        <v>764</v>
      </c>
      <c r="C111" s="8">
        <v>45615</v>
      </c>
      <c r="D111" t="s">
        <v>1501</v>
      </c>
      <c r="E111" s="11" t="s">
        <v>201</v>
      </c>
      <c r="F111" t="s">
        <v>819</v>
      </c>
      <c r="G111" t="s">
        <v>735</v>
      </c>
      <c r="H111" s="12">
        <v>100000000</v>
      </c>
      <c r="I111" s="9">
        <v>799579</v>
      </c>
      <c r="J111" s="15">
        <v>9.5000000000000001E-2</v>
      </c>
      <c r="K111" s="12">
        <v>1000000</v>
      </c>
      <c r="L111" s="12">
        <v>0</v>
      </c>
      <c r="M111" s="9">
        <v>0</v>
      </c>
      <c r="N111" s="12">
        <v>0</v>
      </c>
      <c r="O111">
        <v>1</v>
      </c>
      <c r="P111">
        <v>1</v>
      </c>
      <c r="Q111" s="15">
        <f t="shared" si="3"/>
        <v>0.105</v>
      </c>
      <c r="R111" s="9">
        <f t="shared" si="4"/>
        <v>9500000</v>
      </c>
      <c r="S111" s="9">
        <f t="shared" si="5"/>
        <v>10500000</v>
      </c>
    </row>
    <row r="112" spans="1:19" x14ac:dyDescent="0.25">
      <c r="A112" t="s">
        <v>29</v>
      </c>
      <c r="B112">
        <v>30012</v>
      </c>
      <c r="C112" s="8">
        <v>45629</v>
      </c>
      <c r="D112" t="s">
        <v>923</v>
      </c>
      <c r="E112" s="11">
        <v>6</v>
      </c>
      <c r="F112" t="s">
        <v>805</v>
      </c>
      <c r="H112" s="12">
        <v>294207</v>
      </c>
      <c r="I112" s="9">
        <v>294207</v>
      </c>
      <c r="J112" s="15">
        <v>0.15</v>
      </c>
      <c r="K112" s="12">
        <v>0</v>
      </c>
      <c r="L112" s="12">
        <v>0</v>
      </c>
      <c r="M112" s="9">
        <v>0</v>
      </c>
      <c r="N112" s="12">
        <v>3555.0012499999998</v>
      </c>
      <c r="O112">
        <v>29</v>
      </c>
      <c r="Q112" s="15">
        <f t="shared" si="3"/>
        <v>0.15</v>
      </c>
      <c r="R112" s="9">
        <f t="shared" si="4"/>
        <v>44131.049999999996</v>
      </c>
      <c r="S112" s="9">
        <f t="shared" si="5"/>
        <v>44131.049999999996</v>
      </c>
    </row>
    <row r="113" spans="1:19" x14ac:dyDescent="0.25">
      <c r="A113" t="s">
        <v>29</v>
      </c>
      <c r="B113">
        <v>30012</v>
      </c>
      <c r="C113" s="8">
        <v>45567</v>
      </c>
      <c r="D113" t="s">
        <v>1099</v>
      </c>
      <c r="E113" s="11">
        <v>6</v>
      </c>
      <c r="F113" t="s">
        <v>805</v>
      </c>
      <c r="H113" s="12">
        <v>51127</v>
      </c>
      <c r="I113" s="9">
        <v>51127</v>
      </c>
      <c r="J113" s="15">
        <v>0.15</v>
      </c>
      <c r="K113" s="12">
        <v>0</v>
      </c>
      <c r="L113" s="12">
        <v>0</v>
      </c>
      <c r="M113" s="9">
        <v>0</v>
      </c>
      <c r="N113" s="12">
        <v>1938.5654166666666</v>
      </c>
      <c r="O113">
        <v>91</v>
      </c>
      <c r="Q113" s="15">
        <f t="shared" si="3"/>
        <v>0.15</v>
      </c>
      <c r="R113" s="9">
        <f t="shared" si="4"/>
        <v>7669.0499999999993</v>
      </c>
      <c r="S113" s="9">
        <f t="shared" si="5"/>
        <v>7669.0499999999993</v>
      </c>
    </row>
    <row r="114" spans="1:19" x14ac:dyDescent="0.25">
      <c r="A114" t="s">
        <v>210</v>
      </c>
      <c r="B114" t="s">
        <v>783</v>
      </c>
      <c r="C114" s="8">
        <v>45575</v>
      </c>
      <c r="D114" t="s">
        <v>1164</v>
      </c>
      <c r="E114" s="11">
        <v>6</v>
      </c>
      <c r="F114" t="s">
        <v>805</v>
      </c>
      <c r="G114" t="s">
        <v>213</v>
      </c>
      <c r="H114" s="12">
        <v>78000</v>
      </c>
      <c r="I114" s="9">
        <v>78000</v>
      </c>
      <c r="J114" s="15">
        <v>0.14000000000000001</v>
      </c>
      <c r="K114" s="12">
        <v>4056.0000000000005</v>
      </c>
      <c r="M114" s="9">
        <v>766.58400000000006</v>
      </c>
      <c r="P114">
        <v>1</v>
      </c>
      <c r="Q114" s="15">
        <f t="shared" si="3"/>
        <v>0.20182800000000004</v>
      </c>
      <c r="R114" s="9">
        <f t="shared" si="4"/>
        <v>10920.000000000002</v>
      </c>
      <c r="S114" s="9">
        <f t="shared" si="5"/>
        <v>15742.584000000003</v>
      </c>
    </row>
    <row r="115" spans="1:19" x14ac:dyDescent="0.25">
      <c r="A115" t="s">
        <v>29</v>
      </c>
      <c r="B115">
        <v>30012</v>
      </c>
      <c r="C115" s="8">
        <v>45601</v>
      </c>
      <c r="D115" t="s">
        <v>988</v>
      </c>
      <c r="E115" s="11">
        <v>6</v>
      </c>
      <c r="F115" t="s">
        <v>819</v>
      </c>
      <c r="H115" s="12">
        <v>102887</v>
      </c>
      <c r="I115" s="9">
        <v>102887</v>
      </c>
      <c r="J115" s="15">
        <v>0.15</v>
      </c>
      <c r="K115" s="12">
        <v>0</v>
      </c>
      <c r="L115" s="12">
        <v>0</v>
      </c>
      <c r="M115" s="9">
        <v>0</v>
      </c>
      <c r="N115" s="12">
        <v>2443.5662499999999</v>
      </c>
      <c r="O115">
        <v>57</v>
      </c>
      <c r="Q115" s="15">
        <f t="shared" si="3"/>
        <v>0.15</v>
      </c>
      <c r="R115" s="9">
        <f t="shared" si="4"/>
        <v>15433.05</v>
      </c>
      <c r="S115" s="9">
        <f t="shared" si="5"/>
        <v>15433.05</v>
      </c>
    </row>
    <row r="116" spans="1:19" x14ac:dyDescent="0.25">
      <c r="A116" t="s">
        <v>29</v>
      </c>
      <c r="B116">
        <v>30012</v>
      </c>
      <c r="C116" s="8">
        <v>45574</v>
      </c>
      <c r="D116" t="s">
        <v>1079</v>
      </c>
      <c r="E116" s="11">
        <v>6</v>
      </c>
      <c r="F116" t="s">
        <v>819</v>
      </c>
      <c r="H116" s="12">
        <v>50000</v>
      </c>
      <c r="I116" s="9">
        <v>105826</v>
      </c>
      <c r="J116" s="15">
        <v>0.1</v>
      </c>
      <c r="K116" s="12">
        <v>0</v>
      </c>
      <c r="L116" s="12">
        <v>0</v>
      </c>
      <c r="M116" s="9">
        <v>0</v>
      </c>
      <c r="N116" s="12">
        <v>2704.4422222222224</v>
      </c>
      <c r="O116">
        <v>92</v>
      </c>
      <c r="Q116" s="15">
        <f t="shared" si="3"/>
        <v>0.1</v>
      </c>
      <c r="R116" s="9">
        <f t="shared" si="4"/>
        <v>5000</v>
      </c>
      <c r="S116" s="9">
        <f t="shared" si="5"/>
        <v>5000</v>
      </c>
    </row>
    <row r="117" spans="1:19" x14ac:dyDescent="0.25">
      <c r="A117" t="s">
        <v>29</v>
      </c>
      <c r="B117">
        <v>30012</v>
      </c>
      <c r="C117" s="8">
        <v>45597</v>
      </c>
      <c r="D117" t="s">
        <v>999</v>
      </c>
      <c r="E117" s="11">
        <v>6</v>
      </c>
      <c r="F117" t="s">
        <v>805</v>
      </c>
      <c r="H117" s="12">
        <v>98917</v>
      </c>
      <c r="I117" s="9">
        <v>98917</v>
      </c>
      <c r="J117" s="15">
        <v>0.15</v>
      </c>
      <c r="K117" s="12">
        <v>0</v>
      </c>
      <c r="L117" s="12">
        <v>0</v>
      </c>
      <c r="M117" s="9">
        <v>0</v>
      </c>
      <c r="N117" s="12">
        <v>2514.1404166666666</v>
      </c>
      <c r="O117">
        <v>61</v>
      </c>
      <c r="Q117" s="15">
        <f t="shared" si="3"/>
        <v>0.15</v>
      </c>
      <c r="R117" s="9">
        <f t="shared" si="4"/>
        <v>14837.55</v>
      </c>
      <c r="S117" s="9">
        <f t="shared" si="5"/>
        <v>14837.55</v>
      </c>
    </row>
    <row r="118" spans="1:19" x14ac:dyDescent="0.25">
      <c r="A118" t="s">
        <v>29</v>
      </c>
      <c r="B118">
        <v>30012</v>
      </c>
      <c r="C118" s="8">
        <v>45567</v>
      </c>
      <c r="D118" t="s">
        <v>1111</v>
      </c>
      <c r="E118" s="11">
        <v>6</v>
      </c>
      <c r="F118" t="s">
        <v>805</v>
      </c>
      <c r="H118" s="12">
        <v>687866</v>
      </c>
      <c r="I118" s="9">
        <v>687866</v>
      </c>
      <c r="J118" s="15">
        <v>0.15</v>
      </c>
      <c r="K118" s="12">
        <v>0</v>
      </c>
      <c r="L118" s="12">
        <v>0</v>
      </c>
      <c r="M118" s="9">
        <v>0</v>
      </c>
      <c r="N118" s="12">
        <v>26081.585833333334</v>
      </c>
      <c r="O118">
        <v>91</v>
      </c>
      <c r="Q118" s="15">
        <f t="shared" si="3"/>
        <v>0.15</v>
      </c>
      <c r="R118" s="9">
        <f t="shared" si="4"/>
        <v>103179.9</v>
      </c>
      <c r="S118" s="9">
        <f t="shared" si="5"/>
        <v>103179.9</v>
      </c>
    </row>
    <row r="119" spans="1:19" x14ac:dyDescent="0.25">
      <c r="A119" t="s">
        <v>29</v>
      </c>
      <c r="B119">
        <v>30012</v>
      </c>
      <c r="C119" s="8">
        <v>45656</v>
      </c>
      <c r="D119" t="s">
        <v>829</v>
      </c>
      <c r="E119" s="11" t="s">
        <v>205</v>
      </c>
      <c r="F119" t="s">
        <v>805</v>
      </c>
      <c r="G119" t="s">
        <v>202</v>
      </c>
      <c r="H119" s="12">
        <v>185574</v>
      </c>
      <c r="I119" s="9">
        <v>185574</v>
      </c>
      <c r="J119" s="15">
        <v>0.15</v>
      </c>
      <c r="K119" s="12">
        <v>0</v>
      </c>
      <c r="L119" s="12">
        <v>0</v>
      </c>
      <c r="M119" s="9">
        <v>0</v>
      </c>
      <c r="N119" s="12">
        <v>154.64499999999998</v>
      </c>
      <c r="O119">
        <v>2</v>
      </c>
      <c r="Q119" s="15">
        <f t="shared" si="3"/>
        <v>0.15</v>
      </c>
      <c r="R119" s="9">
        <f t="shared" si="4"/>
        <v>27836.1</v>
      </c>
      <c r="S119" s="9">
        <f t="shared" si="5"/>
        <v>27836.1</v>
      </c>
    </row>
    <row r="120" spans="1:19" x14ac:dyDescent="0.25">
      <c r="A120" t="s">
        <v>259</v>
      </c>
      <c r="B120" s="24">
        <v>30013</v>
      </c>
      <c r="C120" s="8">
        <v>45607</v>
      </c>
      <c r="D120" t="s">
        <v>1187</v>
      </c>
      <c r="E120" s="11" t="s">
        <v>201</v>
      </c>
      <c r="F120" t="s">
        <v>819</v>
      </c>
      <c r="G120" t="s">
        <v>1188</v>
      </c>
      <c r="H120" s="12">
        <v>1500000000</v>
      </c>
      <c r="I120" s="9">
        <v>844911162</v>
      </c>
      <c r="J120" s="17">
        <v>0.06</v>
      </c>
      <c r="K120" s="12">
        <v>5945000</v>
      </c>
      <c r="L120" s="12">
        <v>0</v>
      </c>
      <c r="M120" s="9">
        <v>40755000</v>
      </c>
      <c r="N120" s="12">
        <v>12614302</v>
      </c>
      <c r="O120" s="9">
        <v>0</v>
      </c>
      <c r="P120">
        <v>1</v>
      </c>
      <c r="Q120" s="15">
        <f t="shared" si="3"/>
        <v>9.113333333333333E-2</v>
      </c>
      <c r="R120" s="9">
        <f t="shared" si="4"/>
        <v>90000000</v>
      </c>
      <c r="S120" s="9">
        <f t="shared" si="5"/>
        <v>136700000</v>
      </c>
    </row>
    <row r="121" spans="1:19" x14ac:dyDescent="0.25">
      <c r="A121" t="s">
        <v>29</v>
      </c>
      <c r="B121">
        <v>30012</v>
      </c>
      <c r="C121" s="8">
        <v>45590</v>
      </c>
      <c r="D121" t="s">
        <v>1034</v>
      </c>
      <c r="E121" s="11" t="s">
        <v>205</v>
      </c>
      <c r="F121" t="s">
        <v>805</v>
      </c>
      <c r="G121" t="s">
        <v>206</v>
      </c>
      <c r="H121" s="12">
        <v>117967</v>
      </c>
      <c r="I121" s="9">
        <v>117967</v>
      </c>
      <c r="J121" s="15">
        <v>0.15</v>
      </c>
      <c r="K121" s="12">
        <v>0</v>
      </c>
      <c r="L121" s="12">
        <v>0</v>
      </c>
      <c r="M121" s="9">
        <v>0</v>
      </c>
      <c r="N121" s="12">
        <v>3342.3983333333331</v>
      </c>
      <c r="O121">
        <v>68</v>
      </c>
      <c r="Q121" s="15">
        <f t="shared" si="3"/>
        <v>0.15</v>
      </c>
      <c r="R121" s="9">
        <f t="shared" si="4"/>
        <v>17695.05</v>
      </c>
      <c r="S121" s="9">
        <f t="shared" si="5"/>
        <v>17695.05</v>
      </c>
    </row>
    <row r="122" spans="1:19" x14ac:dyDescent="0.25">
      <c r="A122" t="s">
        <v>29</v>
      </c>
      <c r="B122">
        <v>30012</v>
      </c>
      <c r="C122" s="8">
        <v>45597</v>
      </c>
      <c r="D122" t="s">
        <v>997</v>
      </c>
      <c r="E122" s="11">
        <v>6</v>
      </c>
      <c r="F122" t="s">
        <v>805</v>
      </c>
      <c r="H122" s="12">
        <v>76043</v>
      </c>
      <c r="I122" s="9">
        <v>76043</v>
      </c>
      <c r="J122" s="15">
        <v>0.15</v>
      </c>
      <c r="K122" s="12">
        <v>0</v>
      </c>
      <c r="L122" s="12">
        <v>0</v>
      </c>
      <c r="M122" s="9">
        <v>0</v>
      </c>
      <c r="N122" s="12">
        <v>1932.7595833333332</v>
      </c>
      <c r="O122">
        <v>61</v>
      </c>
      <c r="Q122" s="15">
        <f t="shared" si="3"/>
        <v>0.15</v>
      </c>
      <c r="R122" s="9">
        <f t="shared" si="4"/>
        <v>11406.449999999999</v>
      </c>
      <c r="S122" s="9">
        <f t="shared" si="5"/>
        <v>11406.449999999999</v>
      </c>
    </row>
    <row r="123" spans="1:19" x14ac:dyDescent="0.25">
      <c r="A123" t="s">
        <v>29</v>
      </c>
      <c r="B123">
        <v>30012</v>
      </c>
      <c r="C123" s="8">
        <v>45596</v>
      </c>
      <c r="D123" t="s">
        <v>1019</v>
      </c>
      <c r="E123" s="11" t="s">
        <v>205</v>
      </c>
      <c r="F123" t="s">
        <v>805</v>
      </c>
      <c r="G123" t="s">
        <v>202</v>
      </c>
      <c r="H123" s="12">
        <v>55958</v>
      </c>
      <c r="I123" s="9">
        <v>55958</v>
      </c>
      <c r="J123" s="15">
        <v>0.15</v>
      </c>
      <c r="K123" s="12">
        <v>0</v>
      </c>
      <c r="L123" s="12">
        <v>0</v>
      </c>
      <c r="M123" s="9">
        <v>0</v>
      </c>
      <c r="N123" s="12">
        <v>1445.5816666666665</v>
      </c>
      <c r="O123">
        <v>62</v>
      </c>
      <c r="Q123" s="15">
        <f t="shared" si="3"/>
        <v>0.14999999999999997</v>
      </c>
      <c r="R123" s="9">
        <f t="shared" si="4"/>
        <v>8393.6999999999989</v>
      </c>
      <c r="S123" s="9">
        <f t="shared" si="5"/>
        <v>8393.6999999999989</v>
      </c>
    </row>
    <row r="124" spans="1:19" x14ac:dyDescent="0.25">
      <c r="A124" t="s">
        <v>29</v>
      </c>
      <c r="B124">
        <v>30012</v>
      </c>
      <c r="C124" s="8">
        <v>45621</v>
      </c>
      <c r="D124" t="s">
        <v>942</v>
      </c>
      <c r="E124" s="11" t="s">
        <v>205</v>
      </c>
      <c r="F124" t="s">
        <v>805</v>
      </c>
      <c r="G124" t="s">
        <v>202</v>
      </c>
      <c r="H124" s="12">
        <v>112849</v>
      </c>
      <c r="I124" s="9">
        <v>112849</v>
      </c>
      <c r="J124" s="15">
        <v>0.15</v>
      </c>
      <c r="K124" s="12">
        <v>0</v>
      </c>
      <c r="L124" s="12">
        <v>0</v>
      </c>
      <c r="M124" s="9">
        <v>0</v>
      </c>
      <c r="N124" s="12">
        <v>1739.7554166666666</v>
      </c>
      <c r="O124">
        <v>37</v>
      </c>
      <c r="Q124" s="15">
        <f t="shared" si="3"/>
        <v>0.15</v>
      </c>
      <c r="R124" s="9">
        <f t="shared" si="4"/>
        <v>16927.349999999999</v>
      </c>
      <c r="S124" s="9">
        <f t="shared" si="5"/>
        <v>16927.349999999999</v>
      </c>
    </row>
    <row r="125" spans="1:19" x14ac:dyDescent="0.25">
      <c r="A125" t="s">
        <v>29</v>
      </c>
      <c r="B125">
        <v>30012</v>
      </c>
      <c r="C125" s="8">
        <v>45656</v>
      </c>
      <c r="D125" t="s">
        <v>830</v>
      </c>
      <c r="E125" s="11" t="s">
        <v>205</v>
      </c>
      <c r="F125" t="s">
        <v>805</v>
      </c>
      <c r="G125" t="s">
        <v>202</v>
      </c>
      <c r="H125" s="12">
        <v>823004</v>
      </c>
      <c r="I125" s="9">
        <v>823004</v>
      </c>
      <c r="J125" s="15">
        <v>0.15</v>
      </c>
      <c r="K125" s="12">
        <v>0</v>
      </c>
      <c r="L125" s="12">
        <v>0</v>
      </c>
      <c r="M125" s="9">
        <v>0</v>
      </c>
      <c r="N125" s="12">
        <v>685.83666666666659</v>
      </c>
      <c r="O125">
        <v>2</v>
      </c>
      <c r="Q125" s="15">
        <f t="shared" si="3"/>
        <v>0.15</v>
      </c>
      <c r="R125" s="9">
        <f t="shared" si="4"/>
        <v>123450.59999999999</v>
      </c>
      <c r="S125" s="9">
        <f t="shared" si="5"/>
        <v>123450.59999999999</v>
      </c>
    </row>
    <row r="126" spans="1:19" x14ac:dyDescent="0.25">
      <c r="A126" t="s">
        <v>29</v>
      </c>
      <c r="B126">
        <v>30012</v>
      </c>
      <c r="C126" s="8">
        <v>45617</v>
      </c>
      <c r="D126" t="s">
        <v>947</v>
      </c>
      <c r="E126" s="11" t="s">
        <v>205</v>
      </c>
      <c r="F126" t="s">
        <v>805</v>
      </c>
      <c r="G126" t="s">
        <v>662</v>
      </c>
      <c r="H126" s="12">
        <v>20169256</v>
      </c>
      <c r="I126" s="9">
        <v>20169256</v>
      </c>
      <c r="J126" s="15">
        <v>0.15</v>
      </c>
      <c r="K126" s="12">
        <v>0</v>
      </c>
      <c r="L126" s="12">
        <v>0</v>
      </c>
      <c r="M126" s="9">
        <v>0</v>
      </c>
      <c r="N126" s="12">
        <v>344558.12333333329</v>
      </c>
      <c r="O126">
        <v>41</v>
      </c>
      <c r="Q126" s="15">
        <f t="shared" si="3"/>
        <v>0.15</v>
      </c>
      <c r="R126" s="9">
        <f t="shared" si="4"/>
        <v>3025388.4</v>
      </c>
      <c r="S126" s="9">
        <f t="shared" si="5"/>
        <v>3025388.4</v>
      </c>
    </row>
    <row r="127" spans="1:19" x14ac:dyDescent="0.25">
      <c r="A127" t="s">
        <v>29</v>
      </c>
      <c r="B127">
        <v>30012</v>
      </c>
      <c r="C127" s="8">
        <v>45597</v>
      </c>
      <c r="D127" t="s">
        <v>1015</v>
      </c>
      <c r="E127" s="11">
        <v>6</v>
      </c>
      <c r="F127" t="s">
        <v>805</v>
      </c>
      <c r="H127" s="12">
        <v>255721</v>
      </c>
      <c r="I127" s="9">
        <v>255721</v>
      </c>
      <c r="J127" s="15">
        <v>0.15</v>
      </c>
      <c r="K127" s="12">
        <v>0</v>
      </c>
      <c r="L127" s="12">
        <v>0</v>
      </c>
      <c r="M127" s="9">
        <v>0</v>
      </c>
      <c r="N127" s="12">
        <v>6499.5754166666666</v>
      </c>
      <c r="O127">
        <v>61</v>
      </c>
      <c r="Q127" s="15">
        <f t="shared" si="3"/>
        <v>0.15</v>
      </c>
      <c r="R127" s="9">
        <f t="shared" si="4"/>
        <v>38358.15</v>
      </c>
      <c r="S127" s="9">
        <f t="shared" si="5"/>
        <v>38358.15</v>
      </c>
    </row>
    <row r="128" spans="1:19" x14ac:dyDescent="0.25">
      <c r="A128" t="s">
        <v>29</v>
      </c>
      <c r="B128">
        <v>30012</v>
      </c>
      <c r="C128" s="8">
        <v>45597</v>
      </c>
      <c r="D128" t="s">
        <v>1016</v>
      </c>
      <c r="E128" s="11" t="s">
        <v>205</v>
      </c>
      <c r="F128" t="s">
        <v>819</v>
      </c>
      <c r="G128" t="s">
        <v>202</v>
      </c>
      <c r="H128" s="12">
        <v>403434</v>
      </c>
      <c r="I128" s="9">
        <v>403434</v>
      </c>
      <c r="J128" s="15">
        <v>0.15</v>
      </c>
      <c r="K128" s="12">
        <v>0</v>
      </c>
      <c r="L128" s="12">
        <v>0</v>
      </c>
      <c r="M128" s="9">
        <v>0</v>
      </c>
      <c r="N128" s="12">
        <v>10253.9475</v>
      </c>
      <c r="O128">
        <v>61</v>
      </c>
      <c r="Q128" s="15">
        <f t="shared" si="3"/>
        <v>0.15</v>
      </c>
      <c r="R128" s="9">
        <f t="shared" si="4"/>
        <v>60515.1</v>
      </c>
      <c r="S128" s="9">
        <f t="shared" si="5"/>
        <v>60515.1</v>
      </c>
    </row>
    <row r="129" spans="1:19" x14ac:dyDescent="0.25">
      <c r="A129" t="s">
        <v>29</v>
      </c>
      <c r="B129">
        <v>30012</v>
      </c>
      <c r="C129" s="8">
        <v>45629</v>
      </c>
      <c r="D129" t="s">
        <v>927</v>
      </c>
      <c r="E129" s="11">
        <v>6</v>
      </c>
      <c r="F129" t="s">
        <v>805</v>
      </c>
      <c r="H129" s="12">
        <v>1891578</v>
      </c>
      <c r="I129" s="9">
        <v>1891578</v>
      </c>
      <c r="J129" s="15">
        <v>0.15</v>
      </c>
      <c r="K129" s="12">
        <v>0</v>
      </c>
      <c r="L129" s="12">
        <v>0</v>
      </c>
      <c r="M129" s="9">
        <v>0</v>
      </c>
      <c r="N129" s="12">
        <v>22856.567500000001</v>
      </c>
      <c r="O129">
        <v>29</v>
      </c>
      <c r="Q129" s="15">
        <f t="shared" si="3"/>
        <v>0.15</v>
      </c>
      <c r="R129" s="9">
        <f t="shared" si="4"/>
        <v>283736.7</v>
      </c>
      <c r="S129" s="9">
        <f t="shared" si="5"/>
        <v>283736.7</v>
      </c>
    </row>
    <row r="130" spans="1:19" x14ac:dyDescent="0.25">
      <c r="A130" t="s">
        <v>1192</v>
      </c>
      <c r="B130">
        <v>30019</v>
      </c>
      <c r="C130" s="8">
        <v>45629</v>
      </c>
      <c r="D130" t="s">
        <v>1400</v>
      </c>
      <c r="E130" s="11">
        <v>6</v>
      </c>
      <c r="F130" t="s">
        <v>805</v>
      </c>
      <c r="G130" t="s">
        <v>1198</v>
      </c>
      <c r="H130" s="12">
        <v>85000</v>
      </c>
      <c r="I130" s="9">
        <v>0</v>
      </c>
      <c r="J130" s="15">
        <v>0.15</v>
      </c>
      <c r="K130" s="12">
        <v>6890</v>
      </c>
      <c r="L130" s="12">
        <v>5000</v>
      </c>
      <c r="M130" s="9">
        <v>0</v>
      </c>
      <c r="N130" s="12">
        <v>0</v>
      </c>
      <c r="O130">
        <v>0</v>
      </c>
      <c r="P130">
        <v>1</v>
      </c>
      <c r="Q130" s="15">
        <f t="shared" ref="Q130:Q193" si="6">((H130*J130)+K130+M130)/H130</f>
        <v>0.23105882352941176</v>
      </c>
      <c r="R130" s="9">
        <f t="shared" ref="R130:R193" si="7">J130*H130</f>
        <v>12750</v>
      </c>
      <c r="S130" s="9">
        <f t="shared" ref="S130:S193" si="8">Q130*H130</f>
        <v>19640</v>
      </c>
    </row>
    <row r="131" spans="1:19" x14ac:dyDescent="0.25">
      <c r="A131" t="s">
        <v>1192</v>
      </c>
      <c r="B131">
        <v>30019</v>
      </c>
      <c r="C131" s="8">
        <v>45566</v>
      </c>
      <c r="D131" t="s">
        <v>1200</v>
      </c>
      <c r="E131" s="11">
        <v>6</v>
      </c>
      <c r="F131" t="s">
        <v>805</v>
      </c>
      <c r="G131" t="s">
        <v>1195</v>
      </c>
      <c r="H131" s="12">
        <v>373000</v>
      </c>
      <c r="I131" s="9">
        <v>0</v>
      </c>
      <c r="J131" s="15">
        <v>0.15</v>
      </c>
      <c r="K131" s="12">
        <v>6890</v>
      </c>
      <c r="L131" s="12">
        <v>5000</v>
      </c>
      <c r="M131" s="9">
        <v>0</v>
      </c>
      <c r="N131" s="12">
        <v>0</v>
      </c>
      <c r="O131">
        <v>0</v>
      </c>
      <c r="P131">
        <v>1</v>
      </c>
      <c r="Q131" s="15">
        <f t="shared" si="6"/>
        <v>0.16847184986595173</v>
      </c>
      <c r="R131" s="9">
        <f t="shared" si="7"/>
        <v>55950</v>
      </c>
      <c r="S131" s="9">
        <f t="shared" si="8"/>
        <v>62840</v>
      </c>
    </row>
    <row r="132" spans="1:19" x14ac:dyDescent="0.25">
      <c r="A132" t="s">
        <v>1192</v>
      </c>
      <c r="B132">
        <v>30019</v>
      </c>
      <c r="C132" s="8">
        <v>45615</v>
      </c>
      <c r="D132" t="s">
        <v>1362</v>
      </c>
      <c r="E132" s="11">
        <v>6</v>
      </c>
      <c r="F132" t="s">
        <v>805</v>
      </c>
      <c r="G132" t="s">
        <v>1194</v>
      </c>
      <c r="H132" s="12">
        <v>58000</v>
      </c>
      <c r="I132" s="9">
        <v>0</v>
      </c>
      <c r="J132" s="15">
        <v>0.15</v>
      </c>
      <c r="K132" s="12">
        <v>6890</v>
      </c>
      <c r="L132" s="12">
        <v>5000</v>
      </c>
      <c r="M132" s="9">
        <v>0</v>
      </c>
      <c r="N132" s="12">
        <v>0</v>
      </c>
      <c r="O132">
        <v>0</v>
      </c>
      <c r="P132">
        <v>1</v>
      </c>
      <c r="Q132" s="15">
        <f t="shared" si="6"/>
        <v>0.26879310344827584</v>
      </c>
      <c r="R132" s="9">
        <f t="shared" si="7"/>
        <v>8700</v>
      </c>
      <c r="S132" s="9">
        <f t="shared" si="8"/>
        <v>15589.999999999998</v>
      </c>
    </row>
    <row r="133" spans="1:19" x14ac:dyDescent="0.25">
      <c r="A133" t="s">
        <v>29</v>
      </c>
      <c r="B133">
        <v>30012</v>
      </c>
      <c r="C133" s="8">
        <v>45597</v>
      </c>
      <c r="D133" t="s">
        <v>1005</v>
      </c>
      <c r="E133" s="11">
        <v>6</v>
      </c>
      <c r="F133" t="s">
        <v>805</v>
      </c>
      <c r="H133" s="12">
        <v>136089</v>
      </c>
      <c r="I133" s="9">
        <v>136089</v>
      </c>
      <c r="J133" s="15">
        <v>0.15</v>
      </c>
      <c r="K133" s="12">
        <v>0</v>
      </c>
      <c r="L133" s="12">
        <v>0</v>
      </c>
      <c r="M133" s="9">
        <v>0</v>
      </c>
      <c r="N133" s="12">
        <v>3458.9287499999996</v>
      </c>
      <c r="O133">
        <v>61</v>
      </c>
      <c r="Q133" s="15">
        <f t="shared" si="6"/>
        <v>0.15</v>
      </c>
      <c r="R133" s="9">
        <f t="shared" si="7"/>
        <v>20413.349999999999</v>
      </c>
      <c r="S133" s="9">
        <f t="shared" si="8"/>
        <v>20413.349999999999</v>
      </c>
    </row>
    <row r="134" spans="1:19" x14ac:dyDescent="0.25">
      <c r="A134" t="s">
        <v>29</v>
      </c>
      <c r="B134">
        <v>30012</v>
      </c>
      <c r="C134" s="8">
        <v>45629</v>
      </c>
      <c r="D134" t="s">
        <v>911</v>
      </c>
      <c r="E134" s="11">
        <v>6</v>
      </c>
      <c r="F134" t="s">
        <v>805</v>
      </c>
      <c r="H134" s="12">
        <v>106275</v>
      </c>
      <c r="I134" s="9">
        <v>106275</v>
      </c>
      <c r="J134" s="15">
        <v>0.15</v>
      </c>
      <c r="K134" s="12">
        <v>0</v>
      </c>
      <c r="L134" s="12">
        <v>0</v>
      </c>
      <c r="M134" s="9">
        <v>0</v>
      </c>
      <c r="N134" s="12">
        <v>1284.15625</v>
      </c>
      <c r="O134">
        <v>29</v>
      </c>
      <c r="Q134" s="15">
        <f t="shared" si="6"/>
        <v>0.15</v>
      </c>
      <c r="R134" s="9">
        <f t="shared" si="7"/>
        <v>15941.25</v>
      </c>
      <c r="S134" s="9">
        <f t="shared" si="8"/>
        <v>15941.25</v>
      </c>
    </row>
    <row r="135" spans="1:19" x14ac:dyDescent="0.25">
      <c r="A135" t="s">
        <v>29</v>
      </c>
      <c r="B135">
        <v>30012</v>
      </c>
      <c r="C135" s="8">
        <v>45597</v>
      </c>
      <c r="D135" t="s">
        <v>1002</v>
      </c>
      <c r="E135" s="11">
        <v>6</v>
      </c>
      <c r="F135" t="s">
        <v>805</v>
      </c>
      <c r="H135" s="12">
        <v>118019</v>
      </c>
      <c r="I135" s="9">
        <v>118019</v>
      </c>
      <c r="J135" s="15">
        <v>0.15</v>
      </c>
      <c r="K135" s="12">
        <v>0</v>
      </c>
      <c r="L135" s="12">
        <v>0</v>
      </c>
      <c r="M135" s="9">
        <v>0</v>
      </c>
      <c r="N135" s="12">
        <v>2999.6495833333329</v>
      </c>
      <c r="O135">
        <v>61</v>
      </c>
      <c r="Q135" s="15">
        <f t="shared" si="6"/>
        <v>0.15</v>
      </c>
      <c r="R135" s="9">
        <f t="shared" si="7"/>
        <v>17702.849999999999</v>
      </c>
      <c r="S135" s="9">
        <f t="shared" si="8"/>
        <v>17702.849999999999</v>
      </c>
    </row>
    <row r="136" spans="1:19" x14ac:dyDescent="0.25">
      <c r="A136" t="s">
        <v>1192</v>
      </c>
      <c r="B136">
        <v>30019</v>
      </c>
      <c r="C136" s="8">
        <v>45609</v>
      </c>
      <c r="D136" t="s">
        <v>1346</v>
      </c>
      <c r="E136" s="11">
        <v>6</v>
      </c>
      <c r="F136" t="s">
        <v>805</v>
      </c>
      <c r="G136" t="s">
        <v>1195</v>
      </c>
      <c r="H136" s="12">
        <v>89000</v>
      </c>
      <c r="I136" s="9">
        <v>0</v>
      </c>
      <c r="J136" s="15">
        <v>8.1818181818181804E-2</v>
      </c>
      <c r="K136" s="12">
        <v>6890</v>
      </c>
      <c r="L136" s="12">
        <v>5000</v>
      </c>
      <c r="M136" s="9">
        <v>0</v>
      </c>
      <c r="N136" s="12">
        <v>0</v>
      </c>
      <c r="O136">
        <v>0</v>
      </c>
      <c r="P136">
        <v>1</v>
      </c>
      <c r="Q136" s="15">
        <f t="shared" si="6"/>
        <v>0.15923391215526045</v>
      </c>
      <c r="R136" s="9">
        <f t="shared" si="7"/>
        <v>7281.8181818181802</v>
      </c>
      <c r="S136" s="9">
        <f t="shared" si="8"/>
        <v>14171.81818181818</v>
      </c>
    </row>
    <row r="137" spans="1:19" x14ac:dyDescent="0.25">
      <c r="A137" t="s">
        <v>29</v>
      </c>
      <c r="B137">
        <v>30012</v>
      </c>
      <c r="C137" s="8">
        <v>45596</v>
      </c>
      <c r="D137" t="s">
        <v>1020</v>
      </c>
      <c r="E137" s="11" t="s">
        <v>205</v>
      </c>
      <c r="F137" t="s">
        <v>805</v>
      </c>
      <c r="G137" t="s">
        <v>202</v>
      </c>
      <c r="H137" s="12">
        <v>130189</v>
      </c>
      <c r="I137" s="9">
        <v>130189</v>
      </c>
      <c r="J137" s="15">
        <v>0.15</v>
      </c>
      <c r="K137" s="12">
        <v>0</v>
      </c>
      <c r="L137" s="12">
        <v>0</v>
      </c>
      <c r="M137" s="9">
        <v>0</v>
      </c>
      <c r="N137" s="12">
        <v>3363.2158333333332</v>
      </c>
      <c r="O137">
        <v>62</v>
      </c>
      <c r="Q137" s="15">
        <f t="shared" si="6"/>
        <v>0.15</v>
      </c>
      <c r="R137" s="9">
        <f t="shared" si="7"/>
        <v>19528.349999999999</v>
      </c>
      <c r="S137" s="9">
        <f t="shared" si="8"/>
        <v>19528.349999999999</v>
      </c>
    </row>
    <row r="138" spans="1:19" x14ac:dyDescent="0.25">
      <c r="A138" t="s">
        <v>1192</v>
      </c>
      <c r="B138">
        <v>30019</v>
      </c>
      <c r="C138" s="8">
        <v>45603</v>
      </c>
      <c r="D138" t="s">
        <v>1322</v>
      </c>
      <c r="E138" s="11">
        <v>6</v>
      </c>
      <c r="F138" t="s">
        <v>805</v>
      </c>
      <c r="G138" t="s">
        <v>1194</v>
      </c>
      <c r="H138" s="12">
        <v>106000</v>
      </c>
      <c r="I138" s="9">
        <v>0</v>
      </c>
      <c r="J138" s="15">
        <v>0.13636363636363599</v>
      </c>
      <c r="K138" s="12">
        <v>6890</v>
      </c>
      <c r="L138" s="12">
        <v>5000</v>
      </c>
      <c r="M138" s="9">
        <v>0</v>
      </c>
      <c r="N138" s="12">
        <v>0</v>
      </c>
      <c r="O138">
        <v>0</v>
      </c>
      <c r="P138">
        <v>1</v>
      </c>
      <c r="Q138" s="15">
        <f t="shared" si="6"/>
        <v>0.20136363636363599</v>
      </c>
      <c r="R138" s="9">
        <f t="shared" si="7"/>
        <v>14454.545454545416</v>
      </c>
      <c r="S138" s="9">
        <f t="shared" si="8"/>
        <v>21344.545454545416</v>
      </c>
    </row>
    <row r="139" spans="1:19" x14ac:dyDescent="0.25">
      <c r="A139" t="s">
        <v>29</v>
      </c>
      <c r="B139">
        <v>30012</v>
      </c>
      <c r="C139" s="8">
        <v>45650</v>
      </c>
      <c r="D139" t="s">
        <v>843</v>
      </c>
      <c r="E139" s="11" t="s">
        <v>205</v>
      </c>
      <c r="F139" t="s">
        <v>805</v>
      </c>
      <c r="G139" t="s">
        <v>202</v>
      </c>
      <c r="H139" s="12">
        <v>69052</v>
      </c>
      <c r="I139" s="9">
        <v>69052</v>
      </c>
      <c r="J139" s="15">
        <v>0.15</v>
      </c>
      <c r="K139" s="12">
        <v>0</v>
      </c>
      <c r="L139" s="12">
        <v>0</v>
      </c>
      <c r="M139" s="9">
        <v>0</v>
      </c>
      <c r="N139" s="12">
        <v>230.17333333333332</v>
      </c>
      <c r="O139">
        <v>8</v>
      </c>
      <c r="Q139" s="15">
        <f t="shared" si="6"/>
        <v>0.15</v>
      </c>
      <c r="R139" s="9">
        <f t="shared" si="7"/>
        <v>10357.799999999999</v>
      </c>
      <c r="S139" s="9">
        <f t="shared" si="8"/>
        <v>10357.799999999999</v>
      </c>
    </row>
    <row r="140" spans="1:19" x14ac:dyDescent="0.25">
      <c r="A140" t="s">
        <v>29</v>
      </c>
      <c r="B140">
        <v>30012</v>
      </c>
      <c r="C140" s="8">
        <v>45596</v>
      </c>
      <c r="D140" t="s">
        <v>1021</v>
      </c>
      <c r="E140" s="11" t="s">
        <v>201</v>
      </c>
      <c r="F140" t="s">
        <v>819</v>
      </c>
      <c r="G140" t="s">
        <v>665</v>
      </c>
      <c r="H140" s="12">
        <v>1000000000</v>
      </c>
      <c r="I140" s="9">
        <v>2764889</v>
      </c>
      <c r="J140" s="15">
        <v>7.0000000000000007E-2</v>
      </c>
      <c r="K140" s="12">
        <v>10000000</v>
      </c>
      <c r="L140" s="12">
        <v>0</v>
      </c>
      <c r="M140" s="9">
        <v>0</v>
      </c>
      <c r="N140" s="12">
        <v>46235.088277777781</v>
      </c>
      <c r="O140">
        <v>86</v>
      </c>
      <c r="Q140" s="15">
        <f t="shared" si="6"/>
        <v>0.08</v>
      </c>
      <c r="R140" s="9">
        <f t="shared" si="7"/>
        <v>70000000</v>
      </c>
      <c r="S140" s="9">
        <f t="shared" si="8"/>
        <v>80000000</v>
      </c>
    </row>
    <row r="141" spans="1:19" x14ac:dyDescent="0.25">
      <c r="A141" t="s">
        <v>1192</v>
      </c>
      <c r="B141">
        <v>30019</v>
      </c>
      <c r="C141" s="8">
        <v>45643</v>
      </c>
      <c r="D141" t="s">
        <v>1453</v>
      </c>
      <c r="E141" s="11" t="s">
        <v>205</v>
      </c>
      <c r="F141" t="s">
        <v>805</v>
      </c>
      <c r="G141" t="s">
        <v>1202</v>
      </c>
      <c r="H141" s="12">
        <v>100000000</v>
      </c>
      <c r="I141" s="9">
        <v>0</v>
      </c>
      <c r="J141" s="15">
        <v>9.375E-2</v>
      </c>
      <c r="K141" s="12">
        <v>594500</v>
      </c>
      <c r="L141" s="12">
        <v>0</v>
      </c>
      <c r="M141" s="9">
        <v>0</v>
      </c>
      <c r="N141" s="12">
        <v>0</v>
      </c>
      <c r="O141">
        <v>0</v>
      </c>
      <c r="P141">
        <v>1</v>
      </c>
      <c r="Q141" s="15">
        <f t="shared" si="6"/>
        <v>9.9695000000000006E-2</v>
      </c>
      <c r="R141" s="9">
        <f t="shared" si="7"/>
        <v>9375000</v>
      </c>
      <c r="S141" s="9">
        <f t="shared" si="8"/>
        <v>9969500</v>
      </c>
    </row>
    <row r="142" spans="1:19" x14ac:dyDescent="0.25">
      <c r="A142" t="s">
        <v>29</v>
      </c>
      <c r="B142">
        <v>30012</v>
      </c>
      <c r="C142" s="8">
        <v>45632</v>
      </c>
      <c r="D142" t="s">
        <v>892</v>
      </c>
      <c r="E142" s="11" t="s">
        <v>205</v>
      </c>
      <c r="F142" t="s">
        <v>805</v>
      </c>
      <c r="G142" t="s">
        <v>202</v>
      </c>
      <c r="H142" s="12">
        <v>40000000</v>
      </c>
      <c r="I142" s="9">
        <v>40549758</v>
      </c>
      <c r="J142" s="15">
        <v>0.1135</v>
      </c>
      <c r="K142" s="12">
        <v>2250000</v>
      </c>
      <c r="L142" s="12">
        <v>0</v>
      </c>
      <c r="M142" s="9">
        <v>0</v>
      </c>
      <c r="N142" s="12">
        <v>1176168.2584333334</v>
      </c>
      <c r="O142">
        <v>92</v>
      </c>
      <c r="Q142" s="15">
        <f t="shared" si="6"/>
        <v>0.16975000000000001</v>
      </c>
      <c r="R142" s="9">
        <f t="shared" si="7"/>
        <v>4540000</v>
      </c>
      <c r="S142" s="9">
        <f t="shared" si="8"/>
        <v>6790000.0000000009</v>
      </c>
    </row>
    <row r="143" spans="1:19" x14ac:dyDescent="0.25">
      <c r="A143" t="s">
        <v>29</v>
      </c>
      <c r="B143">
        <v>30012</v>
      </c>
      <c r="C143" s="8">
        <v>45569</v>
      </c>
      <c r="D143" t="s">
        <v>1084</v>
      </c>
      <c r="E143" s="11" t="s">
        <v>205</v>
      </c>
      <c r="F143" t="s">
        <v>819</v>
      </c>
      <c r="G143" t="s">
        <v>835</v>
      </c>
      <c r="H143" s="12">
        <v>1069147</v>
      </c>
      <c r="I143" s="9">
        <v>1069147</v>
      </c>
      <c r="J143" s="15">
        <v>0.15</v>
      </c>
      <c r="K143" s="12">
        <v>0</v>
      </c>
      <c r="L143" s="12">
        <v>0</v>
      </c>
      <c r="M143" s="9">
        <v>0</v>
      </c>
      <c r="N143" s="12">
        <v>39647.534583333334</v>
      </c>
      <c r="O143">
        <v>89</v>
      </c>
      <c r="Q143" s="15">
        <f t="shared" si="6"/>
        <v>0.15</v>
      </c>
      <c r="R143" s="9">
        <f t="shared" si="7"/>
        <v>160372.04999999999</v>
      </c>
      <c r="S143" s="9">
        <f t="shared" si="8"/>
        <v>160372.04999999999</v>
      </c>
    </row>
    <row r="144" spans="1:19" x14ac:dyDescent="0.25">
      <c r="A144" t="s">
        <v>29</v>
      </c>
      <c r="B144">
        <v>30012</v>
      </c>
      <c r="C144" s="8">
        <v>45631</v>
      </c>
      <c r="D144" t="s">
        <v>896</v>
      </c>
      <c r="E144" s="11" t="s">
        <v>205</v>
      </c>
      <c r="F144" t="s">
        <v>805</v>
      </c>
      <c r="G144" t="s">
        <v>609</v>
      </c>
      <c r="H144" s="12">
        <v>30000000</v>
      </c>
      <c r="I144" s="9">
        <v>10662412</v>
      </c>
      <c r="J144" s="15">
        <v>0.11849999999999999</v>
      </c>
      <c r="K144" s="12">
        <v>450000</v>
      </c>
      <c r="L144" s="12">
        <v>0</v>
      </c>
      <c r="M144" s="9">
        <v>0</v>
      </c>
      <c r="N144" s="12">
        <v>0</v>
      </c>
      <c r="O144">
        <v>0</v>
      </c>
      <c r="Q144" s="15">
        <f t="shared" si="6"/>
        <v>0.13350000000000001</v>
      </c>
      <c r="R144" s="9">
        <f t="shared" si="7"/>
        <v>3555000</v>
      </c>
      <c r="S144" s="9">
        <f t="shared" si="8"/>
        <v>4005000</v>
      </c>
    </row>
    <row r="145" spans="1:19" x14ac:dyDescent="0.25">
      <c r="A145" t="s">
        <v>272</v>
      </c>
      <c r="B145">
        <v>30008</v>
      </c>
      <c r="C145" s="8">
        <v>45618</v>
      </c>
      <c r="D145" t="s">
        <v>811</v>
      </c>
      <c r="E145" s="11" t="s">
        <v>201</v>
      </c>
      <c r="F145" t="s">
        <v>274</v>
      </c>
      <c r="G145" t="s">
        <v>291</v>
      </c>
      <c r="H145" s="12">
        <v>450000000</v>
      </c>
      <c r="I145" s="9"/>
      <c r="J145" s="17">
        <v>8.5000000000000006E-2</v>
      </c>
      <c r="K145" s="12">
        <v>2378000</v>
      </c>
      <c r="M145" s="12">
        <f>H145*(1.05/100)</f>
        <v>4725000</v>
      </c>
      <c r="N145" s="12">
        <v>360111</v>
      </c>
      <c r="O145">
        <v>0</v>
      </c>
      <c r="P145">
        <v>1</v>
      </c>
      <c r="Q145" s="15">
        <f t="shared" si="6"/>
        <v>0.10078444444444444</v>
      </c>
      <c r="R145" s="9">
        <f t="shared" si="7"/>
        <v>38250000</v>
      </c>
      <c r="S145" s="9">
        <f t="shared" si="8"/>
        <v>45353000</v>
      </c>
    </row>
    <row r="146" spans="1:19" x14ac:dyDescent="0.25">
      <c r="A146" t="s">
        <v>1488</v>
      </c>
      <c r="B146">
        <v>30020</v>
      </c>
      <c r="C146" s="8">
        <v>45576</v>
      </c>
      <c r="D146" t="s">
        <v>1493</v>
      </c>
      <c r="E146" s="11" t="s">
        <v>205</v>
      </c>
      <c r="F146" t="s">
        <v>805</v>
      </c>
      <c r="G146" t="s">
        <v>1494</v>
      </c>
      <c r="H146" s="12">
        <v>500000000</v>
      </c>
      <c r="I146" s="9">
        <v>500000000</v>
      </c>
      <c r="J146" s="15">
        <v>0.09</v>
      </c>
      <c r="K146" s="12">
        <v>1050000</v>
      </c>
      <c r="P146">
        <v>1</v>
      </c>
      <c r="Q146" s="15">
        <f t="shared" si="6"/>
        <v>9.2100000000000001E-2</v>
      </c>
      <c r="R146" s="9">
        <f t="shared" si="7"/>
        <v>45000000</v>
      </c>
      <c r="S146" s="9">
        <f t="shared" si="8"/>
        <v>46050000</v>
      </c>
    </row>
    <row r="147" spans="1:19" x14ac:dyDescent="0.25">
      <c r="A147" t="s">
        <v>210</v>
      </c>
      <c r="B147" t="s">
        <v>783</v>
      </c>
      <c r="C147" s="8">
        <v>45643</v>
      </c>
      <c r="D147" t="s">
        <v>1162</v>
      </c>
      <c r="E147" s="11" t="s">
        <v>205</v>
      </c>
      <c r="F147" t="s">
        <v>805</v>
      </c>
      <c r="G147" t="s">
        <v>1163</v>
      </c>
      <c r="H147" s="12">
        <v>1500000000</v>
      </c>
      <c r="I147" s="9">
        <v>1500000000</v>
      </c>
      <c r="J147" s="15">
        <v>0.08</v>
      </c>
      <c r="K147" s="12">
        <v>300000</v>
      </c>
      <c r="M147" s="9">
        <v>56700</v>
      </c>
      <c r="P147">
        <v>1</v>
      </c>
      <c r="Q147" s="15">
        <f t="shared" si="6"/>
        <v>8.0237799999999998E-2</v>
      </c>
      <c r="R147" s="9">
        <f t="shared" si="7"/>
        <v>120000000</v>
      </c>
      <c r="S147" s="9">
        <f t="shared" si="8"/>
        <v>120356700</v>
      </c>
    </row>
    <row r="148" spans="1:19" x14ac:dyDescent="0.25">
      <c r="A148" t="s">
        <v>272</v>
      </c>
      <c r="B148">
        <v>30008</v>
      </c>
      <c r="C148" s="8">
        <v>45572</v>
      </c>
      <c r="D148" t="s">
        <v>807</v>
      </c>
      <c r="E148" s="11" t="s">
        <v>201</v>
      </c>
      <c r="F148" t="s">
        <v>274</v>
      </c>
      <c r="G148" t="s">
        <v>808</v>
      </c>
      <c r="H148" s="12">
        <v>65000000</v>
      </c>
      <c r="I148" s="9"/>
      <c r="J148" s="17">
        <v>0.1</v>
      </c>
      <c r="K148" s="12">
        <v>1189000</v>
      </c>
      <c r="L148" s="9"/>
      <c r="M148" s="12">
        <f>H148*(1.05/100)</f>
        <v>682500</v>
      </c>
      <c r="N148" s="12">
        <v>728433</v>
      </c>
      <c r="O148">
        <v>0</v>
      </c>
      <c r="P148">
        <v>1</v>
      </c>
      <c r="Q148" s="15">
        <f t="shared" si="6"/>
        <v>0.12879230769230771</v>
      </c>
      <c r="R148" s="9">
        <f t="shared" si="7"/>
        <v>6500000</v>
      </c>
      <c r="S148" s="9">
        <f t="shared" si="8"/>
        <v>8371500.0000000009</v>
      </c>
    </row>
    <row r="149" spans="1:19" x14ac:dyDescent="0.25">
      <c r="A149" t="s">
        <v>1488</v>
      </c>
      <c r="B149">
        <v>30020</v>
      </c>
      <c r="C149" s="8">
        <v>45657</v>
      </c>
      <c r="D149" t="s">
        <v>1491</v>
      </c>
      <c r="E149" s="11" t="s">
        <v>201</v>
      </c>
      <c r="F149" t="s">
        <v>805</v>
      </c>
      <c r="G149" t="s">
        <v>1492</v>
      </c>
      <c r="H149" s="12">
        <v>310000000</v>
      </c>
      <c r="I149" s="9">
        <v>310000000</v>
      </c>
      <c r="J149" s="17">
        <v>0.06</v>
      </c>
      <c r="K149" s="12">
        <v>1050000</v>
      </c>
      <c r="P149">
        <v>1</v>
      </c>
      <c r="Q149" s="15">
        <f t="shared" si="6"/>
        <v>6.3387096774193546E-2</v>
      </c>
      <c r="R149" s="9">
        <f t="shared" si="7"/>
        <v>18600000</v>
      </c>
      <c r="S149" s="9">
        <f t="shared" si="8"/>
        <v>19650000</v>
      </c>
    </row>
    <row r="150" spans="1:19" x14ac:dyDescent="0.25">
      <c r="A150" t="s">
        <v>1192</v>
      </c>
      <c r="B150">
        <v>30019</v>
      </c>
      <c r="C150" s="8">
        <v>45590</v>
      </c>
      <c r="D150" t="s">
        <v>1293</v>
      </c>
      <c r="E150" s="11" t="s">
        <v>205</v>
      </c>
      <c r="F150" t="s">
        <v>819</v>
      </c>
      <c r="G150" t="s">
        <v>1210</v>
      </c>
      <c r="H150" s="12">
        <v>118448012</v>
      </c>
      <c r="I150" s="9">
        <v>0</v>
      </c>
      <c r="J150" s="15">
        <v>0.13500000000000001</v>
      </c>
      <c r="K150" s="12">
        <v>297250</v>
      </c>
      <c r="L150" s="12">
        <v>0</v>
      </c>
      <c r="M150" s="9">
        <v>0</v>
      </c>
      <c r="N150" s="12">
        <v>0</v>
      </c>
      <c r="O150">
        <v>0</v>
      </c>
      <c r="P150">
        <v>1</v>
      </c>
      <c r="Q150" s="15">
        <f t="shared" si="6"/>
        <v>0.13750953979708838</v>
      </c>
      <c r="R150" s="9">
        <f t="shared" si="7"/>
        <v>15990481.620000001</v>
      </c>
      <c r="S150" s="9">
        <f t="shared" si="8"/>
        <v>16287731.620000003</v>
      </c>
    </row>
    <row r="151" spans="1:19" x14ac:dyDescent="0.25">
      <c r="A151" t="s">
        <v>1488</v>
      </c>
      <c r="B151">
        <v>30020</v>
      </c>
      <c r="C151" s="8">
        <v>45639</v>
      </c>
      <c r="D151" t="s">
        <v>787</v>
      </c>
      <c r="E151" s="11" t="s">
        <v>759</v>
      </c>
      <c r="F151" t="s">
        <v>805</v>
      </c>
      <c r="G151" t="s">
        <v>1495</v>
      </c>
      <c r="H151" s="12">
        <v>23000000000</v>
      </c>
      <c r="I151" s="9">
        <v>23000000000</v>
      </c>
      <c r="J151" s="17">
        <v>0.06</v>
      </c>
      <c r="K151" s="12">
        <v>1050000</v>
      </c>
      <c r="P151">
        <v>1</v>
      </c>
      <c r="Q151" s="15">
        <f t="shared" si="6"/>
        <v>6.0045652173913042E-2</v>
      </c>
      <c r="R151" s="9">
        <f t="shared" si="7"/>
        <v>1380000000</v>
      </c>
      <c r="S151" s="9">
        <f t="shared" si="8"/>
        <v>1381050000</v>
      </c>
    </row>
    <row r="152" spans="1:19" x14ac:dyDescent="0.25">
      <c r="A152" t="s">
        <v>777</v>
      </c>
      <c r="B152" s="25">
        <v>30014</v>
      </c>
      <c r="C152" s="8">
        <v>45642</v>
      </c>
      <c r="D152" t="s">
        <v>1507</v>
      </c>
      <c r="E152" s="11" t="s">
        <v>759</v>
      </c>
      <c r="F152" t="s">
        <v>805</v>
      </c>
      <c r="G152" t="s">
        <v>1508</v>
      </c>
      <c r="H152" s="12">
        <v>500000000</v>
      </c>
      <c r="J152" s="26">
        <v>7.4999999999999997E-2</v>
      </c>
      <c r="K152" s="12">
        <v>5000000</v>
      </c>
      <c r="Q152" s="15">
        <f t="shared" si="6"/>
        <v>8.5000000000000006E-2</v>
      </c>
      <c r="R152" s="9">
        <f t="shared" si="7"/>
        <v>37500000</v>
      </c>
      <c r="S152" s="9">
        <f t="shared" si="8"/>
        <v>42500000</v>
      </c>
    </row>
    <row r="153" spans="1:19" x14ac:dyDescent="0.25">
      <c r="A153" t="s">
        <v>29</v>
      </c>
      <c r="B153">
        <v>30012</v>
      </c>
      <c r="C153" s="8">
        <v>45650</v>
      </c>
      <c r="D153" t="s">
        <v>845</v>
      </c>
      <c r="E153" s="11" t="s">
        <v>205</v>
      </c>
      <c r="F153" t="s">
        <v>805</v>
      </c>
      <c r="G153" t="s">
        <v>609</v>
      </c>
      <c r="H153" s="12">
        <v>30000000</v>
      </c>
      <c r="I153" s="9">
        <v>6779781</v>
      </c>
      <c r="J153" s="15">
        <v>0.11</v>
      </c>
      <c r="K153" s="12">
        <v>0</v>
      </c>
      <c r="L153" s="12">
        <v>0</v>
      </c>
      <c r="M153" s="9">
        <v>0</v>
      </c>
      <c r="N153" s="12">
        <v>190587.177</v>
      </c>
      <c r="O153">
        <v>92</v>
      </c>
      <c r="Q153" s="15">
        <f t="shared" si="6"/>
        <v>0.11</v>
      </c>
      <c r="R153" s="9">
        <f t="shared" si="7"/>
        <v>3300000</v>
      </c>
      <c r="S153" s="9">
        <f t="shared" si="8"/>
        <v>3300000</v>
      </c>
    </row>
    <row r="154" spans="1:19" x14ac:dyDescent="0.25">
      <c r="A154" t="s">
        <v>210</v>
      </c>
      <c r="B154" t="s">
        <v>783</v>
      </c>
      <c r="C154" s="8">
        <v>45616</v>
      </c>
      <c r="D154" t="s">
        <v>1161</v>
      </c>
      <c r="E154" s="11" t="s">
        <v>205</v>
      </c>
      <c r="F154" t="s">
        <v>805</v>
      </c>
      <c r="G154" t="s">
        <v>258</v>
      </c>
      <c r="H154" s="12">
        <v>150000000</v>
      </c>
      <c r="I154" s="9">
        <v>150000000</v>
      </c>
      <c r="J154" s="15">
        <v>0.1</v>
      </c>
      <c r="K154" s="12">
        <v>300000</v>
      </c>
      <c r="M154" s="9">
        <v>56700</v>
      </c>
      <c r="P154">
        <v>1</v>
      </c>
      <c r="Q154" s="15">
        <f t="shared" si="6"/>
        <v>0.102378</v>
      </c>
      <c r="R154" s="9">
        <f t="shared" si="7"/>
        <v>15000000</v>
      </c>
      <c r="S154" s="9">
        <f t="shared" si="8"/>
        <v>15356700</v>
      </c>
    </row>
    <row r="155" spans="1:19" x14ac:dyDescent="0.25">
      <c r="A155" t="s">
        <v>1505</v>
      </c>
      <c r="B155" s="25">
        <v>30016</v>
      </c>
      <c r="C155" s="8">
        <v>45638</v>
      </c>
      <c r="D155" t="s">
        <v>1506</v>
      </c>
      <c r="E155" s="11" t="s">
        <v>201</v>
      </c>
      <c r="F155" t="s">
        <v>819</v>
      </c>
      <c r="G155" t="s">
        <v>785</v>
      </c>
      <c r="H155" s="12">
        <v>700000000</v>
      </c>
      <c r="I155" s="9"/>
      <c r="J155" s="15">
        <v>0.08</v>
      </c>
      <c r="K155" s="12">
        <v>7000000</v>
      </c>
      <c r="L155" s="12">
        <v>0</v>
      </c>
      <c r="M155" s="9">
        <v>7000000</v>
      </c>
      <c r="N155" s="12">
        <v>0</v>
      </c>
      <c r="P155">
        <v>1</v>
      </c>
      <c r="Q155" s="15">
        <f t="shared" si="6"/>
        <v>0.1</v>
      </c>
      <c r="R155" s="9">
        <f t="shared" si="7"/>
        <v>56000000</v>
      </c>
      <c r="S155" s="9">
        <f t="shared" si="8"/>
        <v>70000000</v>
      </c>
    </row>
    <row r="156" spans="1:19" x14ac:dyDescent="0.25">
      <c r="A156" t="s">
        <v>670</v>
      </c>
      <c r="B156">
        <v>30018</v>
      </c>
      <c r="C156" s="8">
        <v>45635</v>
      </c>
      <c r="D156" t="s">
        <v>1119</v>
      </c>
      <c r="E156" s="11" t="s">
        <v>201</v>
      </c>
      <c r="F156" t="s">
        <v>819</v>
      </c>
      <c r="G156" t="s">
        <v>1118</v>
      </c>
      <c r="H156" s="12">
        <v>300000000</v>
      </c>
      <c r="I156" s="9">
        <v>0</v>
      </c>
      <c r="J156" s="17">
        <v>0.06</v>
      </c>
      <c r="K156" s="12">
        <v>0</v>
      </c>
      <c r="L156" s="12">
        <v>0</v>
      </c>
      <c r="M156" s="9">
        <v>3032000</v>
      </c>
      <c r="N156" s="12">
        <v>682054</v>
      </c>
      <c r="O156">
        <v>1</v>
      </c>
      <c r="P156">
        <v>1</v>
      </c>
      <c r="Q156" s="15">
        <f t="shared" si="6"/>
        <v>7.0106666666666664E-2</v>
      </c>
      <c r="R156" s="9">
        <f t="shared" si="7"/>
        <v>18000000</v>
      </c>
      <c r="S156" s="9">
        <f t="shared" si="8"/>
        <v>21032000</v>
      </c>
    </row>
    <row r="157" spans="1:19" x14ac:dyDescent="0.25">
      <c r="A157" t="s">
        <v>29</v>
      </c>
      <c r="B157">
        <v>30012</v>
      </c>
      <c r="C157" s="8">
        <v>45657</v>
      </c>
      <c r="D157" t="s">
        <v>820</v>
      </c>
      <c r="E157" s="11" t="s">
        <v>205</v>
      </c>
      <c r="F157" t="s">
        <v>819</v>
      </c>
      <c r="H157" s="12">
        <v>65094</v>
      </c>
      <c r="I157" s="9">
        <v>65094</v>
      </c>
      <c r="J157" s="15">
        <v>0.15</v>
      </c>
      <c r="K157" s="12">
        <v>0</v>
      </c>
      <c r="L157" s="12">
        <v>0</v>
      </c>
      <c r="M157" s="9">
        <v>0</v>
      </c>
      <c r="N157" s="12">
        <v>27.122500000000002</v>
      </c>
      <c r="O157">
        <v>1</v>
      </c>
      <c r="Q157" s="15">
        <f t="shared" si="6"/>
        <v>0.15</v>
      </c>
      <c r="R157" s="9">
        <f t="shared" si="7"/>
        <v>9764.1</v>
      </c>
      <c r="S157" s="9">
        <f t="shared" si="8"/>
        <v>9764.1</v>
      </c>
    </row>
    <row r="158" spans="1:19" x14ac:dyDescent="0.25">
      <c r="A158" t="s">
        <v>259</v>
      </c>
      <c r="B158" s="24">
        <v>30013</v>
      </c>
      <c r="C158" s="8">
        <v>45602</v>
      </c>
      <c r="D158" t="s">
        <v>1183</v>
      </c>
      <c r="E158" s="11" t="s">
        <v>205</v>
      </c>
      <c r="F158" t="s">
        <v>805</v>
      </c>
      <c r="G158" t="s">
        <v>1184</v>
      </c>
      <c r="H158" s="12">
        <v>40000000</v>
      </c>
      <c r="I158" s="9">
        <v>39862707</v>
      </c>
      <c r="J158" s="15">
        <v>7.4999999999999997E-2</v>
      </c>
      <c r="K158" s="12">
        <v>475600</v>
      </c>
      <c r="L158" s="12">
        <v>0</v>
      </c>
      <c r="M158" s="9">
        <v>839000</v>
      </c>
      <c r="N158" s="12">
        <v>437357</v>
      </c>
      <c r="O158" s="9">
        <v>0</v>
      </c>
      <c r="P158">
        <v>1</v>
      </c>
      <c r="Q158" s="15">
        <f t="shared" si="6"/>
        <v>0.107865</v>
      </c>
      <c r="R158" s="9">
        <f t="shared" si="7"/>
        <v>3000000</v>
      </c>
      <c r="S158" s="9">
        <f t="shared" si="8"/>
        <v>4314600</v>
      </c>
    </row>
    <row r="159" spans="1:19" x14ac:dyDescent="0.25">
      <c r="A159" t="s">
        <v>29</v>
      </c>
      <c r="B159">
        <v>30012</v>
      </c>
      <c r="C159" s="8">
        <v>45583</v>
      </c>
      <c r="D159" t="s">
        <v>1051</v>
      </c>
      <c r="E159" s="11" t="s">
        <v>201</v>
      </c>
      <c r="F159" t="s">
        <v>805</v>
      </c>
      <c r="G159" t="s">
        <v>202</v>
      </c>
      <c r="H159" s="12">
        <v>200000000</v>
      </c>
      <c r="I159" s="9">
        <v>239397010</v>
      </c>
      <c r="J159" s="15">
        <v>0.11</v>
      </c>
      <c r="K159" s="12">
        <v>12000000</v>
      </c>
      <c r="L159" s="12">
        <v>0</v>
      </c>
      <c r="M159" s="9">
        <v>0</v>
      </c>
      <c r="N159" s="12">
        <v>6729715.9477777788</v>
      </c>
      <c r="O159">
        <v>92</v>
      </c>
      <c r="Q159" s="15">
        <f t="shared" si="6"/>
        <v>0.17</v>
      </c>
      <c r="R159" s="9">
        <f t="shared" si="7"/>
        <v>22000000</v>
      </c>
      <c r="S159" s="9">
        <f t="shared" si="8"/>
        <v>34000000</v>
      </c>
    </row>
    <row r="160" spans="1:19" x14ac:dyDescent="0.25">
      <c r="A160" t="s">
        <v>29</v>
      </c>
      <c r="B160">
        <v>30012</v>
      </c>
      <c r="C160" s="8">
        <v>45589</v>
      </c>
      <c r="D160" t="s">
        <v>1036</v>
      </c>
      <c r="E160" s="11" t="s">
        <v>205</v>
      </c>
      <c r="F160" t="s">
        <v>819</v>
      </c>
      <c r="G160" t="s">
        <v>609</v>
      </c>
      <c r="H160" s="12">
        <v>1652064</v>
      </c>
      <c r="I160" s="9">
        <v>1652064</v>
      </c>
      <c r="J160" s="15">
        <v>0.15</v>
      </c>
      <c r="K160" s="12">
        <v>0</v>
      </c>
      <c r="L160" s="12">
        <v>0</v>
      </c>
      <c r="M160" s="9">
        <v>0</v>
      </c>
      <c r="N160" s="12">
        <v>47496.84</v>
      </c>
      <c r="O160">
        <v>69</v>
      </c>
      <c r="Q160" s="15">
        <f t="shared" si="6"/>
        <v>0.15</v>
      </c>
      <c r="R160" s="9">
        <f t="shared" si="7"/>
        <v>247809.59999999998</v>
      </c>
      <c r="S160" s="9">
        <f t="shared" si="8"/>
        <v>247809.59999999998</v>
      </c>
    </row>
    <row r="161" spans="1:19" x14ac:dyDescent="0.25">
      <c r="A161" t="s">
        <v>210</v>
      </c>
      <c r="B161" t="s">
        <v>783</v>
      </c>
      <c r="C161" s="8">
        <v>45645</v>
      </c>
      <c r="D161" t="s">
        <v>1160</v>
      </c>
      <c r="E161" s="11" t="s">
        <v>205</v>
      </c>
      <c r="F161" t="s">
        <v>805</v>
      </c>
      <c r="G161" t="s">
        <v>258</v>
      </c>
      <c r="H161" s="12">
        <v>120000000</v>
      </c>
      <c r="I161" s="9">
        <v>120000000</v>
      </c>
      <c r="J161" s="15">
        <v>0.15</v>
      </c>
      <c r="K161" s="12">
        <v>1500000</v>
      </c>
      <c r="M161" s="9">
        <v>283500</v>
      </c>
      <c r="P161">
        <v>1</v>
      </c>
      <c r="Q161" s="15">
        <f t="shared" si="6"/>
        <v>0.1648625</v>
      </c>
      <c r="R161" s="9">
        <f t="shared" si="7"/>
        <v>18000000</v>
      </c>
      <c r="S161" s="9">
        <f t="shared" si="8"/>
        <v>19783500</v>
      </c>
    </row>
    <row r="162" spans="1:19" x14ac:dyDescent="0.25">
      <c r="A162" t="s">
        <v>210</v>
      </c>
      <c r="B162" t="s">
        <v>783</v>
      </c>
      <c r="C162" s="8">
        <v>45611</v>
      </c>
      <c r="D162" t="s">
        <v>1159</v>
      </c>
      <c r="E162" s="11" t="s">
        <v>205</v>
      </c>
      <c r="F162" t="s">
        <v>805</v>
      </c>
      <c r="G162" t="s">
        <v>679</v>
      </c>
      <c r="H162" s="12">
        <v>500000000</v>
      </c>
      <c r="I162" s="9">
        <v>500000000</v>
      </c>
      <c r="J162" s="15">
        <v>0.1</v>
      </c>
      <c r="K162" s="12">
        <v>300000</v>
      </c>
      <c r="M162" s="9">
        <v>56700</v>
      </c>
      <c r="P162">
        <v>1</v>
      </c>
      <c r="Q162" s="15">
        <f t="shared" si="6"/>
        <v>0.10071339999999999</v>
      </c>
      <c r="R162" s="9">
        <f t="shared" si="7"/>
        <v>50000000</v>
      </c>
      <c r="S162" s="9">
        <f t="shared" si="8"/>
        <v>50356700</v>
      </c>
    </row>
    <row r="163" spans="1:19" x14ac:dyDescent="0.25">
      <c r="A163" t="s">
        <v>1192</v>
      </c>
      <c r="B163">
        <v>30019</v>
      </c>
      <c r="C163" s="8">
        <v>45630</v>
      </c>
      <c r="D163" t="s">
        <v>1406</v>
      </c>
      <c r="E163" s="11" t="s">
        <v>205</v>
      </c>
      <c r="F163" t="s">
        <v>805</v>
      </c>
      <c r="G163" t="s">
        <v>1288</v>
      </c>
      <c r="H163" s="12">
        <v>2500000</v>
      </c>
      <c r="I163" s="9">
        <v>0</v>
      </c>
      <c r="J163" s="15">
        <v>0.1</v>
      </c>
      <c r="K163" s="12">
        <v>89175</v>
      </c>
      <c r="L163" s="12">
        <v>0</v>
      </c>
      <c r="M163" s="9">
        <v>0</v>
      </c>
      <c r="N163" s="12">
        <v>0</v>
      </c>
      <c r="O163">
        <v>0</v>
      </c>
      <c r="P163">
        <v>1</v>
      </c>
      <c r="Q163" s="15">
        <f t="shared" si="6"/>
        <v>0.13567000000000001</v>
      </c>
      <c r="R163" s="9">
        <f t="shared" si="7"/>
        <v>250000</v>
      </c>
      <c r="S163" s="9">
        <f t="shared" si="8"/>
        <v>339175.00000000006</v>
      </c>
    </row>
    <row r="164" spans="1:19" x14ac:dyDescent="0.25">
      <c r="A164" t="s">
        <v>29</v>
      </c>
      <c r="B164">
        <v>30012</v>
      </c>
      <c r="C164" s="8">
        <v>45628</v>
      </c>
      <c r="D164" t="s">
        <v>931</v>
      </c>
      <c r="E164" s="11" t="s">
        <v>205</v>
      </c>
      <c r="F164" t="s">
        <v>805</v>
      </c>
      <c r="G164" t="s">
        <v>662</v>
      </c>
      <c r="H164" s="12">
        <v>394216</v>
      </c>
      <c r="I164" s="9">
        <v>394216</v>
      </c>
      <c r="J164" s="15">
        <v>0.15</v>
      </c>
      <c r="K164" s="12">
        <v>0</v>
      </c>
      <c r="L164" s="12">
        <v>0</v>
      </c>
      <c r="M164" s="9">
        <v>0</v>
      </c>
      <c r="N164" s="12">
        <v>4927.6999999999989</v>
      </c>
      <c r="O164">
        <v>30</v>
      </c>
      <c r="Q164" s="15">
        <f t="shared" si="6"/>
        <v>0.15</v>
      </c>
      <c r="R164" s="9">
        <f t="shared" si="7"/>
        <v>59132.399999999994</v>
      </c>
      <c r="S164" s="9">
        <f t="shared" si="8"/>
        <v>59132.399999999994</v>
      </c>
    </row>
    <row r="165" spans="1:19" x14ac:dyDescent="0.25">
      <c r="A165" t="s">
        <v>1192</v>
      </c>
      <c r="B165">
        <v>30019</v>
      </c>
      <c r="C165" s="8">
        <v>45582</v>
      </c>
      <c r="D165" t="s">
        <v>1271</v>
      </c>
      <c r="E165" s="11" t="s">
        <v>759</v>
      </c>
      <c r="F165" t="s">
        <v>805</v>
      </c>
      <c r="G165" t="s">
        <v>1272</v>
      </c>
      <c r="H165" s="12">
        <v>56048294</v>
      </c>
      <c r="I165" s="9">
        <v>0</v>
      </c>
      <c r="J165" s="15">
        <v>0.13200000000000001</v>
      </c>
      <c r="K165" s="12">
        <v>297250</v>
      </c>
      <c r="L165" s="12">
        <v>0</v>
      </c>
      <c r="M165" s="9">
        <v>0</v>
      </c>
      <c r="N165" s="12">
        <v>0</v>
      </c>
      <c r="O165">
        <v>0</v>
      </c>
      <c r="P165">
        <v>1</v>
      </c>
      <c r="Q165" s="15">
        <f t="shared" si="6"/>
        <v>0.13730346204649868</v>
      </c>
      <c r="R165" s="9">
        <f t="shared" si="7"/>
        <v>7398374.8080000002</v>
      </c>
      <c r="S165" s="9">
        <f t="shared" si="8"/>
        <v>7695624.8080000002</v>
      </c>
    </row>
    <row r="166" spans="1:19" x14ac:dyDescent="0.25">
      <c r="A166" t="s">
        <v>1496</v>
      </c>
      <c r="B166" t="s">
        <v>764</v>
      </c>
      <c r="C166" s="8">
        <v>45632</v>
      </c>
      <c r="D166" t="s">
        <v>1497</v>
      </c>
      <c r="E166" s="11" t="s">
        <v>201</v>
      </c>
      <c r="F166" t="s">
        <v>819</v>
      </c>
      <c r="G166" t="s">
        <v>772</v>
      </c>
      <c r="H166" s="12">
        <v>150000000</v>
      </c>
      <c r="I166" s="9">
        <v>142300426</v>
      </c>
      <c r="J166" s="15">
        <v>8.5000000000000006E-2</v>
      </c>
      <c r="K166" s="12">
        <v>2000000</v>
      </c>
      <c r="L166" s="12">
        <v>0</v>
      </c>
      <c r="M166" s="9">
        <v>0</v>
      </c>
      <c r="N166" s="12">
        <v>2942188</v>
      </c>
      <c r="O166">
        <v>5</v>
      </c>
      <c r="P166">
        <v>1</v>
      </c>
      <c r="Q166" s="15">
        <f t="shared" si="6"/>
        <v>9.8333333333333328E-2</v>
      </c>
      <c r="R166" s="9">
        <f t="shared" si="7"/>
        <v>12750000</v>
      </c>
      <c r="S166" s="9">
        <f t="shared" si="8"/>
        <v>14750000</v>
      </c>
    </row>
    <row r="167" spans="1:19" x14ac:dyDescent="0.25">
      <c r="A167" t="s">
        <v>29</v>
      </c>
      <c r="B167">
        <v>30012</v>
      </c>
      <c r="C167" s="8">
        <v>45568</v>
      </c>
      <c r="D167" t="s">
        <v>1092</v>
      </c>
      <c r="E167" s="11" t="s">
        <v>205</v>
      </c>
      <c r="F167" t="s">
        <v>819</v>
      </c>
      <c r="G167" t="s">
        <v>609</v>
      </c>
      <c r="H167" s="12">
        <v>884682</v>
      </c>
      <c r="I167" s="9">
        <v>884682</v>
      </c>
      <c r="J167" s="15">
        <v>0.15</v>
      </c>
      <c r="K167" s="12">
        <v>0</v>
      </c>
      <c r="L167" s="12">
        <v>0</v>
      </c>
      <c r="M167" s="9">
        <v>0</v>
      </c>
      <c r="N167" s="12">
        <v>33175.574999999997</v>
      </c>
      <c r="O167">
        <v>90</v>
      </c>
      <c r="Q167" s="15">
        <f t="shared" si="6"/>
        <v>0.15</v>
      </c>
      <c r="R167" s="9">
        <f t="shared" si="7"/>
        <v>132702.29999999999</v>
      </c>
      <c r="S167" s="9">
        <f t="shared" si="8"/>
        <v>132702.29999999999</v>
      </c>
    </row>
    <row r="168" spans="1:19" x14ac:dyDescent="0.25">
      <c r="A168" t="s">
        <v>1496</v>
      </c>
      <c r="B168" t="s">
        <v>764</v>
      </c>
      <c r="C168" s="8">
        <v>45614</v>
      </c>
      <c r="D168" t="s">
        <v>1504</v>
      </c>
      <c r="E168" s="11" t="s">
        <v>201</v>
      </c>
      <c r="F168" t="s">
        <v>819</v>
      </c>
      <c r="G168" t="s">
        <v>774</v>
      </c>
      <c r="H168" s="12">
        <v>1000000000</v>
      </c>
      <c r="I168" s="9">
        <v>203823488</v>
      </c>
      <c r="J168" s="15">
        <v>7.0000000000000007E-2</v>
      </c>
      <c r="K168" s="12">
        <v>5000000</v>
      </c>
      <c r="L168" s="12">
        <v>0</v>
      </c>
      <c r="M168" s="9">
        <v>0</v>
      </c>
      <c r="N168" s="12">
        <v>0</v>
      </c>
      <c r="O168">
        <v>0</v>
      </c>
      <c r="P168">
        <v>1</v>
      </c>
      <c r="Q168" s="15">
        <f t="shared" si="6"/>
        <v>7.4999999999999997E-2</v>
      </c>
      <c r="R168" s="9">
        <f t="shared" si="7"/>
        <v>70000000</v>
      </c>
      <c r="S168" s="9">
        <f t="shared" si="8"/>
        <v>75000000</v>
      </c>
    </row>
    <row r="169" spans="1:19" x14ac:dyDescent="0.25">
      <c r="A169" t="s">
        <v>670</v>
      </c>
      <c r="B169">
        <v>30018</v>
      </c>
      <c r="C169" s="8">
        <v>45635</v>
      </c>
      <c r="D169" t="s">
        <v>1122</v>
      </c>
      <c r="E169" s="11" t="s">
        <v>205</v>
      </c>
      <c r="F169" t="s">
        <v>819</v>
      </c>
      <c r="G169" t="s">
        <v>1123</v>
      </c>
      <c r="H169" s="12">
        <v>100000000</v>
      </c>
      <c r="I169" s="9">
        <v>96854798</v>
      </c>
      <c r="J169" s="15">
        <v>0.09</v>
      </c>
      <c r="K169" s="12">
        <v>6200000</v>
      </c>
      <c r="L169" s="12">
        <v>0</v>
      </c>
      <c r="M169" s="9">
        <v>1032000</v>
      </c>
      <c r="N169" s="12">
        <v>3154451</v>
      </c>
      <c r="O169">
        <v>12</v>
      </c>
      <c r="P169">
        <v>1</v>
      </c>
      <c r="Q169" s="15">
        <f t="shared" si="6"/>
        <v>0.16231999999999999</v>
      </c>
      <c r="R169" s="9">
        <f t="shared" si="7"/>
        <v>9000000</v>
      </c>
      <c r="S169" s="9">
        <f t="shared" si="8"/>
        <v>16232000</v>
      </c>
    </row>
    <row r="170" spans="1:19" x14ac:dyDescent="0.25">
      <c r="A170" t="s">
        <v>1192</v>
      </c>
      <c r="B170">
        <v>30019</v>
      </c>
      <c r="C170" s="8">
        <v>45574</v>
      </c>
      <c r="D170" t="s">
        <v>1240</v>
      </c>
      <c r="E170" s="11" t="s">
        <v>205</v>
      </c>
      <c r="F170" t="s">
        <v>819</v>
      </c>
      <c r="G170" t="s">
        <v>1193</v>
      </c>
      <c r="H170" s="12">
        <v>9807364</v>
      </c>
      <c r="I170" s="9">
        <v>0</v>
      </c>
      <c r="J170" s="15">
        <v>0.15</v>
      </c>
      <c r="K170" s="12">
        <v>118900</v>
      </c>
      <c r="L170" s="12">
        <v>0</v>
      </c>
      <c r="M170" s="9">
        <v>0</v>
      </c>
      <c r="N170" s="12">
        <v>0</v>
      </c>
      <c r="O170">
        <v>0</v>
      </c>
      <c r="P170">
        <v>1</v>
      </c>
      <c r="Q170" s="15">
        <f t="shared" si="6"/>
        <v>0.16212354308456378</v>
      </c>
      <c r="R170" s="9">
        <f t="shared" si="7"/>
        <v>1471104.5999999999</v>
      </c>
      <c r="S170" s="9">
        <f t="shared" si="8"/>
        <v>1590004.5999999999</v>
      </c>
    </row>
    <row r="171" spans="1:19" x14ac:dyDescent="0.25">
      <c r="A171" t="s">
        <v>29</v>
      </c>
      <c r="B171">
        <v>30012</v>
      </c>
      <c r="C171" s="8">
        <v>45656</v>
      </c>
      <c r="D171" t="s">
        <v>828</v>
      </c>
      <c r="E171" s="11" t="s">
        <v>205</v>
      </c>
      <c r="F171" t="s">
        <v>805</v>
      </c>
      <c r="G171" t="s">
        <v>202</v>
      </c>
      <c r="H171" s="12">
        <v>180124</v>
      </c>
      <c r="I171" s="9">
        <v>180124</v>
      </c>
      <c r="J171" s="15">
        <v>0.15</v>
      </c>
      <c r="K171" s="12">
        <v>0</v>
      </c>
      <c r="L171" s="12">
        <v>0</v>
      </c>
      <c r="M171" s="9">
        <v>0</v>
      </c>
      <c r="N171" s="12">
        <v>150.10333333333332</v>
      </c>
      <c r="O171">
        <v>2</v>
      </c>
      <c r="Q171" s="15">
        <f t="shared" si="6"/>
        <v>0.15</v>
      </c>
      <c r="R171" s="9">
        <f t="shared" si="7"/>
        <v>27018.6</v>
      </c>
      <c r="S171" s="9">
        <f t="shared" si="8"/>
        <v>27018.6</v>
      </c>
    </row>
    <row r="172" spans="1:19" x14ac:dyDescent="0.25">
      <c r="A172" t="s">
        <v>272</v>
      </c>
      <c r="B172">
        <v>30008</v>
      </c>
      <c r="C172" s="8">
        <v>45618</v>
      </c>
      <c r="D172" t="s">
        <v>813</v>
      </c>
      <c r="E172" s="11" t="s">
        <v>201</v>
      </c>
      <c r="F172" t="s">
        <v>274</v>
      </c>
      <c r="G172" t="s">
        <v>814</v>
      </c>
      <c r="H172" s="12">
        <v>60000000</v>
      </c>
      <c r="I172" s="9"/>
      <c r="J172" s="17">
        <v>0.12</v>
      </c>
      <c r="K172" s="12">
        <v>594500</v>
      </c>
      <c r="M172" s="12">
        <f>H172*(1.05/100)</f>
        <v>630000</v>
      </c>
      <c r="N172" s="12">
        <v>392778</v>
      </c>
      <c r="O172">
        <v>0</v>
      </c>
      <c r="P172">
        <v>1</v>
      </c>
      <c r="Q172" s="15">
        <f t="shared" si="6"/>
        <v>0.14040833333333333</v>
      </c>
      <c r="R172" s="9">
        <f t="shared" si="7"/>
        <v>7200000</v>
      </c>
      <c r="S172" s="9">
        <f t="shared" si="8"/>
        <v>8424500</v>
      </c>
    </row>
    <row r="173" spans="1:19" x14ac:dyDescent="0.25">
      <c r="A173" t="s">
        <v>272</v>
      </c>
      <c r="B173">
        <v>30008</v>
      </c>
      <c r="C173" s="8">
        <v>45589</v>
      </c>
      <c r="D173" t="s">
        <v>806</v>
      </c>
      <c r="E173" s="11" t="s">
        <v>201</v>
      </c>
      <c r="F173" t="s">
        <v>274</v>
      </c>
      <c r="G173" t="s">
        <v>411</v>
      </c>
      <c r="H173" s="12">
        <v>1000000000</v>
      </c>
      <c r="I173" s="9"/>
      <c r="J173" s="17">
        <v>0.06</v>
      </c>
      <c r="K173" s="12">
        <v>5945000</v>
      </c>
      <c r="L173" s="9"/>
      <c r="M173" s="12">
        <f>H173*(1.05/100)</f>
        <v>10500000</v>
      </c>
      <c r="N173" s="12">
        <v>6346021</v>
      </c>
      <c r="O173">
        <v>0</v>
      </c>
      <c r="P173">
        <v>1</v>
      </c>
      <c r="Q173" s="15">
        <f t="shared" si="6"/>
        <v>7.6444999999999999E-2</v>
      </c>
      <c r="R173" s="9">
        <f t="shared" si="7"/>
        <v>60000000</v>
      </c>
      <c r="S173" s="9">
        <f t="shared" si="8"/>
        <v>76445000</v>
      </c>
    </row>
    <row r="174" spans="1:19" x14ac:dyDescent="0.25">
      <c r="A174" t="s">
        <v>29</v>
      </c>
      <c r="B174">
        <v>30012</v>
      </c>
      <c r="C174" s="8">
        <v>45622</v>
      </c>
      <c r="D174" t="s">
        <v>200</v>
      </c>
      <c r="E174" s="11" t="s">
        <v>201</v>
      </c>
      <c r="F174" t="s">
        <v>819</v>
      </c>
      <c r="G174" t="s">
        <v>202</v>
      </c>
      <c r="H174" s="12">
        <v>500000000</v>
      </c>
      <c r="I174" s="9">
        <v>11558844</v>
      </c>
      <c r="J174" s="15">
        <v>0.09</v>
      </c>
      <c r="K174" s="12">
        <v>3720000</v>
      </c>
      <c r="L174" s="12">
        <v>0</v>
      </c>
      <c r="M174" s="9">
        <v>0</v>
      </c>
      <c r="N174" s="12">
        <v>265853.41199999995</v>
      </c>
      <c r="O174">
        <v>92</v>
      </c>
      <c r="Q174" s="15">
        <f t="shared" si="6"/>
        <v>9.7439999999999999E-2</v>
      </c>
      <c r="R174" s="9">
        <f t="shared" si="7"/>
        <v>45000000</v>
      </c>
      <c r="S174" s="9">
        <f t="shared" si="8"/>
        <v>48720000</v>
      </c>
    </row>
    <row r="175" spans="1:19" x14ac:dyDescent="0.25">
      <c r="A175" t="s">
        <v>29</v>
      </c>
      <c r="B175">
        <v>30012</v>
      </c>
      <c r="C175" s="8">
        <v>45652</v>
      </c>
      <c r="D175" t="s">
        <v>840</v>
      </c>
      <c r="E175" s="11" t="s">
        <v>205</v>
      </c>
      <c r="F175" t="s">
        <v>805</v>
      </c>
      <c r="G175" t="s">
        <v>202</v>
      </c>
      <c r="H175" s="12">
        <v>145489</v>
      </c>
      <c r="I175" s="9">
        <v>145489</v>
      </c>
      <c r="J175" s="15">
        <v>0.15</v>
      </c>
      <c r="K175" s="12">
        <v>0</v>
      </c>
      <c r="L175" s="12">
        <v>0</v>
      </c>
      <c r="M175" s="9">
        <v>0</v>
      </c>
      <c r="N175" s="12">
        <v>363.72249999999997</v>
      </c>
      <c r="O175">
        <v>6</v>
      </c>
      <c r="Q175" s="15">
        <f t="shared" si="6"/>
        <v>0.15</v>
      </c>
      <c r="R175" s="9">
        <f t="shared" si="7"/>
        <v>21823.35</v>
      </c>
      <c r="S175" s="9">
        <f t="shared" si="8"/>
        <v>21823.35</v>
      </c>
    </row>
    <row r="176" spans="1:19" x14ac:dyDescent="0.25">
      <c r="A176" t="s">
        <v>29</v>
      </c>
      <c r="B176">
        <v>30012</v>
      </c>
      <c r="C176" s="8">
        <v>45567</v>
      </c>
      <c r="D176" t="s">
        <v>1100</v>
      </c>
      <c r="E176" s="11" t="s">
        <v>205</v>
      </c>
      <c r="F176" t="s">
        <v>805</v>
      </c>
      <c r="G176" t="s">
        <v>202</v>
      </c>
      <c r="H176" s="12">
        <v>68243</v>
      </c>
      <c r="I176" s="9">
        <v>68243</v>
      </c>
      <c r="J176" s="15">
        <v>0.15</v>
      </c>
      <c r="K176" s="12">
        <v>0</v>
      </c>
      <c r="L176" s="12">
        <v>0</v>
      </c>
      <c r="M176" s="9">
        <v>0</v>
      </c>
      <c r="N176" s="12">
        <v>2587.5470833333334</v>
      </c>
      <c r="O176">
        <v>91</v>
      </c>
      <c r="Q176" s="15">
        <f t="shared" si="6"/>
        <v>0.15</v>
      </c>
      <c r="R176" s="9">
        <f t="shared" si="7"/>
        <v>10236.449999999999</v>
      </c>
      <c r="S176" s="9">
        <f t="shared" si="8"/>
        <v>10236.449999999999</v>
      </c>
    </row>
    <row r="177" spans="1:19" x14ac:dyDescent="0.25">
      <c r="A177" t="s">
        <v>1192</v>
      </c>
      <c r="B177">
        <v>30019</v>
      </c>
      <c r="C177" s="8">
        <v>45574</v>
      </c>
      <c r="D177" t="s">
        <v>1244</v>
      </c>
      <c r="E177" s="11">
        <v>6</v>
      </c>
      <c r="F177" t="s">
        <v>819</v>
      </c>
      <c r="G177" t="s">
        <v>1194</v>
      </c>
      <c r="H177" s="12">
        <v>77000</v>
      </c>
      <c r="I177" s="9">
        <v>0</v>
      </c>
      <c r="J177" s="15">
        <v>0.15</v>
      </c>
      <c r="K177" s="12">
        <v>6890</v>
      </c>
      <c r="L177" s="12">
        <v>5000</v>
      </c>
      <c r="M177" s="9">
        <v>0</v>
      </c>
      <c r="N177" s="12">
        <v>0</v>
      </c>
      <c r="O177">
        <v>0</v>
      </c>
      <c r="P177">
        <v>1</v>
      </c>
      <c r="Q177" s="15">
        <f t="shared" si="6"/>
        <v>0.23948051948051949</v>
      </c>
      <c r="R177" s="9">
        <f t="shared" si="7"/>
        <v>11550</v>
      </c>
      <c r="S177" s="9">
        <f t="shared" si="8"/>
        <v>18440</v>
      </c>
    </row>
    <row r="178" spans="1:19" x14ac:dyDescent="0.25">
      <c r="A178" t="s">
        <v>1192</v>
      </c>
      <c r="B178">
        <v>30019</v>
      </c>
      <c r="C178" s="8">
        <v>45569</v>
      </c>
      <c r="D178" t="s">
        <v>1220</v>
      </c>
      <c r="E178" s="11">
        <v>6</v>
      </c>
      <c r="F178" t="s">
        <v>805</v>
      </c>
      <c r="G178" t="s">
        <v>1195</v>
      </c>
      <c r="H178" s="12">
        <v>41500</v>
      </c>
      <c r="I178" s="9">
        <v>0</v>
      </c>
      <c r="J178" s="15">
        <v>0.15</v>
      </c>
      <c r="K178" s="12">
        <v>6890</v>
      </c>
      <c r="L178" s="12">
        <v>5000</v>
      </c>
      <c r="M178" s="9">
        <v>0</v>
      </c>
      <c r="N178" s="12">
        <v>0</v>
      </c>
      <c r="O178">
        <v>0</v>
      </c>
      <c r="P178">
        <v>1</v>
      </c>
      <c r="Q178" s="15">
        <f t="shared" si="6"/>
        <v>0.31602409638554219</v>
      </c>
      <c r="R178" s="9">
        <f t="shared" si="7"/>
        <v>6225</v>
      </c>
      <c r="S178" s="9">
        <f t="shared" si="8"/>
        <v>13115</v>
      </c>
    </row>
    <row r="179" spans="1:19" x14ac:dyDescent="0.25">
      <c r="A179" t="s">
        <v>29</v>
      </c>
      <c r="B179">
        <v>30012</v>
      </c>
      <c r="C179" s="8">
        <v>45568</v>
      </c>
      <c r="D179" t="s">
        <v>1091</v>
      </c>
      <c r="E179" s="11">
        <v>6</v>
      </c>
      <c r="F179" t="s">
        <v>805</v>
      </c>
      <c r="H179" s="12">
        <v>51127</v>
      </c>
      <c r="I179" s="9">
        <v>51127</v>
      </c>
      <c r="J179" s="15">
        <v>0.15</v>
      </c>
      <c r="K179" s="12">
        <v>0</v>
      </c>
      <c r="L179" s="12">
        <v>0</v>
      </c>
      <c r="M179" s="9">
        <v>0</v>
      </c>
      <c r="N179" s="12">
        <v>1917.2624999999996</v>
      </c>
      <c r="O179">
        <v>90</v>
      </c>
      <c r="Q179" s="15">
        <f t="shared" si="6"/>
        <v>0.15</v>
      </c>
      <c r="R179" s="9">
        <f t="shared" si="7"/>
        <v>7669.0499999999993</v>
      </c>
      <c r="S179" s="9">
        <f t="shared" si="8"/>
        <v>7669.0499999999993</v>
      </c>
    </row>
    <row r="180" spans="1:19" x14ac:dyDescent="0.25">
      <c r="A180" t="s">
        <v>29</v>
      </c>
      <c r="B180">
        <v>30012</v>
      </c>
      <c r="C180" s="8">
        <v>45568</v>
      </c>
      <c r="D180" t="s">
        <v>1090</v>
      </c>
      <c r="E180" s="11">
        <v>6</v>
      </c>
      <c r="F180" t="s">
        <v>805</v>
      </c>
      <c r="H180" s="12">
        <v>51127</v>
      </c>
      <c r="I180" s="9">
        <v>51127</v>
      </c>
      <c r="J180" s="15">
        <v>0.15</v>
      </c>
      <c r="K180" s="12">
        <v>0</v>
      </c>
      <c r="L180" s="12">
        <v>0</v>
      </c>
      <c r="M180" s="9">
        <v>0</v>
      </c>
      <c r="N180" s="12">
        <v>1917.2624999999996</v>
      </c>
      <c r="O180">
        <v>90</v>
      </c>
      <c r="Q180" s="15">
        <f t="shared" si="6"/>
        <v>0.15</v>
      </c>
      <c r="R180" s="9">
        <f t="shared" si="7"/>
        <v>7669.0499999999993</v>
      </c>
      <c r="S180" s="9">
        <f t="shared" si="8"/>
        <v>7669.0499999999993</v>
      </c>
    </row>
    <row r="181" spans="1:19" x14ac:dyDescent="0.25">
      <c r="A181" t="s">
        <v>1192</v>
      </c>
      <c r="B181">
        <v>30019</v>
      </c>
      <c r="C181" s="8">
        <v>45636</v>
      </c>
      <c r="D181" t="s">
        <v>731</v>
      </c>
      <c r="E181" s="11">
        <v>6</v>
      </c>
      <c r="F181" t="s">
        <v>805</v>
      </c>
      <c r="G181" t="s">
        <v>1194</v>
      </c>
      <c r="H181" s="12">
        <v>360000</v>
      </c>
      <c r="I181" s="9">
        <v>0</v>
      </c>
      <c r="J181" s="15">
        <v>0.13750000000000001</v>
      </c>
      <c r="K181" s="12">
        <v>6890</v>
      </c>
      <c r="L181" s="12">
        <v>5000</v>
      </c>
      <c r="M181" s="9">
        <v>0</v>
      </c>
      <c r="N181" s="12">
        <v>0</v>
      </c>
      <c r="O181">
        <v>0</v>
      </c>
      <c r="P181">
        <v>1</v>
      </c>
      <c r="Q181" s="15">
        <f t="shared" si="6"/>
        <v>0.15663888888888891</v>
      </c>
      <c r="R181" s="9">
        <f t="shared" si="7"/>
        <v>49500.000000000007</v>
      </c>
      <c r="S181" s="9">
        <f t="shared" si="8"/>
        <v>56390.000000000007</v>
      </c>
    </row>
    <row r="182" spans="1:19" x14ac:dyDescent="0.25">
      <c r="A182" t="s">
        <v>210</v>
      </c>
      <c r="B182" t="s">
        <v>783</v>
      </c>
      <c r="C182" s="8">
        <v>45622</v>
      </c>
      <c r="D182" t="s">
        <v>1158</v>
      </c>
      <c r="E182" s="11">
        <v>6</v>
      </c>
      <c r="F182" t="s">
        <v>805</v>
      </c>
      <c r="G182" t="s">
        <v>213</v>
      </c>
      <c r="H182" s="12">
        <v>127000</v>
      </c>
      <c r="I182" s="9">
        <v>127000</v>
      </c>
      <c r="J182" s="15">
        <v>0.14000000000000001</v>
      </c>
      <c r="K182" s="12">
        <v>6604.0000000000009</v>
      </c>
      <c r="M182" s="9">
        <v>1248.1559999999999</v>
      </c>
      <c r="P182">
        <v>1</v>
      </c>
      <c r="Q182" s="15">
        <f t="shared" si="6"/>
        <v>0.20182799999999998</v>
      </c>
      <c r="R182" s="9">
        <f t="shared" si="7"/>
        <v>17780</v>
      </c>
      <c r="S182" s="9">
        <f t="shared" si="8"/>
        <v>25632.155999999999</v>
      </c>
    </row>
    <row r="183" spans="1:19" x14ac:dyDescent="0.25">
      <c r="A183" t="s">
        <v>29</v>
      </c>
      <c r="B183">
        <v>30012</v>
      </c>
      <c r="C183" s="8">
        <v>45657</v>
      </c>
      <c r="D183" t="s">
        <v>821</v>
      </c>
      <c r="E183" s="11">
        <v>6</v>
      </c>
      <c r="F183" t="s">
        <v>805</v>
      </c>
      <c r="H183" s="12">
        <v>68106</v>
      </c>
      <c r="I183" s="9">
        <v>68106</v>
      </c>
      <c r="J183" s="15">
        <v>0.15</v>
      </c>
      <c r="K183" s="12">
        <v>0</v>
      </c>
      <c r="L183" s="12">
        <v>0</v>
      </c>
      <c r="M183" s="9">
        <v>0</v>
      </c>
      <c r="N183" s="12">
        <v>28.377499999999998</v>
      </c>
      <c r="O183">
        <v>1</v>
      </c>
      <c r="Q183" s="15">
        <f t="shared" si="6"/>
        <v>0.15</v>
      </c>
      <c r="R183" s="9">
        <f t="shared" si="7"/>
        <v>10215.9</v>
      </c>
      <c r="S183" s="9">
        <f t="shared" si="8"/>
        <v>10215.9</v>
      </c>
    </row>
    <row r="184" spans="1:19" x14ac:dyDescent="0.25">
      <c r="A184" t="s">
        <v>1192</v>
      </c>
      <c r="B184">
        <v>30019</v>
      </c>
      <c r="C184" s="8">
        <v>45657</v>
      </c>
      <c r="D184" t="s">
        <v>1484</v>
      </c>
      <c r="E184" s="11">
        <v>6</v>
      </c>
      <c r="F184" t="s">
        <v>805</v>
      </c>
      <c r="G184" t="s">
        <v>1195</v>
      </c>
      <c r="H184" s="12">
        <v>70000</v>
      </c>
      <c r="I184" s="9">
        <v>0</v>
      </c>
      <c r="J184" s="15">
        <v>0.15</v>
      </c>
      <c r="K184" s="12">
        <v>6890</v>
      </c>
      <c r="L184" s="12">
        <v>5000</v>
      </c>
      <c r="M184" s="9">
        <v>0</v>
      </c>
      <c r="N184" s="12">
        <v>0</v>
      </c>
      <c r="O184">
        <v>0</v>
      </c>
      <c r="P184">
        <v>1</v>
      </c>
      <c r="Q184" s="15">
        <f t="shared" si="6"/>
        <v>0.24842857142857142</v>
      </c>
      <c r="R184" s="9">
        <f t="shared" si="7"/>
        <v>10500</v>
      </c>
      <c r="S184" s="9">
        <f t="shared" si="8"/>
        <v>17390</v>
      </c>
    </row>
    <row r="185" spans="1:19" x14ac:dyDescent="0.25">
      <c r="A185" t="s">
        <v>29</v>
      </c>
      <c r="B185">
        <v>30012</v>
      </c>
      <c r="C185" s="8">
        <v>45597</v>
      </c>
      <c r="D185" t="s">
        <v>1004</v>
      </c>
      <c r="E185" s="11">
        <v>6</v>
      </c>
      <c r="F185" t="s">
        <v>805</v>
      </c>
      <c r="H185" s="12">
        <v>134896</v>
      </c>
      <c r="I185" s="9">
        <v>134896</v>
      </c>
      <c r="J185" s="15">
        <v>0.15</v>
      </c>
      <c r="K185" s="12">
        <v>0</v>
      </c>
      <c r="L185" s="12">
        <v>0</v>
      </c>
      <c r="M185" s="9">
        <v>0</v>
      </c>
      <c r="N185" s="12">
        <v>3428.6066666666666</v>
      </c>
      <c r="O185">
        <v>61</v>
      </c>
      <c r="Q185" s="15">
        <f t="shared" si="6"/>
        <v>0.15</v>
      </c>
      <c r="R185" s="9">
        <f t="shared" si="7"/>
        <v>20234.399999999998</v>
      </c>
      <c r="S185" s="9">
        <f t="shared" si="8"/>
        <v>20234.399999999998</v>
      </c>
    </row>
    <row r="186" spans="1:19" x14ac:dyDescent="0.25">
      <c r="A186" t="s">
        <v>1192</v>
      </c>
      <c r="B186">
        <v>30019</v>
      </c>
      <c r="C186" s="8">
        <v>45609</v>
      </c>
      <c r="D186" t="s">
        <v>1343</v>
      </c>
      <c r="E186" s="11" t="s">
        <v>205</v>
      </c>
      <c r="F186" t="s">
        <v>1344</v>
      </c>
      <c r="G186" t="s">
        <v>1345</v>
      </c>
      <c r="H186" s="12">
        <v>5000000</v>
      </c>
      <c r="I186" s="9">
        <v>0</v>
      </c>
      <c r="J186" s="15">
        <v>0.15</v>
      </c>
      <c r="K186" s="12">
        <v>118900</v>
      </c>
      <c r="L186" s="12">
        <v>0</v>
      </c>
      <c r="M186" s="9">
        <v>0</v>
      </c>
      <c r="N186" s="12">
        <v>0</v>
      </c>
      <c r="O186">
        <v>0</v>
      </c>
      <c r="P186">
        <v>1</v>
      </c>
      <c r="Q186" s="15">
        <f t="shared" si="6"/>
        <v>0.17377999999999999</v>
      </c>
      <c r="R186" s="9">
        <f t="shared" si="7"/>
        <v>750000</v>
      </c>
      <c r="S186" s="9">
        <f t="shared" si="8"/>
        <v>868900</v>
      </c>
    </row>
    <row r="187" spans="1:19" x14ac:dyDescent="0.25">
      <c r="A187" t="s">
        <v>1192</v>
      </c>
      <c r="B187">
        <v>30019</v>
      </c>
      <c r="C187" s="8">
        <v>45639</v>
      </c>
      <c r="D187" t="s">
        <v>1343</v>
      </c>
      <c r="E187" s="11" t="s">
        <v>205</v>
      </c>
      <c r="F187" t="s">
        <v>1344</v>
      </c>
      <c r="G187" t="s">
        <v>1345</v>
      </c>
      <c r="H187" s="12">
        <v>5000000</v>
      </c>
      <c r="I187" s="9">
        <v>0</v>
      </c>
      <c r="J187" s="15">
        <v>0.15</v>
      </c>
      <c r="K187" s="12">
        <v>118900</v>
      </c>
      <c r="L187" s="12">
        <v>0</v>
      </c>
      <c r="M187" s="9">
        <v>0</v>
      </c>
      <c r="N187" s="12">
        <v>0</v>
      </c>
      <c r="O187">
        <v>0</v>
      </c>
      <c r="P187">
        <v>1</v>
      </c>
      <c r="Q187" s="15">
        <f t="shared" si="6"/>
        <v>0.17377999999999999</v>
      </c>
      <c r="R187" s="9">
        <f t="shared" si="7"/>
        <v>750000</v>
      </c>
      <c r="S187" s="9">
        <f t="shared" si="8"/>
        <v>868900</v>
      </c>
    </row>
    <row r="188" spans="1:19" x14ac:dyDescent="0.25">
      <c r="A188" t="s">
        <v>29</v>
      </c>
      <c r="B188">
        <v>30012</v>
      </c>
      <c r="C188" s="8">
        <v>45635</v>
      </c>
      <c r="D188" t="s">
        <v>889</v>
      </c>
      <c r="E188" s="11">
        <v>6</v>
      </c>
      <c r="F188" t="s">
        <v>805</v>
      </c>
      <c r="H188" s="12">
        <v>71000</v>
      </c>
      <c r="I188" s="9">
        <v>70048</v>
      </c>
      <c r="J188" s="15">
        <v>0.1</v>
      </c>
      <c r="K188" s="12">
        <v>0</v>
      </c>
      <c r="L188" s="12">
        <v>0</v>
      </c>
      <c r="M188" s="9">
        <v>0</v>
      </c>
      <c r="N188" s="12">
        <v>505.90222222222229</v>
      </c>
      <c r="O188">
        <v>26</v>
      </c>
      <c r="Q188" s="15">
        <f t="shared" si="6"/>
        <v>0.1</v>
      </c>
      <c r="R188" s="9">
        <f t="shared" si="7"/>
        <v>7100</v>
      </c>
      <c r="S188" s="9">
        <f t="shared" si="8"/>
        <v>7100</v>
      </c>
    </row>
    <row r="189" spans="1:19" x14ac:dyDescent="0.25">
      <c r="A189" t="s">
        <v>272</v>
      </c>
      <c r="B189">
        <v>30008</v>
      </c>
      <c r="C189" s="8">
        <v>45645</v>
      </c>
      <c r="D189" t="s">
        <v>815</v>
      </c>
      <c r="E189" s="11" t="s">
        <v>201</v>
      </c>
      <c r="F189" t="s">
        <v>805</v>
      </c>
      <c r="G189" t="s">
        <v>816</v>
      </c>
      <c r="H189" s="12">
        <v>630000000</v>
      </c>
      <c r="I189" s="9"/>
      <c r="J189" s="17">
        <v>0.12</v>
      </c>
      <c r="K189" s="12">
        <v>2378000</v>
      </c>
      <c r="M189" s="12">
        <f>H189*(1.05/100)</f>
        <v>6615000</v>
      </c>
      <c r="O189">
        <v>0</v>
      </c>
      <c r="P189">
        <v>1</v>
      </c>
      <c r="Q189" s="15">
        <f t="shared" si="6"/>
        <v>0.13427460317460319</v>
      </c>
      <c r="R189" s="9">
        <f t="shared" si="7"/>
        <v>75600000</v>
      </c>
      <c r="S189" s="9">
        <f t="shared" si="8"/>
        <v>84593000</v>
      </c>
    </row>
    <row r="190" spans="1:19" x14ac:dyDescent="0.25">
      <c r="A190" t="s">
        <v>1192</v>
      </c>
      <c r="B190">
        <v>30019</v>
      </c>
      <c r="C190" s="8">
        <v>45617</v>
      </c>
      <c r="D190" t="s">
        <v>1375</v>
      </c>
      <c r="E190" s="11">
        <v>6</v>
      </c>
      <c r="F190" t="s">
        <v>805</v>
      </c>
      <c r="G190" t="s">
        <v>1194</v>
      </c>
      <c r="H190" s="12">
        <v>83000</v>
      </c>
      <c r="I190" s="9">
        <v>0</v>
      </c>
      <c r="J190" s="15">
        <v>0.15</v>
      </c>
      <c r="K190" s="12">
        <v>6890</v>
      </c>
      <c r="L190" s="12">
        <v>5000</v>
      </c>
      <c r="M190" s="9">
        <v>0</v>
      </c>
      <c r="N190" s="12">
        <v>0</v>
      </c>
      <c r="O190">
        <v>0</v>
      </c>
      <c r="P190">
        <v>1</v>
      </c>
      <c r="Q190" s="15">
        <f t="shared" si="6"/>
        <v>0.23301204819277108</v>
      </c>
      <c r="R190" s="9">
        <f t="shared" si="7"/>
        <v>12450</v>
      </c>
      <c r="S190" s="9">
        <f t="shared" si="8"/>
        <v>19340</v>
      </c>
    </row>
    <row r="191" spans="1:19" x14ac:dyDescent="0.25">
      <c r="A191" t="s">
        <v>29</v>
      </c>
      <c r="B191">
        <v>30012</v>
      </c>
      <c r="C191" s="8">
        <v>45611</v>
      </c>
      <c r="D191" t="s">
        <v>958</v>
      </c>
      <c r="E191" s="11" t="s">
        <v>205</v>
      </c>
      <c r="F191" t="s">
        <v>819</v>
      </c>
      <c r="G191" t="s">
        <v>206</v>
      </c>
      <c r="H191" s="12">
        <v>50000000</v>
      </c>
      <c r="I191" s="9">
        <v>17114238</v>
      </c>
      <c r="J191" s="15">
        <v>0.09</v>
      </c>
      <c r="K191" s="12">
        <v>4500000</v>
      </c>
      <c r="L191" s="12">
        <v>0</v>
      </c>
      <c r="M191" s="9">
        <v>0</v>
      </c>
      <c r="N191" s="12">
        <v>17114.237999999998</v>
      </c>
      <c r="O191">
        <v>4</v>
      </c>
      <c r="Q191" s="15">
        <f t="shared" si="6"/>
        <v>0.18</v>
      </c>
      <c r="R191" s="9">
        <f t="shared" si="7"/>
        <v>4500000</v>
      </c>
      <c r="S191" s="9">
        <f t="shared" si="8"/>
        <v>9000000</v>
      </c>
    </row>
    <row r="192" spans="1:19" x14ac:dyDescent="0.25">
      <c r="A192" t="s">
        <v>29</v>
      </c>
      <c r="B192">
        <v>30012</v>
      </c>
      <c r="C192" s="8">
        <v>45630</v>
      </c>
      <c r="D192" t="s">
        <v>902</v>
      </c>
      <c r="E192" s="11" t="s">
        <v>205</v>
      </c>
      <c r="F192" t="s">
        <v>819</v>
      </c>
      <c r="G192" t="s">
        <v>206</v>
      </c>
      <c r="H192" s="12">
        <v>205843</v>
      </c>
      <c r="I192" s="9">
        <v>205843</v>
      </c>
      <c r="J192" s="15">
        <v>0.15</v>
      </c>
      <c r="K192" s="12">
        <v>0</v>
      </c>
      <c r="L192" s="12">
        <v>0</v>
      </c>
      <c r="M192" s="9">
        <v>0</v>
      </c>
      <c r="N192" s="12">
        <v>2401.5016666666661</v>
      </c>
      <c r="O192">
        <v>28</v>
      </c>
      <c r="Q192" s="15">
        <f t="shared" si="6"/>
        <v>0.15</v>
      </c>
      <c r="R192" s="9">
        <f t="shared" si="7"/>
        <v>30876.449999999997</v>
      </c>
      <c r="S192" s="9">
        <f t="shared" si="8"/>
        <v>30876.449999999997</v>
      </c>
    </row>
    <row r="193" spans="1:19" x14ac:dyDescent="0.25">
      <c r="A193" t="s">
        <v>1488</v>
      </c>
      <c r="B193">
        <v>30020</v>
      </c>
      <c r="C193" s="8">
        <v>45611</v>
      </c>
      <c r="D193" t="s">
        <v>1489</v>
      </c>
      <c r="E193" s="11" t="s">
        <v>201</v>
      </c>
      <c r="F193" t="s">
        <v>805</v>
      </c>
      <c r="G193" t="s">
        <v>1490</v>
      </c>
      <c r="H193" s="12">
        <v>200000000</v>
      </c>
      <c r="I193" s="9">
        <v>200000000</v>
      </c>
      <c r="J193" s="15">
        <v>0.08</v>
      </c>
      <c r="K193" s="12">
        <v>550000</v>
      </c>
      <c r="M193" s="9">
        <v>2000000</v>
      </c>
      <c r="P193">
        <v>1</v>
      </c>
      <c r="Q193" s="15">
        <f t="shared" si="6"/>
        <v>9.2749999999999999E-2</v>
      </c>
      <c r="R193" s="9">
        <f t="shared" si="7"/>
        <v>16000000</v>
      </c>
      <c r="S193" s="9">
        <f t="shared" si="8"/>
        <v>18550000</v>
      </c>
    </row>
    <row r="194" spans="1:19" x14ac:dyDescent="0.25">
      <c r="A194" t="s">
        <v>1192</v>
      </c>
      <c r="B194">
        <v>30019</v>
      </c>
      <c r="C194" s="8">
        <v>45622</v>
      </c>
      <c r="D194" t="s">
        <v>1386</v>
      </c>
      <c r="E194" s="11">
        <v>6</v>
      </c>
      <c r="F194" t="s">
        <v>819</v>
      </c>
      <c r="G194" t="s">
        <v>1195</v>
      </c>
      <c r="H194" s="12">
        <v>75000</v>
      </c>
      <c r="I194" s="9">
        <v>0</v>
      </c>
      <c r="J194" s="15">
        <v>0.10909090909090899</v>
      </c>
      <c r="K194" s="12">
        <v>6890</v>
      </c>
      <c r="L194" s="12">
        <v>5000</v>
      </c>
      <c r="M194" s="9">
        <v>0</v>
      </c>
      <c r="N194" s="12">
        <v>0</v>
      </c>
      <c r="O194">
        <v>0</v>
      </c>
      <c r="P194">
        <v>1</v>
      </c>
      <c r="Q194" s="15">
        <f t="shared" ref="Q194:Q257" si="9">((H194*J194)+K194+M194)/H194</f>
        <v>0.20095757575757564</v>
      </c>
      <c r="R194" s="9">
        <f t="shared" ref="R194:R257" si="10">J194*H194</f>
        <v>8181.8181818181738</v>
      </c>
      <c r="S194" s="9">
        <f t="shared" ref="S194:S257" si="11">Q194*H194</f>
        <v>15071.818181818173</v>
      </c>
    </row>
    <row r="195" spans="1:19" x14ac:dyDescent="0.25">
      <c r="A195" t="s">
        <v>29</v>
      </c>
      <c r="B195">
        <v>30012</v>
      </c>
      <c r="C195" s="8">
        <v>45567</v>
      </c>
      <c r="D195" t="s">
        <v>1101</v>
      </c>
      <c r="E195" s="11">
        <v>6</v>
      </c>
      <c r="F195" t="s">
        <v>819</v>
      </c>
      <c r="H195" s="12">
        <v>70027</v>
      </c>
      <c r="I195" s="9">
        <v>70027</v>
      </c>
      <c r="J195" s="15">
        <v>0.15</v>
      </c>
      <c r="K195" s="12">
        <v>0</v>
      </c>
      <c r="L195" s="12">
        <v>0</v>
      </c>
      <c r="M195" s="9">
        <v>0</v>
      </c>
      <c r="N195" s="12">
        <v>2655.1904166666664</v>
      </c>
      <c r="O195">
        <v>91</v>
      </c>
      <c r="Q195" s="15">
        <f t="shared" si="9"/>
        <v>0.15</v>
      </c>
      <c r="R195" s="9">
        <f t="shared" si="10"/>
        <v>10504.05</v>
      </c>
      <c r="S195" s="9">
        <f t="shared" si="11"/>
        <v>10504.05</v>
      </c>
    </row>
    <row r="196" spans="1:19" x14ac:dyDescent="0.25">
      <c r="A196" t="s">
        <v>1192</v>
      </c>
      <c r="B196">
        <v>30019</v>
      </c>
      <c r="C196" s="8">
        <v>45574</v>
      </c>
      <c r="D196" t="s">
        <v>1237</v>
      </c>
      <c r="E196" s="11" t="s">
        <v>201</v>
      </c>
      <c r="F196" t="s">
        <v>1238</v>
      </c>
      <c r="G196" t="s">
        <v>1239</v>
      </c>
      <c r="H196" s="12">
        <v>500000000</v>
      </c>
      <c r="I196" s="9">
        <v>0</v>
      </c>
      <c r="J196" s="15">
        <v>5.5E-2</v>
      </c>
      <c r="K196" s="12">
        <v>5945000</v>
      </c>
      <c r="L196" s="12">
        <v>0</v>
      </c>
      <c r="M196" s="9">
        <v>5019500</v>
      </c>
      <c r="N196" s="12">
        <v>0</v>
      </c>
      <c r="O196">
        <v>0</v>
      </c>
      <c r="P196">
        <v>1</v>
      </c>
      <c r="Q196" s="15">
        <f t="shared" si="9"/>
        <v>7.6928999999999997E-2</v>
      </c>
      <c r="R196" s="9">
        <f t="shared" si="10"/>
        <v>27500000</v>
      </c>
      <c r="S196" s="9">
        <f t="shared" si="11"/>
        <v>38464500</v>
      </c>
    </row>
    <row r="197" spans="1:19" x14ac:dyDescent="0.25">
      <c r="A197" t="s">
        <v>670</v>
      </c>
      <c r="B197">
        <v>30018</v>
      </c>
      <c r="C197" s="8">
        <v>45635</v>
      </c>
      <c r="D197" t="s">
        <v>1117</v>
      </c>
      <c r="E197" s="11" t="s">
        <v>201</v>
      </c>
      <c r="F197" t="s">
        <v>819</v>
      </c>
      <c r="G197" t="s">
        <v>1118</v>
      </c>
      <c r="H197" s="12">
        <v>1000000000</v>
      </c>
      <c r="I197" s="9">
        <v>1005092425</v>
      </c>
      <c r="J197" s="17">
        <v>0.06</v>
      </c>
      <c r="K197" s="12">
        <v>0</v>
      </c>
      <c r="L197" s="12">
        <v>0</v>
      </c>
      <c r="M197" s="9">
        <v>10032000</v>
      </c>
      <c r="N197" s="12">
        <v>21369656</v>
      </c>
      <c r="O197">
        <v>1</v>
      </c>
      <c r="P197">
        <v>1</v>
      </c>
      <c r="Q197" s="15">
        <f t="shared" si="9"/>
        <v>7.0031999999999997E-2</v>
      </c>
      <c r="R197" s="9">
        <f t="shared" si="10"/>
        <v>60000000</v>
      </c>
      <c r="S197" s="9">
        <f t="shared" si="11"/>
        <v>70032000</v>
      </c>
    </row>
    <row r="198" spans="1:19" x14ac:dyDescent="0.25">
      <c r="A198" t="s">
        <v>259</v>
      </c>
      <c r="B198" s="24">
        <v>30013</v>
      </c>
      <c r="C198" s="8">
        <v>45580</v>
      </c>
      <c r="D198" t="s">
        <v>1117</v>
      </c>
      <c r="E198" s="11" t="s">
        <v>201</v>
      </c>
      <c r="F198" t="s">
        <v>1178</v>
      </c>
      <c r="G198" t="s">
        <v>1179</v>
      </c>
      <c r="H198" s="12">
        <v>1000000000</v>
      </c>
      <c r="I198" s="9">
        <v>766688350</v>
      </c>
      <c r="J198" s="17">
        <v>0.06</v>
      </c>
      <c r="K198" s="12">
        <v>2972500</v>
      </c>
      <c r="L198" s="12">
        <v>0</v>
      </c>
      <c r="M198" s="9">
        <v>0</v>
      </c>
      <c r="N198" s="12">
        <v>6813160</v>
      </c>
      <c r="O198" s="9">
        <v>0</v>
      </c>
      <c r="P198">
        <v>1</v>
      </c>
      <c r="Q198" s="15">
        <f t="shared" si="9"/>
        <v>6.2972500000000001E-2</v>
      </c>
      <c r="R198" s="9">
        <f t="shared" si="10"/>
        <v>60000000</v>
      </c>
      <c r="S198" s="9">
        <f t="shared" si="11"/>
        <v>62972500</v>
      </c>
    </row>
    <row r="199" spans="1:19" x14ac:dyDescent="0.25">
      <c r="A199" t="s">
        <v>29</v>
      </c>
      <c r="B199">
        <v>30012</v>
      </c>
      <c r="C199" s="8">
        <v>45629</v>
      </c>
      <c r="D199" t="s">
        <v>908</v>
      </c>
      <c r="E199" s="11">
        <v>6</v>
      </c>
      <c r="F199" t="s">
        <v>805</v>
      </c>
      <c r="H199" s="12">
        <v>99381</v>
      </c>
      <c r="I199" s="9">
        <v>99381</v>
      </c>
      <c r="J199" s="15">
        <v>0.15</v>
      </c>
      <c r="K199" s="12">
        <v>0</v>
      </c>
      <c r="L199" s="12">
        <v>0</v>
      </c>
      <c r="M199" s="9">
        <v>0</v>
      </c>
      <c r="N199" s="12">
        <v>1200.85375</v>
      </c>
      <c r="O199">
        <v>29</v>
      </c>
      <c r="Q199" s="15">
        <f t="shared" si="9"/>
        <v>0.15</v>
      </c>
      <c r="R199" s="9">
        <f t="shared" si="10"/>
        <v>14907.15</v>
      </c>
      <c r="S199" s="9">
        <f t="shared" si="11"/>
        <v>14907.15</v>
      </c>
    </row>
    <row r="200" spans="1:19" x14ac:dyDescent="0.25">
      <c r="A200" t="s">
        <v>272</v>
      </c>
      <c r="B200">
        <v>30008</v>
      </c>
      <c r="C200" s="8">
        <v>45617</v>
      </c>
      <c r="D200" t="s">
        <v>781</v>
      </c>
      <c r="E200" s="11" t="s">
        <v>201</v>
      </c>
      <c r="F200" t="s">
        <v>274</v>
      </c>
      <c r="G200" t="s">
        <v>782</v>
      </c>
      <c r="H200" s="12">
        <v>40000000</v>
      </c>
      <c r="I200" s="9"/>
      <c r="J200" s="17">
        <v>0.12</v>
      </c>
      <c r="K200" s="12">
        <v>594500</v>
      </c>
      <c r="M200" s="12">
        <f>H200*(1.05/100)</f>
        <v>420000</v>
      </c>
      <c r="N200" s="12">
        <v>262130</v>
      </c>
      <c r="O200">
        <v>0</v>
      </c>
      <c r="P200">
        <v>1</v>
      </c>
      <c r="Q200" s="15">
        <f t="shared" si="9"/>
        <v>0.14536250000000001</v>
      </c>
      <c r="R200" s="9">
        <f t="shared" si="10"/>
        <v>4800000</v>
      </c>
      <c r="S200" s="9">
        <f t="shared" si="11"/>
        <v>5814500</v>
      </c>
    </row>
    <row r="201" spans="1:19" x14ac:dyDescent="0.25">
      <c r="A201" t="s">
        <v>29</v>
      </c>
      <c r="B201">
        <v>30012</v>
      </c>
      <c r="C201" s="8">
        <v>45635</v>
      </c>
      <c r="D201" t="s">
        <v>891</v>
      </c>
      <c r="E201" s="11">
        <v>6</v>
      </c>
      <c r="F201" t="s">
        <v>819</v>
      </c>
      <c r="H201" s="12">
        <v>120000</v>
      </c>
      <c r="I201" s="9">
        <v>3139631</v>
      </c>
      <c r="J201" s="15">
        <v>0.1</v>
      </c>
      <c r="K201" s="12">
        <v>0</v>
      </c>
      <c r="L201" s="12">
        <v>0</v>
      </c>
      <c r="M201" s="9">
        <v>0</v>
      </c>
      <c r="N201" s="12">
        <v>0</v>
      </c>
      <c r="O201">
        <v>0</v>
      </c>
      <c r="Q201" s="15">
        <f t="shared" si="9"/>
        <v>0.1</v>
      </c>
      <c r="R201" s="9">
        <f t="shared" si="10"/>
        <v>12000</v>
      </c>
      <c r="S201" s="9">
        <f t="shared" si="11"/>
        <v>12000</v>
      </c>
    </row>
    <row r="202" spans="1:19" x14ac:dyDescent="0.25">
      <c r="A202" t="s">
        <v>29</v>
      </c>
      <c r="B202">
        <v>30012</v>
      </c>
      <c r="C202" s="8">
        <v>45568</v>
      </c>
      <c r="D202" t="s">
        <v>1088</v>
      </c>
      <c r="E202" s="11">
        <v>6</v>
      </c>
      <c r="F202" t="s">
        <v>805</v>
      </c>
      <c r="H202" s="12">
        <v>51127</v>
      </c>
      <c r="I202" s="9">
        <v>51127</v>
      </c>
      <c r="J202" s="15">
        <v>0.15</v>
      </c>
      <c r="K202" s="12">
        <v>0</v>
      </c>
      <c r="L202" s="12">
        <v>0</v>
      </c>
      <c r="M202" s="9">
        <v>0</v>
      </c>
      <c r="N202" s="12">
        <v>1917.2624999999996</v>
      </c>
      <c r="O202">
        <v>90</v>
      </c>
      <c r="Q202" s="15">
        <f t="shared" si="9"/>
        <v>0.15</v>
      </c>
      <c r="R202" s="9">
        <f t="shared" si="10"/>
        <v>7669.0499999999993</v>
      </c>
      <c r="S202" s="9">
        <f t="shared" si="11"/>
        <v>7669.0499999999993</v>
      </c>
    </row>
    <row r="203" spans="1:19" x14ac:dyDescent="0.25">
      <c r="A203" t="s">
        <v>29</v>
      </c>
      <c r="B203">
        <v>30012</v>
      </c>
      <c r="C203" s="8">
        <v>45622</v>
      </c>
      <c r="D203" t="s">
        <v>939</v>
      </c>
      <c r="E203" s="11">
        <v>6</v>
      </c>
      <c r="F203" t="s">
        <v>819</v>
      </c>
      <c r="H203" s="12">
        <v>50000</v>
      </c>
      <c r="I203" s="9">
        <v>2897622</v>
      </c>
      <c r="J203" s="15">
        <v>0.1</v>
      </c>
      <c r="K203" s="12">
        <v>0</v>
      </c>
      <c r="L203" s="12">
        <v>0</v>
      </c>
      <c r="M203" s="9">
        <v>0</v>
      </c>
      <c r="N203" s="12">
        <v>72440.55</v>
      </c>
      <c r="O203">
        <v>90</v>
      </c>
      <c r="Q203" s="15">
        <f t="shared" si="9"/>
        <v>0.1</v>
      </c>
      <c r="R203" s="9">
        <f t="shared" si="10"/>
        <v>5000</v>
      </c>
      <c r="S203" s="9">
        <f t="shared" si="11"/>
        <v>5000</v>
      </c>
    </row>
    <row r="204" spans="1:19" x14ac:dyDescent="0.25">
      <c r="A204" t="s">
        <v>1192</v>
      </c>
      <c r="B204">
        <v>30019</v>
      </c>
      <c r="C204" s="8">
        <v>45603</v>
      </c>
      <c r="D204" t="s">
        <v>750</v>
      </c>
      <c r="E204" s="11">
        <v>6</v>
      </c>
      <c r="F204" t="s">
        <v>805</v>
      </c>
      <c r="G204" t="s">
        <v>1194</v>
      </c>
      <c r="H204" s="12">
        <v>142000</v>
      </c>
      <c r="I204" s="9">
        <v>0</v>
      </c>
      <c r="J204" s="15">
        <v>0.15</v>
      </c>
      <c r="K204" s="12">
        <v>6890</v>
      </c>
      <c r="L204" s="12">
        <v>5000</v>
      </c>
      <c r="M204" s="9">
        <v>0</v>
      </c>
      <c r="N204" s="12">
        <v>0</v>
      </c>
      <c r="O204">
        <v>0</v>
      </c>
      <c r="P204">
        <v>1</v>
      </c>
      <c r="Q204" s="15">
        <f t="shared" si="9"/>
        <v>0.19852112676056338</v>
      </c>
      <c r="R204" s="9">
        <f t="shared" si="10"/>
        <v>21300</v>
      </c>
      <c r="S204" s="9">
        <f t="shared" si="11"/>
        <v>28190</v>
      </c>
    </row>
    <row r="205" spans="1:19" x14ac:dyDescent="0.25">
      <c r="A205" t="s">
        <v>1192</v>
      </c>
      <c r="B205">
        <v>30019</v>
      </c>
      <c r="C205" s="8">
        <v>45602</v>
      </c>
      <c r="D205" t="s">
        <v>1320</v>
      </c>
      <c r="E205" s="11">
        <v>6</v>
      </c>
      <c r="F205" t="s">
        <v>805</v>
      </c>
      <c r="G205" t="s">
        <v>1194</v>
      </c>
      <c r="H205" s="12">
        <v>75000</v>
      </c>
      <c r="I205" s="9">
        <v>0</v>
      </c>
      <c r="J205" s="15">
        <v>0.15</v>
      </c>
      <c r="K205" s="12">
        <v>6890</v>
      </c>
      <c r="L205" s="12">
        <v>5000</v>
      </c>
      <c r="M205" s="9">
        <v>0</v>
      </c>
      <c r="N205" s="12">
        <v>0</v>
      </c>
      <c r="O205">
        <v>0</v>
      </c>
      <c r="P205">
        <v>1</v>
      </c>
      <c r="Q205" s="15">
        <f t="shared" si="9"/>
        <v>0.24186666666666667</v>
      </c>
      <c r="R205" s="9">
        <f t="shared" si="10"/>
        <v>11250</v>
      </c>
      <c r="S205" s="9">
        <f t="shared" si="11"/>
        <v>18140</v>
      </c>
    </row>
    <row r="206" spans="1:19" x14ac:dyDescent="0.25">
      <c r="A206" t="s">
        <v>670</v>
      </c>
      <c r="B206">
        <v>30018</v>
      </c>
      <c r="C206" s="8">
        <v>45628</v>
      </c>
      <c r="D206" t="s">
        <v>1138</v>
      </c>
      <c r="E206" s="11">
        <v>6</v>
      </c>
      <c r="F206" t="s">
        <v>819</v>
      </c>
      <c r="G206" t="s">
        <v>1125</v>
      </c>
      <c r="H206" s="12">
        <v>150000</v>
      </c>
      <c r="I206" s="9">
        <v>0</v>
      </c>
      <c r="J206" s="15">
        <v>0.15</v>
      </c>
      <c r="K206" s="12">
        <v>4500</v>
      </c>
      <c r="L206" s="12">
        <v>5813</v>
      </c>
      <c r="M206" s="9">
        <v>33500</v>
      </c>
      <c r="N206" s="12">
        <v>10184</v>
      </c>
      <c r="O206">
        <v>12</v>
      </c>
      <c r="P206">
        <v>1</v>
      </c>
      <c r="Q206" s="15">
        <f t="shared" si="9"/>
        <v>0.40333333333333332</v>
      </c>
      <c r="R206" s="9">
        <f t="shared" si="10"/>
        <v>22500</v>
      </c>
      <c r="S206" s="9">
        <f t="shared" si="11"/>
        <v>60500</v>
      </c>
    </row>
    <row r="207" spans="1:19" x14ac:dyDescent="0.25">
      <c r="A207" t="s">
        <v>29</v>
      </c>
      <c r="B207">
        <v>30012</v>
      </c>
      <c r="C207" s="8">
        <v>45587</v>
      </c>
      <c r="D207" t="s">
        <v>1044</v>
      </c>
      <c r="E207" s="11">
        <v>6</v>
      </c>
      <c r="F207" t="s">
        <v>822</v>
      </c>
      <c r="H207" s="12">
        <v>50000</v>
      </c>
      <c r="I207" s="9">
        <v>51402</v>
      </c>
      <c r="J207" s="15">
        <v>0.1</v>
      </c>
      <c r="K207" s="12">
        <v>0</v>
      </c>
      <c r="L207" s="12">
        <v>0</v>
      </c>
      <c r="M207" s="9">
        <v>0</v>
      </c>
      <c r="N207" s="12">
        <v>1127.9883333333335</v>
      </c>
      <c r="O207">
        <v>79</v>
      </c>
      <c r="Q207" s="15">
        <f t="shared" si="9"/>
        <v>0.1</v>
      </c>
      <c r="R207" s="9">
        <f t="shared" si="10"/>
        <v>5000</v>
      </c>
      <c r="S207" s="9">
        <f t="shared" si="11"/>
        <v>5000</v>
      </c>
    </row>
    <row r="208" spans="1:19" x14ac:dyDescent="0.25">
      <c r="A208" t="s">
        <v>670</v>
      </c>
      <c r="B208">
        <v>30018</v>
      </c>
      <c r="C208" s="8">
        <v>45635</v>
      </c>
      <c r="D208" t="s">
        <v>1139</v>
      </c>
      <c r="E208" s="11">
        <v>6</v>
      </c>
      <c r="F208" t="s">
        <v>819</v>
      </c>
      <c r="G208" t="s">
        <v>672</v>
      </c>
      <c r="H208" s="12">
        <v>100000</v>
      </c>
      <c r="I208" s="9">
        <v>0</v>
      </c>
      <c r="J208" s="15">
        <v>0.15</v>
      </c>
      <c r="K208" s="12">
        <v>4000</v>
      </c>
      <c r="L208" s="12">
        <v>5813</v>
      </c>
      <c r="M208" s="9">
        <v>33000</v>
      </c>
      <c r="N208" s="12">
        <v>2593</v>
      </c>
      <c r="O208">
        <v>12</v>
      </c>
      <c r="P208">
        <v>1</v>
      </c>
      <c r="Q208" s="15">
        <f t="shared" si="9"/>
        <v>0.52</v>
      </c>
      <c r="R208" s="9">
        <f t="shared" si="10"/>
        <v>15000</v>
      </c>
      <c r="S208" s="9">
        <f t="shared" si="11"/>
        <v>52000</v>
      </c>
    </row>
    <row r="209" spans="1:19" x14ac:dyDescent="0.25">
      <c r="A209" t="s">
        <v>1192</v>
      </c>
      <c r="B209">
        <v>30019</v>
      </c>
      <c r="C209" s="8">
        <v>45638</v>
      </c>
      <c r="D209" t="s">
        <v>756</v>
      </c>
      <c r="E209" s="11">
        <v>6</v>
      </c>
      <c r="F209" t="s">
        <v>805</v>
      </c>
      <c r="G209" t="s">
        <v>1447</v>
      </c>
      <c r="H209" s="12">
        <v>63000</v>
      </c>
      <c r="I209" s="9">
        <v>0</v>
      </c>
      <c r="J209" s="15">
        <v>0.15</v>
      </c>
      <c r="K209" s="12">
        <v>6890</v>
      </c>
      <c r="L209" s="12">
        <v>5000</v>
      </c>
      <c r="M209" s="9">
        <v>0</v>
      </c>
      <c r="N209" s="12">
        <v>0</v>
      </c>
      <c r="O209">
        <v>0</v>
      </c>
      <c r="P209">
        <v>1</v>
      </c>
      <c r="Q209" s="15">
        <f t="shared" si="9"/>
        <v>0.25936507936507935</v>
      </c>
      <c r="R209" s="9">
        <f t="shared" si="10"/>
        <v>9450</v>
      </c>
      <c r="S209" s="9">
        <f t="shared" si="11"/>
        <v>16340</v>
      </c>
    </row>
    <row r="210" spans="1:19" x14ac:dyDescent="0.25">
      <c r="A210" t="s">
        <v>1192</v>
      </c>
      <c r="B210">
        <v>30019</v>
      </c>
      <c r="C210" s="8">
        <v>45635</v>
      </c>
      <c r="D210" t="s">
        <v>746</v>
      </c>
      <c r="E210" s="11">
        <v>6</v>
      </c>
      <c r="F210" t="s">
        <v>805</v>
      </c>
      <c r="G210" t="s">
        <v>1195</v>
      </c>
      <c r="H210" s="12">
        <v>97000</v>
      </c>
      <c r="I210" s="9">
        <v>0</v>
      </c>
      <c r="J210" s="15">
        <v>0.15</v>
      </c>
      <c r="K210" s="12">
        <v>6890</v>
      </c>
      <c r="L210" s="12">
        <v>5000</v>
      </c>
      <c r="M210" s="9">
        <v>0</v>
      </c>
      <c r="N210" s="12">
        <v>0</v>
      </c>
      <c r="O210">
        <v>0</v>
      </c>
      <c r="P210">
        <v>1</v>
      </c>
      <c r="Q210" s="15">
        <f t="shared" si="9"/>
        <v>0.22103092783505154</v>
      </c>
      <c r="R210" s="9">
        <f t="shared" si="10"/>
        <v>14550</v>
      </c>
      <c r="S210" s="9">
        <f t="shared" si="11"/>
        <v>21440</v>
      </c>
    </row>
    <row r="211" spans="1:19" x14ac:dyDescent="0.25">
      <c r="A211" t="s">
        <v>29</v>
      </c>
      <c r="B211">
        <v>30012</v>
      </c>
      <c r="C211" s="8">
        <v>45657</v>
      </c>
      <c r="D211" t="s">
        <v>823</v>
      </c>
      <c r="E211" s="11">
        <v>6</v>
      </c>
      <c r="F211" t="s">
        <v>805</v>
      </c>
      <c r="H211" s="12">
        <v>491801</v>
      </c>
      <c r="I211" s="9">
        <v>491801</v>
      </c>
      <c r="J211" s="15">
        <v>0.15</v>
      </c>
      <c r="K211" s="12">
        <v>0</v>
      </c>
      <c r="L211" s="12">
        <v>0</v>
      </c>
      <c r="M211" s="9">
        <v>0</v>
      </c>
      <c r="N211" s="12">
        <v>204.91708333333332</v>
      </c>
      <c r="O211">
        <v>1</v>
      </c>
      <c r="Q211" s="15">
        <f t="shared" si="9"/>
        <v>0.15</v>
      </c>
      <c r="R211" s="9">
        <f t="shared" si="10"/>
        <v>73770.149999999994</v>
      </c>
      <c r="S211" s="9">
        <f t="shared" si="11"/>
        <v>73770.149999999994</v>
      </c>
    </row>
    <row r="212" spans="1:19" x14ac:dyDescent="0.25">
      <c r="A212" t="s">
        <v>1192</v>
      </c>
      <c r="B212">
        <v>30019</v>
      </c>
      <c r="C212" s="8">
        <v>45566</v>
      </c>
      <c r="D212" t="s">
        <v>1199</v>
      </c>
      <c r="E212" s="11">
        <v>6</v>
      </c>
      <c r="F212" t="s">
        <v>805</v>
      </c>
      <c r="G212" t="s">
        <v>1195</v>
      </c>
      <c r="H212" s="12">
        <v>66500</v>
      </c>
      <c r="I212" s="9">
        <v>0</v>
      </c>
      <c r="J212" s="15">
        <v>0.15</v>
      </c>
      <c r="K212" s="12">
        <v>6890</v>
      </c>
      <c r="L212" s="12">
        <v>5000</v>
      </c>
      <c r="M212" s="9">
        <v>0</v>
      </c>
      <c r="N212" s="12">
        <v>0</v>
      </c>
      <c r="O212">
        <v>0</v>
      </c>
      <c r="P212">
        <v>1</v>
      </c>
      <c r="Q212" s="15">
        <f t="shared" si="9"/>
        <v>0.25360902255639095</v>
      </c>
      <c r="R212" s="9">
        <f t="shared" si="10"/>
        <v>9975</v>
      </c>
      <c r="S212" s="9">
        <f t="shared" si="11"/>
        <v>16865</v>
      </c>
    </row>
    <row r="213" spans="1:19" x14ac:dyDescent="0.25">
      <c r="A213" t="s">
        <v>29</v>
      </c>
      <c r="B213">
        <v>30012</v>
      </c>
      <c r="C213" s="8">
        <v>45631</v>
      </c>
      <c r="D213" t="s">
        <v>900</v>
      </c>
      <c r="E213" s="11">
        <v>6</v>
      </c>
      <c r="F213" t="s">
        <v>837</v>
      </c>
      <c r="H213" s="12">
        <v>225000</v>
      </c>
      <c r="I213" s="9">
        <v>1688223</v>
      </c>
      <c r="J213" s="15">
        <v>0.1</v>
      </c>
      <c r="K213" s="12">
        <v>0</v>
      </c>
      <c r="L213" s="12">
        <v>0</v>
      </c>
      <c r="M213" s="9">
        <v>0</v>
      </c>
      <c r="N213" s="12">
        <v>42205.575000000004</v>
      </c>
      <c r="O213">
        <v>90</v>
      </c>
      <c r="Q213" s="15">
        <f t="shared" si="9"/>
        <v>0.1</v>
      </c>
      <c r="R213" s="9">
        <f t="shared" si="10"/>
        <v>22500</v>
      </c>
      <c r="S213" s="9">
        <f t="shared" si="11"/>
        <v>22500</v>
      </c>
    </row>
    <row r="214" spans="1:19" x14ac:dyDescent="0.25">
      <c r="A214" t="s">
        <v>29</v>
      </c>
      <c r="B214">
        <v>30012</v>
      </c>
      <c r="C214" s="8">
        <v>45616</v>
      </c>
      <c r="D214" t="s">
        <v>952</v>
      </c>
      <c r="E214" s="11">
        <v>6</v>
      </c>
      <c r="F214" t="s">
        <v>805</v>
      </c>
      <c r="H214" s="12">
        <v>500000</v>
      </c>
      <c r="I214" s="9">
        <v>504424</v>
      </c>
      <c r="J214" s="15">
        <v>0.1</v>
      </c>
      <c r="K214" s="12">
        <v>0</v>
      </c>
      <c r="L214" s="12">
        <v>0</v>
      </c>
      <c r="M214" s="9">
        <v>0</v>
      </c>
      <c r="N214" s="12">
        <v>11209.422222222222</v>
      </c>
      <c r="O214">
        <v>80</v>
      </c>
      <c r="Q214" s="15">
        <f t="shared" si="9"/>
        <v>0.1</v>
      </c>
      <c r="R214" s="9">
        <f t="shared" si="10"/>
        <v>50000</v>
      </c>
      <c r="S214" s="9">
        <f t="shared" si="11"/>
        <v>50000</v>
      </c>
    </row>
    <row r="215" spans="1:19" x14ac:dyDescent="0.25">
      <c r="A215" t="s">
        <v>29</v>
      </c>
      <c r="B215">
        <v>30012</v>
      </c>
      <c r="C215" s="8">
        <v>45597</v>
      </c>
      <c r="D215" t="s">
        <v>1018</v>
      </c>
      <c r="E215" s="11">
        <v>6</v>
      </c>
      <c r="F215" t="s">
        <v>805</v>
      </c>
      <c r="H215" s="12">
        <v>872769</v>
      </c>
      <c r="I215" s="9">
        <v>872769</v>
      </c>
      <c r="J215" s="15">
        <v>0.15</v>
      </c>
      <c r="K215" s="12">
        <v>0</v>
      </c>
      <c r="L215" s="12">
        <v>0</v>
      </c>
      <c r="M215" s="9">
        <v>0</v>
      </c>
      <c r="N215" s="12">
        <v>22182.87875</v>
      </c>
      <c r="O215">
        <v>61</v>
      </c>
      <c r="Q215" s="15">
        <f t="shared" si="9"/>
        <v>0.15</v>
      </c>
      <c r="R215" s="9">
        <f t="shared" si="10"/>
        <v>130915.34999999999</v>
      </c>
      <c r="S215" s="9">
        <f t="shared" si="11"/>
        <v>130915.34999999999</v>
      </c>
    </row>
    <row r="216" spans="1:19" x14ac:dyDescent="0.25">
      <c r="A216" t="s">
        <v>29</v>
      </c>
      <c r="B216">
        <v>30012</v>
      </c>
      <c r="C216" s="8">
        <v>45629</v>
      </c>
      <c r="D216" t="s">
        <v>916</v>
      </c>
      <c r="E216" s="11">
        <v>6</v>
      </c>
      <c r="F216" t="s">
        <v>805</v>
      </c>
      <c r="H216" s="12">
        <v>126293</v>
      </c>
      <c r="I216" s="9">
        <v>126293</v>
      </c>
      <c r="J216" s="15">
        <v>0.15</v>
      </c>
      <c r="K216" s="12">
        <v>0</v>
      </c>
      <c r="L216" s="12">
        <v>0</v>
      </c>
      <c r="M216" s="9">
        <v>0</v>
      </c>
      <c r="N216" s="12">
        <v>1526.0404166666667</v>
      </c>
      <c r="O216">
        <v>29</v>
      </c>
      <c r="Q216" s="15">
        <f t="shared" si="9"/>
        <v>0.15</v>
      </c>
      <c r="R216" s="9">
        <f t="shared" si="10"/>
        <v>18943.95</v>
      </c>
      <c r="S216" s="9">
        <f t="shared" si="11"/>
        <v>18943.95</v>
      </c>
    </row>
    <row r="217" spans="1:19" x14ac:dyDescent="0.25">
      <c r="A217" t="s">
        <v>1192</v>
      </c>
      <c r="B217">
        <v>30019</v>
      </c>
      <c r="C217" s="8">
        <v>45581</v>
      </c>
      <c r="D217" t="s">
        <v>1269</v>
      </c>
      <c r="E217" s="11">
        <v>6</v>
      </c>
      <c r="F217" t="s">
        <v>805</v>
      </c>
      <c r="G217" t="s">
        <v>1195</v>
      </c>
      <c r="H217" s="12">
        <v>92000</v>
      </c>
      <c r="I217" s="9">
        <v>0</v>
      </c>
      <c r="J217" s="15">
        <v>0.15</v>
      </c>
      <c r="K217" s="12">
        <v>6890</v>
      </c>
      <c r="L217" s="12">
        <v>5000</v>
      </c>
      <c r="M217" s="9">
        <v>0</v>
      </c>
      <c r="N217" s="12">
        <v>0</v>
      </c>
      <c r="O217">
        <v>0</v>
      </c>
      <c r="P217">
        <v>1</v>
      </c>
      <c r="Q217" s="15">
        <f t="shared" si="9"/>
        <v>0.22489130434782609</v>
      </c>
      <c r="R217" s="9">
        <f t="shared" si="10"/>
        <v>13800</v>
      </c>
      <c r="S217" s="9">
        <f t="shared" si="11"/>
        <v>20690</v>
      </c>
    </row>
    <row r="218" spans="1:19" x14ac:dyDescent="0.25">
      <c r="A218" t="s">
        <v>1192</v>
      </c>
      <c r="B218">
        <v>30019</v>
      </c>
      <c r="C218" s="8">
        <v>45573</v>
      </c>
      <c r="D218" t="s">
        <v>1236</v>
      </c>
      <c r="E218" s="11">
        <v>6</v>
      </c>
      <c r="F218" t="s">
        <v>805</v>
      </c>
      <c r="G218" t="s">
        <v>1195</v>
      </c>
      <c r="H218" s="12">
        <v>71000</v>
      </c>
      <c r="I218" s="9">
        <v>0</v>
      </c>
      <c r="J218" s="15">
        <v>0.15</v>
      </c>
      <c r="K218" s="12">
        <v>6890</v>
      </c>
      <c r="L218" s="12">
        <v>5000</v>
      </c>
      <c r="M218" s="9">
        <v>0</v>
      </c>
      <c r="N218" s="12">
        <v>0</v>
      </c>
      <c r="O218">
        <v>0</v>
      </c>
      <c r="P218">
        <v>1</v>
      </c>
      <c r="Q218" s="15">
        <f t="shared" si="9"/>
        <v>0.24704225352112677</v>
      </c>
      <c r="R218" s="9">
        <f t="shared" si="10"/>
        <v>10650</v>
      </c>
      <c r="S218" s="9">
        <f t="shared" si="11"/>
        <v>17540</v>
      </c>
    </row>
    <row r="219" spans="1:19" x14ac:dyDescent="0.25">
      <c r="A219" t="s">
        <v>29</v>
      </c>
      <c r="B219">
        <v>30012</v>
      </c>
      <c r="C219" s="8">
        <v>45637</v>
      </c>
      <c r="D219" t="s">
        <v>883</v>
      </c>
      <c r="E219" s="11">
        <v>6</v>
      </c>
      <c r="F219" t="s">
        <v>822</v>
      </c>
      <c r="H219" s="12">
        <v>70000</v>
      </c>
      <c r="I219" s="9">
        <v>68041</v>
      </c>
      <c r="J219" s="15">
        <v>0.1</v>
      </c>
      <c r="K219" s="12">
        <v>0</v>
      </c>
      <c r="L219" s="12">
        <v>0</v>
      </c>
      <c r="M219" s="9">
        <v>0</v>
      </c>
      <c r="N219" s="12">
        <v>1682.1247222222223</v>
      </c>
      <c r="O219">
        <v>89</v>
      </c>
      <c r="Q219" s="15">
        <f t="shared" si="9"/>
        <v>0.1</v>
      </c>
      <c r="R219" s="9">
        <f t="shared" si="10"/>
        <v>7000</v>
      </c>
      <c r="S219" s="9">
        <f t="shared" si="11"/>
        <v>7000</v>
      </c>
    </row>
    <row r="220" spans="1:19" x14ac:dyDescent="0.25">
      <c r="A220" t="s">
        <v>1192</v>
      </c>
      <c r="B220">
        <v>30019</v>
      </c>
      <c r="C220" s="8">
        <v>45616</v>
      </c>
      <c r="D220" t="s">
        <v>1367</v>
      </c>
      <c r="E220" s="11">
        <v>6</v>
      </c>
      <c r="F220" t="s">
        <v>805</v>
      </c>
      <c r="G220" t="s">
        <v>1368</v>
      </c>
      <c r="H220" s="12">
        <v>85000</v>
      </c>
      <c r="I220" s="9">
        <v>0</v>
      </c>
      <c r="J220" s="15">
        <v>0.10909090909090899</v>
      </c>
      <c r="K220" s="12">
        <v>6890</v>
      </c>
      <c r="L220" s="12">
        <v>5000</v>
      </c>
      <c r="M220" s="9">
        <v>0</v>
      </c>
      <c r="N220" s="12">
        <v>0</v>
      </c>
      <c r="O220">
        <v>0</v>
      </c>
      <c r="P220">
        <v>1</v>
      </c>
      <c r="Q220" s="15">
        <f t="shared" si="9"/>
        <v>0.19014973262032075</v>
      </c>
      <c r="R220" s="9">
        <f t="shared" si="10"/>
        <v>9272.7272727272648</v>
      </c>
      <c r="S220" s="9">
        <f t="shared" si="11"/>
        <v>16162.727272727265</v>
      </c>
    </row>
    <row r="221" spans="1:19" x14ac:dyDescent="0.25">
      <c r="A221" t="s">
        <v>29</v>
      </c>
      <c r="B221">
        <v>30012</v>
      </c>
      <c r="C221" s="8">
        <v>45597</v>
      </c>
      <c r="D221" t="s">
        <v>1001</v>
      </c>
      <c r="E221" s="11">
        <v>6</v>
      </c>
      <c r="F221" t="s">
        <v>805</v>
      </c>
      <c r="H221" s="12">
        <v>111210</v>
      </c>
      <c r="I221" s="9">
        <v>111210</v>
      </c>
      <c r="J221" s="15">
        <v>0.15</v>
      </c>
      <c r="K221" s="12">
        <v>0</v>
      </c>
      <c r="L221" s="12">
        <v>0</v>
      </c>
      <c r="M221" s="9">
        <v>0</v>
      </c>
      <c r="N221" s="12">
        <v>2826.5875000000001</v>
      </c>
      <c r="O221">
        <v>61</v>
      </c>
      <c r="Q221" s="15">
        <f t="shared" si="9"/>
        <v>0.15</v>
      </c>
      <c r="R221" s="9">
        <f t="shared" si="10"/>
        <v>16681.5</v>
      </c>
      <c r="S221" s="9">
        <f t="shared" si="11"/>
        <v>16681.5</v>
      </c>
    </row>
    <row r="222" spans="1:19" x14ac:dyDescent="0.25">
      <c r="A222" t="s">
        <v>1192</v>
      </c>
      <c r="B222">
        <v>30019</v>
      </c>
      <c r="C222" s="8">
        <v>45581</v>
      </c>
      <c r="D222" t="s">
        <v>760</v>
      </c>
      <c r="E222" s="11">
        <v>6</v>
      </c>
      <c r="F222" t="s">
        <v>805</v>
      </c>
      <c r="G222" t="s">
        <v>1195</v>
      </c>
      <c r="H222" s="12">
        <v>79000</v>
      </c>
      <c r="I222" s="9">
        <v>0</v>
      </c>
      <c r="J222" s="15">
        <v>0.105</v>
      </c>
      <c r="K222" s="12">
        <v>6890</v>
      </c>
      <c r="L222" s="12">
        <v>5000</v>
      </c>
      <c r="M222" s="9">
        <v>0</v>
      </c>
      <c r="N222" s="12">
        <v>0</v>
      </c>
      <c r="O222">
        <v>0</v>
      </c>
      <c r="P222">
        <v>1</v>
      </c>
      <c r="Q222" s="15">
        <f t="shared" si="9"/>
        <v>0.19221518987341771</v>
      </c>
      <c r="R222" s="9">
        <f t="shared" si="10"/>
        <v>8295</v>
      </c>
      <c r="S222" s="9">
        <f t="shared" si="11"/>
        <v>15184.999999999998</v>
      </c>
    </row>
    <row r="223" spans="1:19" x14ac:dyDescent="0.25">
      <c r="A223" t="s">
        <v>1192</v>
      </c>
      <c r="B223">
        <v>30019</v>
      </c>
      <c r="C223" s="8">
        <v>45587</v>
      </c>
      <c r="D223" t="s">
        <v>1287</v>
      </c>
      <c r="E223" s="11">
        <v>6</v>
      </c>
      <c r="F223" t="s">
        <v>805</v>
      </c>
      <c r="G223" t="s">
        <v>1195</v>
      </c>
      <c r="H223" s="12">
        <v>74500</v>
      </c>
      <c r="I223" s="9">
        <v>0</v>
      </c>
      <c r="J223" s="15">
        <v>0.15</v>
      </c>
      <c r="K223" s="12">
        <v>6890</v>
      </c>
      <c r="L223" s="12">
        <v>5000</v>
      </c>
      <c r="M223" s="9">
        <v>0</v>
      </c>
      <c r="N223" s="12">
        <v>0</v>
      </c>
      <c r="O223">
        <v>0</v>
      </c>
      <c r="P223">
        <v>1</v>
      </c>
      <c r="Q223" s="15">
        <f t="shared" si="9"/>
        <v>0.24248322147651008</v>
      </c>
      <c r="R223" s="9">
        <f t="shared" si="10"/>
        <v>11175</v>
      </c>
      <c r="S223" s="9">
        <f t="shared" si="11"/>
        <v>18065</v>
      </c>
    </row>
    <row r="224" spans="1:19" x14ac:dyDescent="0.25">
      <c r="A224" t="s">
        <v>29</v>
      </c>
      <c r="B224">
        <v>30012</v>
      </c>
      <c r="C224" s="8">
        <v>45621</v>
      </c>
      <c r="D224" t="s">
        <v>944</v>
      </c>
      <c r="E224" s="11">
        <v>6</v>
      </c>
      <c r="F224" t="s">
        <v>805</v>
      </c>
      <c r="H224" s="12">
        <v>80000</v>
      </c>
      <c r="I224" s="9">
        <v>77805</v>
      </c>
      <c r="J224" s="15">
        <v>0.1</v>
      </c>
      <c r="K224" s="12">
        <v>0</v>
      </c>
      <c r="L224" s="12">
        <v>0</v>
      </c>
      <c r="M224" s="9">
        <v>0</v>
      </c>
      <c r="N224" s="12">
        <v>1620.9375</v>
      </c>
      <c r="O224">
        <v>75</v>
      </c>
      <c r="Q224" s="15">
        <f t="shared" si="9"/>
        <v>0.1</v>
      </c>
      <c r="R224" s="9">
        <f t="shared" si="10"/>
        <v>8000</v>
      </c>
      <c r="S224" s="9">
        <f t="shared" si="11"/>
        <v>8000</v>
      </c>
    </row>
    <row r="225" spans="1:19" x14ac:dyDescent="0.25">
      <c r="A225" t="s">
        <v>29</v>
      </c>
      <c r="B225">
        <v>30012</v>
      </c>
      <c r="C225" s="8">
        <v>45649</v>
      </c>
      <c r="D225" t="s">
        <v>848</v>
      </c>
      <c r="E225" s="11">
        <v>6</v>
      </c>
      <c r="F225" t="s">
        <v>819</v>
      </c>
      <c r="H225" s="12">
        <v>1486142</v>
      </c>
      <c r="I225" s="9">
        <v>1486142</v>
      </c>
      <c r="J225" s="15">
        <v>0.15</v>
      </c>
      <c r="K225" s="12">
        <v>0</v>
      </c>
      <c r="L225" s="12">
        <v>0</v>
      </c>
      <c r="M225" s="9">
        <v>0</v>
      </c>
      <c r="N225" s="12">
        <v>5573.0325000000003</v>
      </c>
      <c r="O225">
        <v>9</v>
      </c>
      <c r="Q225" s="15">
        <f t="shared" si="9"/>
        <v>0.15</v>
      </c>
      <c r="R225" s="9">
        <f t="shared" si="10"/>
        <v>222921.3</v>
      </c>
      <c r="S225" s="9">
        <f t="shared" si="11"/>
        <v>222921.3</v>
      </c>
    </row>
    <row r="226" spans="1:19" x14ac:dyDescent="0.25">
      <c r="A226" t="s">
        <v>1192</v>
      </c>
      <c r="B226">
        <v>30019</v>
      </c>
      <c r="C226" s="8">
        <v>45581</v>
      </c>
      <c r="D226" t="s">
        <v>1268</v>
      </c>
      <c r="E226" s="11">
        <v>6</v>
      </c>
      <c r="F226" t="s">
        <v>805</v>
      </c>
      <c r="G226" t="s">
        <v>1195</v>
      </c>
      <c r="H226" s="12">
        <v>61000</v>
      </c>
      <c r="I226" s="9">
        <v>0</v>
      </c>
      <c r="J226" s="15">
        <v>0.105</v>
      </c>
      <c r="K226" s="12">
        <v>6890</v>
      </c>
      <c r="L226" s="12">
        <v>5000</v>
      </c>
      <c r="M226" s="9">
        <v>0</v>
      </c>
      <c r="N226" s="12">
        <v>0</v>
      </c>
      <c r="O226">
        <v>0</v>
      </c>
      <c r="P226">
        <v>1</v>
      </c>
      <c r="Q226" s="15">
        <f t="shared" si="9"/>
        <v>0.21795081967213115</v>
      </c>
      <c r="R226" s="9">
        <f t="shared" si="10"/>
        <v>6405</v>
      </c>
      <c r="S226" s="9">
        <f t="shared" si="11"/>
        <v>13295</v>
      </c>
    </row>
    <row r="227" spans="1:19" x14ac:dyDescent="0.25">
      <c r="A227" t="s">
        <v>29</v>
      </c>
      <c r="B227">
        <v>30012</v>
      </c>
      <c r="C227" s="8">
        <v>45567</v>
      </c>
      <c r="D227" t="s">
        <v>1102</v>
      </c>
      <c r="E227" s="11">
        <v>6</v>
      </c>
      <c r="F227" t="s">
        <v>819</v>
      </c>
      <c r="H227" s="12">
        <v>85659</v>
      </c>
      <c r="I227" s="9">
        <v>85659</v>
      </c>
      <c r="J227" s="15">
        <v>0.15</v>
      </c>
      <c r="K227" s="12">
        <v>0</v>
      </c>
      <c r="L227" s="12">
        <v>0</v>
      </c>
      <c r="M227" s="9">
        <v>0</v>
      </c>
      <c r="N227" s="12">
        <v>3247.9037500000004</v>
      </c>
      <c r="O227">
        <v>91</v>
      </c>
      <c r="Q227" s="15">
        <f t="shared" si="9"/>
        <v>0.15</v>
      </c>
      <c r="R227" s="9">
        <f t="shared" si="10"/>
        <v>12848.85</v>
      </c>
      <c r="S227" s="9">
        <f t="shared" si="11"/>
        <v>12848.85</v>
      </c>
    </row>
    <row r="228" spans="1:19" x14ac:dyDescent="0.25">
      <c r="A228" t="s">
        <v>29</v>
      </c>
      <c r="B228">
        <v>30012</v>
      </c>
      <c r="C228" s="8">
        <v>45618</v>
      </c>
      <c r="D228" t="s">
        <v>946</v>
      </c>
      <c r="E228" s="11">
        <v>6</v>
      </c>
      <c r="F228" t="s">
        <v>819</v>
      </c>
      <c r="H228" s="12">
        <v>150000</v>
      </c>
      <c r="I228" s="9">
        <v>1494732</v>
      </c>
      <c r="J228" s="15">
        <v>0.1</v>
      </c>
      <c r="K228" s="12">
        <v>0</v>
      </c>
      <c r="L228" s="12">
        <v>0</v>
      </c>
      <c r="M228" s="9">
        <v>0</v>
      </c>
      <c r="N228" s="12">
        <v>4982.4400000000005</v>
      </c>
      <c r="O228">
        <v>12</v>
      </c>
      <c r="Q228" s="15">
        <f t="shared" si="9"/>
        <v>0.1</v>
      </c>
      <c r="R228" s="9">
        <f t="shared" si="10"/>
        <v>15000</v>
      </c>
      <c r="S228" s="9">
        <f t="shared" si="11"/>
        <v>15000</v>
      </c>
    </row>
    <row r="229" spans="1:19" x14ac:dyDescent="0.25">
      <c r="A229" t="s">
        <v>259</v>
      </c>
      <c r="B229" s="24">
        <v>30013</v>
      </c>
      <c r="C229" s="8">
        <v>45580</v>
      </c>
      <c r="D229" t="s">
        <v>1176</v>
      </c>
      <c r="E229" s="11" t="s">
        <v>762</v>
      </c>
      <c r="F229" t="s">
        <v>819</v>
      </c>
      <c r="G229" t="s">
        <v>1177</v>
      </c>
      <c r="H229" s="12">
        <v>5000000</v>
      </c>
      <c r="I229" s="9">
        <v>840795</v>
      </c>
      <c r="J229" s="15">
        <v>0.09</v>
      </c>
      <c r="K229" s="12">
        <v>59450</v>
      </c>
      <c r="L229" s="12">
        <v>0</v>
      </c>
      <c r="M229" s="9">
        <v>50000</v>
      </c>
      <c r="N229" s="12">
        <v>73710</v>
      </c>
      <c r="O229" s="9">
        <v>0</v>
      </c>
      <c r="P229">
        <v>1</v>
      </c>
      <c r="Q229" s="15">
        <f t="shared" si="9"/>
        <v>0.11189</v>
      </c>
      <c r="R229" s="9">
        <f t="shared" si="10"/>
        <v>450000</v>
      </c>
      <c r="S229" s="9">
        <f t="shared" si="11"/>
        <v>559450</v>
      </c>
    </row>
    <row r="230" spans="1:19" x14ac:dyDescent="0.25">
      <c r="A230" t="s">
        <v>777</v>
      </c>
      <c r="B230" s="25">
        <v>30014</v>
      </c>
      <c r="C230" s="8">
        <v>45649</v>
      </c>
      <c r="D230" t="s">
        <v>1509</v>
      </c>
      <c r="E230" s="11" t="s">
        <v>201</v>
      </c>
      <c r="F230" t="s">
        <v>805</v>
      </c>
      <c r="G230" t="s">
        <v>1510</v>
      </c>
      <c r="H230" s="12">
        <v>200000000</v>
      </c>
      <c r="J230" s="26">
        <v>7.4999999999999997E-2</v>
      </c>
      <c r="K230" s="12">
        <v>2000000</v>
      </c>
      <c r="Q230" s="15">
        <f t="shared" si="9"/>
        <v>8.5000000000000006E-2</v>
      </c>
      <c r="R230" s="9">
        <f t="shared" si="10"/>
        <v>15000000</v>
      </c>
      <c r="S230" s="9">
        <f t="shared" si="11"/>
        <v>17000000</v>
      </c>
    </row>
    <row r="231" spans="1:19" x14ac:dyDescent="0.25">
      <c r="A231" t="s">
        <v>29</v>
      </c>
      <c r="B231">
        <v>30012</v>
      </c>
      <c r="C231" s="8">
        <v>45656</v>
      </c>
      <c r="D231" t="s">
        <v>827</v>
      </c>
      <c r="E231" s="11" t="s">
        <v>205</v>
      </c>
      <c r="F231" t="s">
        <v>805</v>
      </c>
      <c r="G231" t="s">
        <v>202</v>
      </c>
      <c r="H231" s="12">
        <v>81225</v>
      </c>
      <c r="I231" s="9">
        <v>81225</v>
      </c>
      <c r="J231" s="15">
        <v>0.15</v>
      </c>
      <c r="K231" s="12">
        <v>0</v>
      </c>
      <c r="L231" s="12">
        <v>0</v>
      </c>
      <c r="M231" s="9">
        <v>0</v>
      </c>
      <c r="N231" s="12">
        <v>67.6875</v>
      </c>
      <c r="O231">
        <v>2</v>
      </c>
      <c r="Q231" s="15">
        <f t="shared" si="9"/>
        <v>0.15</v>
      </c>
      <c r="R231" s="9">
        <f t="shared" si="10"/>
        <v>12183.75</v>
      </c>
      <c r="S231" s="9">
        <f t="shared" si="11"/>
        <v>12183.75</v>
      </c>
    </row>
    <row r="232" spans="1:19" x14ac:dyDescent="0.25">
      <c r="A232" t="s">
        <v>259</v>
      </c>
      <c r="B232" s="24">
        <v>30013</v>
      </c>
      <c r="C232" s="8">
        <v>45604</v>
      </c>
      <c r="D232" t="s">
        <v>1185</v>
      </c>
      <c r="E232" s="11" t="s">
        <v>201</v>
      </c>
      <c r="F232" t="s">
        <v>805</v>
      </c>
      <c r="G232" t="s">
        <v>1186</v>
      </c>
      <c r="H232" s="12">
        <v>2000000000</v>
      </c>
      <c r="I232" s="9">
        <v>0</v>
      </c>
      <c r="J232" s="15">
        <v>7.0000000000000007E-2</v>
      </c>
      <c r="K232" s="12">
        <v>0</v>
      </c>
      <c r="L232" s="12">
        <v>0</v>
      </c>
      <c r="M232" s="9">
        <v>0</v>
      </c>
      <c r="N232" s="12">
        <v>174345</v>
      </c>
      <c r="O232" s="9">
        <v>0</v>
      </c>
      <c r="P232">
        <v>1</v>
      </c>
      <c r="Q232" s="15">
        <f t="shared" si="9"/>
        <v>7.0000000000000007E-2</v>
      </c>
      <c r="R232" s="9">
        <f t="shared" si="10"/>
        <v>140000000</v>
      </c>
      <c r="S232" s="9">
        <f t="shared" si="11"/>
        <v>140000000</v>
      </c>
    </row>
    <row r="233" spans="1:19" x14ac:dyDescent="0.25">
      <c r="A233" t="s">
        <v>1192</v>
      </c>
      <c r="B233">
        <v>30019</v>
      </c>
      <c r="C233" s="8">
        <v>45566</v>
      </c>
      <c r="D233" t="s">
        <v>738</v>
      </c>
      <c r="E233" s="11" t="s">
        <v>201</v>
      </c>
      <c r="F233" t="s">
        <v>805</v>
      </c>
      <c r="G233" t="s">
        <v>1193</v>
      </c>
      <c r="H233" s="12">
        <v>1500000000</v>
      </c>
      <c r="I233" s="9">
        <v>0</v>
      </c>
      <c r="J233" s="15">
        <v>7.6999999999999999E-2</v>
      </c>
      <c r="K233" s="12">
        <v>297250</v>
      </c>
      <c r="L233" s="12">
        <v>0</v>
      </c>
      <c r="M233" s="9">
        <v>0</v>
      </c>
      <c r="N233" s="12">
        <v>0</v>
      </c>
      <c r="O233">
        <v>0</v>
      </c>
      <c r="P233">
        <v>1</v>
      </c>
      <c r="Q233" s="15">
        <f t="shared" si="9"/>
        <v>7.7198166666666665E-2</v>
      </c>
      <c r="R233" s="9">
        <f t="shared" si="10"/>
        <v>115500000</v>
      </c>
      <c r="S233" s="9">
        <f t="shared" si="11"/>
        <v>115797250</v>
      </c>
    </row>
    <row r="234" spans="1:19" x14ac:dyDescent="0.25">
      <c r="A234" t="s">
        <v>1192</v>
      </c>
      <c r="B234">
        <v>30019</v>
      </c>
      <c r="C234" s="8">
        <v>45586</v>
      </c>
      <c r="D234" t="s">
        <v>738</v>
      </c>
      <c r="E234" s="11" t="s">
        <v>201</v>
      </c>
      <c r="F234" t="s">
        <v>805</v>
      </c>
      <c r="G234" t="s">
        <v>1193</v>
      </c>
      <c r="H234" s="12">
        <v>1500000000</v>
      </c>
      <c r="I234" s="9">
        <v>0</v>
      </c>
      <c r="J234" s="15">
        <v>7.6999999999999999E-2</v>
      </c>
      <c r="K234" s="12">
        <v>8917500</v>
      </c>
      <c r="L234" s="12">
        <v>0</v>
      </c>
      <c r="M234" s="9">
        <v>0</v>
      </c>
      <c r="N234" s="12">
        <v>0</v>
      </c>
      <c r="O234">
        <v>0</v>
      </c>
      <c r="P234">
        <v>1</v>
      </c>
      <c r="Q234" s="15">
        <f t="shared" si="9"/>
        <v>8.2945000000000005E-2</v>
      </c>
      <c r="R234" s="9">
        <f t="shared" si="10"/>
        <v>115500000</v>
      </c>
      <c r="S234" s="9">
        <f t="shared" si="11"/>
        <v>124417500</v>
      </c>
    </row>
    <row r="235" spans="1:19" x14ac:dyDescent="0.25">
      <c r="A235" t="s">
        <v>670</v>
      </c>
      <c r="B235">
        <v>30018</v>
      </c>
      <c r="C235" s="8">
        <v>45645</v>
      </c>
      <c r="D235" t="s">
        <v>677</v>
      </c>
      <c r="E235" s="11">
        <v>6</v>
      </c>
      <c r="F235" t="s">
        <v>805</v>
      </c>
      <c r="G235" t="s">
        <v>678</v>
      </c>
      <c r="H235" s="12">
        <v>700000000</v>
      </c>
      <c r="I235" s="9">
        <v>0</v>
      </c>
      <c r="J235" s="15">
        <v>6.8000000000000005E-2</v>
      </c>
      <c r="K235" s="12">
        <v>6200000</v>
      </c>
      <c r="L235" s="12">
        <v>0</v>
      </c>
      <c r="M235" s="9">
        <v>7032000</v>
      </c>
      <c r="N235" s="12">
        <v>14832311</v>
      </c>
      <c r="O235">
        <v>12</v>
      </c>
      <c r="P235">
        <v>1</v>
      </c>
      <c r="Q235" s="15">
        <f t="shared" si="9"/>
        <v>8.6902857142857143E-2</v>
      </c>
      <c r="R235" s="9">
        <f t="shared" si="10"/>
        <v>47600000</v>
      </c>
      <c r="S235" s="9">
        <f t="shared" si="11"/>
        <v>60832000</v>
      </c>
    </row>
    <row r="236" spans="1:19" x14ac:dyDescent="0.25">
      <c r="A236" t="s">
        <v>29</v>
      </c>
      <c r="B236">
        <v>30012</v>
      </c>
      <c r="C236" s="8">
        <v>45657</v>
      </c>
      <c r="D236" t="s">
        <v>825</v>
      </c>
      <c r="E236" s="11" t="s">
        <v>205</v>
      </c>
      <c r="F236" t="s">
        <v>819</v>
      </c>
      <c r="G236" t="s">
        <v>665</v>
      </c>
      <c r="H236" s="12">
        <v>2051489</v>
      </c>
      <c r="I236" s="9">
        <v>2051489</v>
      </c>
      <c r="J236" s="15">
        <v>0.15</v>
      </c>
      <c r="K236" s="12">
        <v>0</v>
      </c>
      <c r="L236" s="12">
        <v>0</v>
      </c>
      <c r="M236" s="9">
        <v>0</v>
      </c>
      <c r="N236" s="12">
        <v>854.78708333333327</v>
      </c>
      <c r="O236">
        <v>1</v>
      </c>
      <c r="Q236" s="15">
        <f t="shared" si="9"/>
        <v>0.15</v>
      </c>
      <c r="R236" s="9">
        <f t="shared" si="10"/>
        <v>307723.34999999998</v>
      </c>
      <c r="S236" s="9">
        <f t="shared" si="11"/>
        <v>307723.34999999998</v>
      </c>
    </row>
    <row r="237" spans="1:19" x14ac:dyDescent="0.25">
      <c r="A237" t="s">
        <v>259</v>
      </c>
      <c r="B237" s="24">
        <v>30013</v>
      </c>
      <c r="C237" s="8">
        <v>45628</v>
      </c>
      <c r="D237" t="s">
        <v>1189</v>
      </c>
      <c r="E237" s="11">
        <v>6</v>
      </c>
      <c r="F237" t="s">
        <v>819</v>
      </c>
      <c r="G237" t="s">
        <v>1184</v>
      </c>
      <c r="H237" s="12">
        <v>35000000</v>
      </c>
      <c r="I237" s="9">
        <v>28411387</v>
      </c>
      <c r="J237" s="15">
        <v>8.5000000000000006E-2</v>
      </c>
      <c r="K237" s="12">
        <v>237800</v>
      </c>
      <c r="L237" s="12">
        <v>0</v>
      </c>
      <c r="M237" s="9">
        <v>220800</v>
      </c>
      <c r="N237" s="12">
        <v>518090</v>
      </c>
      <c r="O237" s="9">
        <v>0</v>
      </c>
      <c r="P237">
        <v>1</v>
      </c>
      <c r="Q237" s="15">
        <f t="shared" si="9"/>
        <v>9.8102857142857144E-2</v>
      </c>
      <c r="R237" s="9">
        <f t="shared" si="10"/>
        <v>2975000</v>
      </c>
      <c r="S237" s="9">
        <f t="shared" si="11"/>
        <v>3433600</v>
      </c>
    </row>
    <row r="238" spans="1:19" x14ac:dyDescent="0.25">
      <c r="A238" t="s">
        <v>1192</v>
      </c>
      <c r="B238">
        <v>30019</v>
      </c>
      <c r="C238" s="8">
        <v>45638</v>
      </c>
      <c r="D238" t="s">
        <v>1446</v>
      </c>
      <c r="E238" s="11">
        <v>6</v>
      </c>
      <c r="F238" t="s">
        <v>805</v>
      </c>
      <c r="G238" t="s">
        <v>1194</v>
      </c>
      <c r="H238" s="12">
        <v>97000</v>
      </c>
      <c r="I238" s="9">
        <v>0</v>
      </c>
      <c r="J238" s="15">
        <v>0.15</v>
      </c>
      <c r="K238" s="12">
        <v>6890</v>
      </c>
      <c r="L238" s="12">
        <v>5000</v>
      </c>
      <c r="M238" s="9">
        <v>0</v>
      </c>
      <c r="N238" s="12">
        <v>0</v>
      </c>
      <c r="O238">
        <v>0</v>
      </c>
      <c r="P238">
        <v>1</v>
      </c>
      <c r="Q238" s="15">
        <f t="shared" si="9"/>
        <v>0.22103092783505154</v>
      </c>
      <c r="R238" s="9">
        <f t="shared" si="10"/>
        <v>14550</v>
      </c>
      <c r="S238" s="9">
        <f t="shared" si="11"/>
        <v>21440</v>
      </c>
    </row>
    <row r="239" spans="1:19" x14ac:dyDescent="0.25">
      <c r="A239" t="s">
        <v>29</v>
      </c>
      <c r="B239">
        <v>30012</v>
      </c>
      <c r="C239" s="8">
        <v>45639</v>
      </c>
      <c r="D239" t="s">
        <v>875</v>
      </c>
      <c r="E239" s="11">
        <v>6</v>
      </c>
      <c r="F239" t="s">
        <v>822</v>
      </c>
      <c r="H239" s="12">
        <v>246000</v>
      </c>
      <c r="I239" s="9">
        <v>1099</v>
      </c>
      <c r="J239" s="15">
        <v>0.1</v>
      </c>
      <c r="K239" s="12">
        <v>0</v>
      </c>
      <c r="L239" s="12">
        <v>0</v>
      </c>
      <c r="M239" s="9">
        <v>0</v>
      </c>
      <c r="N239" s="12">
        <v>20.148333333333333</v>
      </c>
      <c r="O239">
        <v>66</v>
      </c>
      <c r="Q239" s="15">
        <f t="shared" si="9"/>
        <v>0.1</v>
      </c>
      <c r="R239" s="9">
        <f t="shared" si="10"/>
        <v>24600</v>
      </c>
      <c r="S239" s="9">
        <f t="shared" si="11"/>
        <v>24600</v>
      </c>
    </row>
    <row r="240" spans="1:19" x14ac:dyDescent="0.25">
      <c r="A240" t="s">
        <v>1192</v>
      </c>
      <c r="B240">
        <v>30019</v>
      </c>
      <c r="C240" s="8">
        <v>45635</v>
      </c>
      <c r="D240" t="s">
        <v>1430</v>
      </c>
      <c r="E240" s="11">
        <v>6</v>
      </c>
      <c r="F240" t="s">
        <v>819</v>
      </c>
      <c r="G240" t="s">
        <v>1194</v>
      </c>
      <c r="H240" s="12">
        <v>100000</v>
      </c>
      <c r="I240" s="9">
        <v>0</v>
      </c>
      <c r="J240" s="15">
        <v>9.54545454545455E-2</v>
      </c>
      <c r="K240" s="12">
        <v>6890</v>
      </c>
      <c r="L240" s="12">
        <v>5000</v>
      </c>
      <c r="M240" s="9">
        <v>0</v>
      </c>
      <c r="N240" s="12">
        <v>0</v>
      </c>
      <c r="O240">
        <v>0</v>
      </c>
      <c r="P240">
        <v>1</v>
      </c>
      <c r="Q240" s="15">
        <f t="shared" si="9"/>
        <v>0.1643545454545455</v>
      </c>
      <c r="R240" s="9">
        <f t="shared" si="10"/>
        <v>9545.4545454545496</v>
      </c>
      <c r="S240" s="9">
        <f t="shared" si="11"/>
        <v>16435.454545454551</v>
      </c>
    </row>
    <row r="241" spans="1:19" x14ac:dyDescent="0.25">
      <c r="A241" t="s">
        <v>1192</v>
      </c>
      <c r="B241">
        <v>30019</v>
      </c>
      <c r="C241" s="8">
        <v>45649</v>
      </c>
      <c r="D241" t="s">
        <v>743</v>
      </c>
      <c r="E241" s="11">
        <v>6</v>
      </c>
      <c r="F241" t="s">
        <v>805</v>
      </c>
      <c r="G241" t="s">
        <v>1198</v>
      </c>
      <c r="H241" s="12">
        <v>150000</v>
      </c>
      <c r="I241" s="9">
        <v>0</v>
      </c>
      <c r="J241" s="15">
        <v>0.15</v>
      </c>
      <c r="K241" s="12">
        <v>6890</v>
      </c>
      <c r="L241" s="12">
        <v>5000</v>
      </c>
      <c r="M241" s="9">
        <v>0</v>
      </c>
      <c r="N241" s="12">
        <v>0</v>
      </c>
      <c r="O241">
        <v>0</v>
      </c>
      <c r="P241">
        <v>1</v>
      </c>
      <c r="Q241" s="15">
        <f t="shared" si="9"/>
        <v>0.19593333333333332</v>
      </c>
      <c r="R241" s="9">
        <f t="shared" si="10"/>
        <v>22500</v>
      </c>
      <c r="S241" s="9">
        <f t="shared" si="11"/>
        <v>29389.999999999996</v>
      </c>
    </row>
    <row r="242" spans="1:19" x14ac:dyDescent="0.25">
      <c r="A242" t="s">
        <v>29</v>
      </c>
      <c r="B242">
        <v>30012</v>
      </c>
      <c r="C242" s="8">
        <v>45582</v>
      </c>
      <c r="D242" t="s">
        <v>1058</v>
      </c>
      <c r="E242" s="11">
        <v>6</v>
      </c>
      <c r="F242" t="s">
        <v>819</v>
      </c>
      <c r="H242" s="12">
        <v>70000</v>
      </c>
      <c r="I242" s="9">
        <v>1323337</v>
      </c>
      <c r="J242" s="15">
        <v>0.1</v>
      </c>
      <c r="K242" s="12">
        <v>0</v>
      </c>
      <c r="L242" s="12">
        <v>0</v>
      </c>
      <c r="M242" s="9">
        <v>0</v>
      </c>
      <c r="N242" s="12">
        <v>0</v>
      </c>
      <c r="O242">
        <v>0</v>
      </c>
      <c r="Q242" s="15">
        <f t="shared" si="9"/>
        <v>0.1</v>
      </c>
      <c r="R242" s="9">
        <f t="shared" si="10"/>
        <v>7000</v>
      </c>
      <c r="S242" s="9">
        <f t="shared" si="11"/>
        <v>7000</v>
      </c>
    </row>
    <row r="243" spans="1:19" x14ac:dyDescent="0.25">
      <c r="A243" t="s">
        <v>1192</v>
      </c>
      <c r="B243">
        <v>30019</v>
      </c>
      <c r="C243" s="8">
        <v>45628</v>
      </c>
      <c r="D243" t="s">
        <v>1394</v>
      </c>
      <c r="E243" s="11">
        <v>6</v>
      </c>
      <c r="F243" t="s">
        <v>805</v>
      </c>
      <c r="G243" t="s">
        <v>1194</v>
      </c>
      <c r="H243" s="12">
        <v>386000</v>
      </c>
      <c r="I243" s="9">
        <v>0</v>
      </c>
      <c r="J243" s="15">
        <v>0.15</v>
      </c>
      <c r="K243" s="12">
        <v>6890</v>
      </c>
      <c r="L243" s="12">
        <v>5000</v>
      </c>
      <c r="M243" s="9">
        <v>0</v>
      </c>
      <c r="N243" s="12">
        <v>0</v>
      </c>
      <c r="O243">
        <v>0</v>
      </c>
      <c r="P243">
        <v>1</v>
      </c>
      <c r="Q243" s="15">
        <f t="shared" si="9"/>
        <v>0.16784974093264249</v>
      </c>
      <c r="R243" s="9">
        <f t="shared" si="10"/>
        <v>57900</v>
      </c>
      <c r="S243" s="9">
        <f t="shared" si="11"/>
        <v>64790</v>
      </c>
    </row>
    <row r="244" spans="1:19" x14ac:dyDescent="0.25">
      <c r="A244" t="s">
        <v>1192</v>
      </c>
      <c r="B244">
        <v>30019</v>
      </c>
      <c r="C244" s="8">
        <v>45628</v>
      </c>
      <c r="D244" t="s">
        <v>1393</v>
      </c>
      <c r="E244" s="11">
        <v>6</v>
      </c>
      <c r="F244" t="s">
        <v>805</v>
      </c>
      <c r="G244" t="s">
        <v>1195</v>
      </c>
      <c r="H244" s="12">
        <v>89000</v>
      </c>
      <c r="I244" s="9">
        <v>0</v>
      </c>
      <c r="J244" s="15">
        <v>0.15</v>
      </c>
      <c r="K244" s="12">
        <v>6890</v>
      </c>
      <c r="L244" s="12">
        <v>5000</v>
      </c>
      <c r="M244" s="9">
        <v>0</v>
      </c>
      <c r="N244" s="12">
        <v>0</v>
      </c>
      <c r="O244">
        <v>0</v>
      </c>
      <c r="P244">
        <v>1</v>
      </c>
      <c r="Q244" s="15">
        <f t="shared" si="9"/>
        <v>0.22741573033707865</v>
      </c>
      <c r="R244" s="9">
        <f t="shared" si="10"/>
        <v>13350</v>
      </c>
      <c r="S244" s="9">
        <f t="shared" si="11"/>
        <v>20240</v>
      </c>
    </row>
    <row r="245" spans="1:19" x14ac:dyDescent="0.25">
      <c r="A245" t="s">
        <v>1192</v>
      </c>
      <c r="B245">
        <v>30019</v>
      </c>
      <c r="C245" s="8">
        <v>45575</v>
      </c>
      <c r="D245" t="s">
        <v>1247</v>
      </c>
      <c r="E245" s="11">
        <v>6</v>
      </c>
      <c r="F245" t="s">
        <v>805</v>
      </c>
      <c r="G245" t="s">
        <v>1195</v>
      </c>
      <c r="H245" s="12">
        <v>108000</v>
      </c>
      <c r="I245" s="9">
        <v>0</v>
      </c>
      <c r="J245" s="15">
        <v>0.13500000000000001</v>
      </c>
      <c r="K245" s="12">
        <v>6890</v>
      </c>
      <c r="L245" s="12">
        <v>5000</v>
      </c>
      <c r="M245" s="9">
        <v>0</v>
      </c>
      <c r="N245" s="12">
        <v>0</v>
      </c>
      <c r="O245">
        <v>0</v>
      </c>
      <c r="P245">
        <v>1</v>
      </c>
      <c r="Q245" s="15">
        <f t="shared" si="9"/>
        <v>0.1987962962962963</v>
      </c>
      <c r="R245" s="9">
        <f t="shared" si="10"/>
        <v>14580.000000000002</v>
      </c>
      <c r="S245" s="9">
        <f t="shared" si="11"/>
        <v>21470</v>
      </c>
    </row>
    <row r="246" spans="1:19" x14ac:dyDescent="0.25">
      <c r="A246" t="s">
        <v>29</v>
      </c>
      <c r="B246">
        <v>30012</v>
      </c>
      <c r="C246" s="8">
        <v>45615</v>
      </c>
      <c r="D246" t="s">
        <v>954</v>
      </c>
      <c r="E246" s="11">
        <v>6</v>
      </c>
      <c r="F246" t="s">
        <v>822</v>
      </c>
      <c r="H246" s="12">
        <v>160000</v>
      </c>
      <c r="I246" s="9">
        <v>159424</v>
      </c>
      <c r="J246" s="15">
        <v>0.1</v>
      </c>
      <c r="K246" s="12">
        <v>0</v>
      </c>
      <c r="L246" s="12">
        <v>0</v>
      </c>
      <c r="M246" s="9">
        <v>0</v>
      </c>
      <c r="N246" s="12">
        <v>3941.3155555555559</v>
      </c>
      <c r="O246">
        <v>89</v>
      </c>
      <c r="Q246" s="15">
        <f t="shared" si="9"/>
        <v>0.1</v>
      </c>
      <c r="R246" s="9">
        <f t="shared" si="10"/>
        <v>16000</v>
      </c>
      <c r="S246" s="9">
        <f t="shared" si="11"/>
        <v>16000</v>
      </c>
    </row>
    <row r="247" spans="1:19" x14ac:dyDescent="0.25">
      <c r="A247" t="s">
        <v>670</v>
      </c>
      <c r="B247">
        <v>30018</v>
      </c>
      <c r="C247" s="8">
        <v>45653</v>
      </c>
      <c r="D247" t="s">
        <v>1131</v>
      </c>
      <c r="E247" s="11">
        <v>6</v>
      </c>
      <c r="F247" t="s">
        <v>819</v>
      </c>
      <c r="G247" t="s">
        <v>675</v>
      </c>
      <c r="H247" s="12">
        <v>300000</v>
      </c>
      <c r="I247" s="9">
        <v>0</v>
      </c>
      <c r="J247" s="15">
        <v>0.15</v>
      </c>
      <c r="K247" s="12">
        <v>6000</v>
      </c>
      <c r="L247" s="12">
        <v>9625</v>
      </c>
      <c r="M247" s="9">
        <v>35000</v>
      </c>
      <c r="N247" s="12">
        <v>3390</v>
      </c>
      <c r="O247">
        <v>12</v>
      </c>
      <c r="P247">
        <v>1</v>
      </c>
      <c r="Q247" s="15">
        <f t="shared" si="9"/>
        <v>0.28666666666666668</v>
      </c>
      <c r="R247" s="9">
        <f t="shared" si="10"/>
        <v>45000</v>
      </c>
      <c r="S247" s="9">
        <f t="shared" si="11"/>
        <v>86000</v>
      </c>
    </row>
    <row r="248" spans="1:19" x14ac:dyDescent="0.25">
      <c r="A248" t="s">
        <v>29</v>
      </c>
      <c r="B248">
        <v>30012</v>
      </c>
      <c r="C248" s="8">
        <v>45569</v>
      </c>
      <c r="D248" t="s">
        <v>1086</v>
      </c>
      <c r="E248" s="11">
        <v>6</v>
      </c>
      <c r="F248" t="s">
        <v>819</v>
      </c>
      <c r="H248" s="12">
        <v>100000</v>
      </c>
      <c r="I248" s="9">
        <v>101810</v>
      </c>
      <c r="J248" s="15">
        <v>0.1</v>
      </c>
      <c r="K248" s="12">
        <v>0</v>
      </c>
      <c r="L248" s="12">
        <v>0</v>
      </c>
      <c r="M248" s="9">
        <v>0</v>
      </c>
      <c r="N248" s="12">
        <v>2205.8833333333332</v>
      </c>
      <c r="O248">
        <v>78</v>
      </c>
      <c r="Q248" s="15">
        <f t="shared" si="9"/>
        <v>0.1</v>
      </c>
      <c r="R248" s="9">
        <f t="shared" si="10"/>
        <v>10000</v>
      </c>
      <c r="S248" s="9">
        <f t="shared" si="11"/>
        <v>10000</v>
      </c>
    </row>
    <row r="249" spans="1:19" x14ac:dyDescent="0.25">
      <c r="A249" t="s">
        <v>1496</v>
      </c>
      <c r="B249" t="s">
        <v>764</v>
      </c>
      <c r="C249" s="8">
        <v>45604</v>
      </c>
      <c r="D249" t="s">
        <v>1499</v>
      </c>
      <c r="E249" s="11" t="s">
        <v>205</v>
      </c>
      <c r="F249" t="s">
        <v>819</v>
      </c>
      <c r="G249" t="s">
        <v>767</v>
      </c>
      <c r="H249" s="12">
        <v>80000000</v>
      </c>
      <c r="I249" s="9">
        <v>44278245</v>
      </c>
      <c r="J249" s="15">
        <v>0.14000000000000001</v>
      </c>
      <c r="K249" s="12">
        <v>1300000</v>
      </c>
      <c r="L249" s="12">
        <v>0</v>
      </c>
      <c r="M249" s="9">
        <v>0</v>
      </c>
      <c r="N249" s="12">
        <v>0</v>
      </c>
      <c r="O249">
        <v>0</v>
      </c>
      <c r="P249">
        <v>1</v>
      </c>
      <c r="Q249" s="15">
        <f t="shared" si="9"/>
        <v>0.15625000000000003</v>
      </c>
      <c r="R249" s="9">
        <f t="shared" si="10"/>
        <v>11200000.000000002</v>
      </c>
      <c r="S249" s="9">
        <f t="shared" si="11"/>
        <v>12500000.000000002</v>
      </c>
    </row>
    <row r="250" spans="1:19" x14ac:dyDescent="0.25">
      <c r="A250" t="s">
        <v>29</v>
      </c>
      <c r="B250">
        <v>30012</v>
      </c>
      <c r="C250" s="8">
        <v>45621</v>
      </c>
      <c r="D250" t="s">
        <v>943</v>
      </c>
      <c r="E250" s="11">
        <v>6</v>
      </c>
      <c r="F250" t="s">
        <v>805</v>
      </c>
      <c r="H250" s="12">
        <v>54000</v>
      </c>
      <c r="I250" s="9">
        <v>54543</v>
      </c>
      <c r="J250" s="15">
        <v>0.1</v>
      </c>
      <c r="K250" s="12">
        <v>0</v>
      </c>
      <c r="L250" s="12">
        <v>0</v>
      </c>
      <c r="M250" s="9">
        <v>0</v>
      </c>
      <c r="N250" s="12">
        <v>924.20083333333332</v>
      </c>
      <c r="O250">
        <v>61</v>
      </c>
      <c r="Q250" s="15">
        <f t="shared" si="9"/>
        <v>0.1</v>
      </c>
      <c r="R250" s="9">
        <f t="shared" si="10"/>
        <v>5400</v>
      </c>
      <c r="S250" s="9">
        <f t="shared" si="11"/>
        <v>5400</v>
      </c>
    </row>
    <row r="251" spans="1:19" x14ac:dyDescent="0.25">
      <c r="A251" t="s">
        <v>1192</v>
      </c>
      <c r="B251">
        <v>30019</v>
      </c>
      <c r="C251" s="8">
        <v>45635</v>
      </c>
      <c r="D251" t="s">
        <v>1429</v>
      </c>
      <c r="E251" s="11">
        <v>6</v>
      </c>
      <c r="F251" t="s">
        <v>819</v>
      </c>
      <c r="G251" t="s">
        <v>1195</v>
      </c>
      <c r="H251" s="12">
        <v>357000</v>
      </c>
      <c r="I251" s="9">
        <v>0</v>
      </c>
      <c r="J251" s="15">
        <v>0.13750000000000001</v>
      </c>
      <c r="K251" s="12">
        <v>6890</v>
      </c>
      <c r="L251" s="12">
        <v>5000</v>
      </c>
      <c r="M251" s="9">
        <v>0</v>
      </c>
      <c r="N251" s="12">
        <v>0</v>
      </c>
      <c r="O251">
        <v>0</v>
      </c>
      <c r="P251">
        <v>1</v>
      </c>
      <c r="Q251" s="15">
        <f t="shared" si="9"/>
        <v>0.15679971988795521</v>
      </c>
      <c r="R251" s="9">
        <f t="shared" si="10"/>
        <v>49087.500000000007</v>
      </c>
      <c r="S251" s="9">
        <f t="shared" si="11"/>
        <v>55977.500000000015</v>
      </c>
    </row>
    <row r="252" spans="1:19" x14ac:dyDescent="0.25">
      <c r="A252" t="s">
        <v>29</v>
      </c>
      <c r="B252">
        <v>30012</v>
      </c>
      <c r="C252" s="8">
        <v>45635</v>
      </c>
      <c r="D252" t="s">
        <v>888</v>
      </c>
      <c r="E252" s="11">
        <v>6</v>
      </c>
      <c r="F252" t="s">
        <v>819</v>
      </c>
      <c r="H252" s="12">
        <v>180000</v>
      </c>
      <c r="I252" s="9">
        <v>201951</v>
      </c>
      <c r="J252" s="15">
        <v>0.1</v>
      </c>
      <c r="K252" s="12">
        <v>0</v>
      </c>
      <c r="L252" s="12">
        <v>0</v>
      </c>
      <c r="M252" s="9">
        <v>0</v>
      </c>
      <c r="N252" s="12">
        <v>4599.9950000000008</v>
      </c>
      <c r="O252">
        <v>82</v>
      </c>
      <c r="Q252" s="15">
        <f t="shared" si="9"/>
        <v>0.1</v>
      </c>
      <c r="R252" s="9">
        <f t="shared" si="10"/>
        <v>18000</v>
      </c>
      <c r="S252" s="9">
        <f t="shared" si="11"/>
        <v>18000</v>
      </c>
    </row>
    <row r="253" spans="1:19" x14ac:dyDescent="0.25">
      <c r="A253" t="s">
        <v>1192</v>
      </c>
      <c r="B253">
        <v>30019</v>
      </c>
      <c r="C253" s="8">
        <v>45607</v>
      </c>
      <c r="D253" t="s">
        <v>1335</v>
      </c>
      <c r="E253" s="11">
        <v>6</v>
      </c>
      <c r="F253" t="s">
        <v>1196</v>
      </c>
      <c r="G253" t="s">
        <v>1195</v>
      </c>
      <c r="H253" s="12">
        <v>142000</v>
      </c>
      <c r="I253" s="9">
        <v>0</v>
      </c>
      <c r="J253" s="15">
        <v>0.15</v>
      </c>
      <c r="K253" s="12">
        <v>6890</v>
      </c>
      <c r="L253" s="12">
        <v>5000</v>
      </c>
      <c r="M253" s="9">
        <v>0</v>
      </c>
      <c r="N253" s="12">
        <v>0</v>
      </c>
      <c r="O253">
        <v>0</v>
      </c>
      <c r="P253">
        <v>1</v>
      </c>
      <c r="Q253" s="15">
        <f t="shared" si="9"/>
        <v>0.19852112676056338</v>
      </c>
      <c r="R253" s="9">
        <f t="shared" si="10"/>
        <v>21300</v>
      </c>
      <c r="S253" s="9">
        <f t="shared" si="11"/>
        <v>28190</v>
      </c>
    </row>
    <row r="254" spans="1:19" x14ac:dyDescent="0.25">
      <c r="A254" t="s">
        <v>29</v>
      </c>
      <c r="B254">
        <v>30012</v>
      </c>
      <c r="C254" s="8">
        <v>45587</v>
      </c>
      <c r="D254" t="s">
        <v>1043</v>
      </c>
      <c r="E254" s="11" t="s">
        <v>205</v>
      </c>
      <c r="F254" t="s">
        <v>805</v>
      </c>
      <c r="G254" t="s">
        <v>202</v>
      </c>
      <c r="H254" s="12">
        <v>10000000</v>
      </c>
      <c r="I254" s="9">
        <v>6518132</v>
      </c>
      <c r="J254" s="15">
        <v>0.12</v>
      </c>
      <c r="K254" s="12">
        <v>300000</v>
      </c>
      <c r="L254" s="12">
        <v>0</v>
      </c>
      <c r="M254" s="9">
        <v>0</v>
      </c>
      <c r="N254" s="12">
        <v>199889.38133333332</v>
      </c>
      <c r="O254">
        <v>92</v>
      </c>
      <c r="Q254" s="15">
        <f t="shared" si="9"/>
        <v>0.15</v>
      </c>
      <c r="R254" s="9">
        <f t="shared" si="10"/>
        <v>1200000</v>
      </c>
      <c r="S254" s="9">
        <f t="shared" si="11"/>
        <v>1500000</v>
      </c>
    </row>
    <row r="255" spans="1:19" x14ac:dyDescent="0.25">
      <c r="A255" t="s">
        <v>29</v>
      </c>
      <c r="B255">
        <v>30012</v>
      </c>
      <c r="C255" s="8">
        <v>45576</v>
      </c>
      <c r="D255" t="s">
        <v>1071</v>
      </c>
      <c r="E255" s="11" t="s">
        <v>205</v>
      </c>
      <c r="F255" t="s">
        <v>805</v>
      </c>
      <c r="G255" t="s">
        <v>669</v>
      </c>
      <c r="H255" s="12">
        <v>50000000</v>
      </c>
      <c r="I255" s="9">
        <v>23672802</v>
      </c>
      <c r="J255" s="15">
        <v>0.09</v>
      </c>
      <c r="K255" s="12">
        <v>1000000</v>
      </c>
      <c r="L255" s="12">
        <v>0</v>
      </c>
      <c r="M255" s="9">
        <v>0</v>
      </c>
      <c r="N255" s="12">
        <v>142036.81199999998</v>
      </c>
      <c r="O255">
        <v>24</v>
      </c>
      <c r="Q255" s="15">
        <f t="shared" si="9"/>
        <v>0.11</v>
      </c>
      <c r="R255" s="9">
        <f t="shared" si="10"/>
        <v>4500000</v>
      </c>
      <c r="S255" s="9">
        <f t="shared" si="11"/>
        <v>5500000</v>
      </c>
    </row>
    <row r="256" spans="1:19" x14ac:dyDescent="0.25">
      <c r="A256" t="s">
        <v>29</v>
      </c>
      <c r="B256">
        <v>30012</v>
      </c>
      <c r="C256" s="8">
        <v>45601</v>
      </c>
      <c r="D256" t="s">
        <v>668</v>
      </c>
      <c r="E256" s="11" t="s">
        <v>205</v>
      </c>
      <c r="F256" t="s">
        <v>805</v>
      </c>
      <c r="G256" t="s">
        <v>667</v>
      </c>
      <c r="H256" s="12">
        <v>10000000</v>
      </c>
      <c r="I256" s="9">
        <v>19622</v>
      </c>
      <c r="J256" s="15">
        <v>0.1135</v>
      </c>
      <c r="K256" s="12">
        <v>300000</v>
      </c>
      <c r="L256" s="12">
        <v>0</v>
      </c>
      <c r="M256" s="9">
        <v>0</v>
      </c>
      <c r="N256" s="12">
        <v>507.28320555555564</v>
      </c>
      <c r="O256">
        <v>82</v>
      </c>
      <c r="Q256" s="15">
        <f t="shared" si="9"/>
        <v>0.14349999999999999</v>
      </c>
      <c r="R256" s="9">
        <f t="shared" si="10"/>
        <v>1135000</v>
      </c>
      <c r="S256" s="9">
        <f t="shared" si="11"/>
        <v>1435000</v>
      </c>
    </row>
    <row r="257" spans="1:19" x14ac:dyDescent="0.25">
      <c r="A257" t="s">
        <v>210</v>
      </c>
      <c r="B257" t="s">
        <v>783</v>
      </c>
      <c r="C257" s="8">
        <v>45637</v>
      </c>
      <c r="D257" t="s">
        <v>1157</v>
      </c>
      <c r="E257" s="11">
        <v>6</v>
      </c>
      <c r="F257" t="s">
        <v>819</v>
      </c>
      <c r="G257" t="s">
        <v>230</v>
      </c>
      <c r="H257" s="12">
        <v>15000000</v>
      </c>
      <c r="I257" s="9">
        <v>15000000</v>
      </c>
      <c r="J257" s="15">
        <v>8.7499999999999994E-2</v>
      </c>
      <c r="K257" s="12">
        <v>780000.00000000012</v>
      </c>
      <c r="M257" s="9">
        <v>147420.00000000003</v>
      </c>
      <c r="P257">
        <v>1</v>
      </c>
      <c r="Q257" s="15">
        <f t="shared" si="9"/>
        <v>0.14932799999999999</v>
      </c>
      <c r="R257" s="9">
        <f t="shared" si="10"/>
        <v>1312500</v>
      </c>
      <c r="S257" s="9">
        <f t="shared" si="11"/>
        <v>2239920</v>
      </c>
    </row>
    <row r="258" spans="1:19" x14ac:dyDescent="0.25">
      <c r="A258" t="s">
        <v>29</v>
      </c>
      <c r="B258">
        <v>30012</v>
      </c>
      <c r="C258" s="8">
        <v>45595</v>
      </c>
      <c r="D258" t="s">
        <v>666</v>
      </c>
      <c r="E258" s="11" t="s">
        <v>205</v>
      </c>
      <c r="F258" t="s">
        <v>819</v>
      </c>
      <c r="G258" t="s">
        <v>667</v>
      </c>
      <c r="H258" s="12">
        <v>194727</v>
      </c>
      <c r="I258" s="9">
        <v>194727</v>
      </c>
      <c r="J258" s="15">
        <v>0.15</v>
      </c>
      <c r="K258" s="12">
        <v>0</v>
      </c>
      <c r="L258" s="12">
        <v>0</v>
      </c>
      <c r="M258" s="9">
        <v>0</v>
      </c>
      <c r="N258" s="12">
        <v>5111.5837499999998</v>
      </c>
      <c r="O258">
        <v>63</v>
      </c>
      <c r="Q258" s="15">
        <f t="shared" ref="Q258:Q321" si="12">((H258*J258)+K258+M258)/H258</f>
        <v>0.15</v>
      </c>
      <c r="R258" s="9">
        <f t="shared" ref="R258:R321" si="13">J258*H258</f>
        <v>29209.05</v>
      </c>
      <c r="S258" s="9">
        <f t="shared" ref="S258:S321" si="14">Q258*H258</f>
        <v>29209.05</v>
      </c>
    </row>
    <row r="259" spans="1:19" x14ac:dyDescent="0.25">
      <c r="A259" t="s">
        <v>670</v>
      </c>
      <c r="B259">
        <v>30018</v>
      </c>
      <c r="C259" s="8">
        <v>45638</v>
      </c>
      <c r="D259" t="s">
        <v>1127</v>
      </c>
      <c r="E259" s="11" t="s">
        <v>205</v>
      </c>
      <c r="F259" t="s">
        <v>819</v>
      </c>
      <c r="G259" t="s">
        <v>1128</v>
      </c>
      <c r="H259" s="12">
        <v>20000000</v>
      </c>
      <c r="I259" s="9">
        <v>16939877</v>
      </c>
      <c r="J259" s="15">
        <v>0.08</v>
      </c>
      <c r="K259" s="12">
        <v>0</v>
      </c>
      <c r="L259" s="12">
        <v>0</v>
      </c>
      <c r="M259" s="9">
        <v>232000</v>
      </c>
      <c r="N259" s="12">
        <v>554096</v>
      </c>
      <c r="O259">
        <v>1</v>
      </c>
      <c r="P259">
        <v>1</v>
      </c>
      <c r="Q259" s="15">
        <f t="shared" si="12"/>
        <v>9.1600000000000001E-2</v>
      </c>
      <c r="R259" s="9">
        <f t="shared" si="13"/>
        <v>1600000</v>
      </c>
      <c r="S259" s="9">
        <f t="shared" si="14"/>
        <v>1832000</v>
      </c>
    </row>
    <row r="260" spans="1:19" x14ac:dyDescent="0.25">
      <c r="A260" t="s">
        <v>1192</v>
      </c>
      <c r="B260">
        <v>30019</v>
      </c>
      <c r="C260" s="8">
        <v>45618</v>
      </c>
      <c r="D260" t="s">
        <v>1379</v>
      </c>
      <c r="E260" s="11">
        <v>6</v>
      </c>
      <c r="F260" t="s">
        <v>805</v>
      </c>
      <c r="G260" t="s">
        <v>1195</v>
      </c>
      <c r="H260" s="12">
        <v>110000</v>
      </c>
      <c r="I260" s="9">
        <v>0</v>
      </c>
      <c r="J260" s="15">
        <v>0.15</v>
      </c>
      <c r="K260" s="12">
        <v>6890</v>
      </c>
      <c r="L260" s="12">
        <v>5000</v>
      </c>
      <c r="M260" s="9">
        <v>0</v>
      </c>
      <c r="N260" s="12">
        <v>0</v>
      </c>
      <c r="O260">
        <v>0</v>
      </c>
      <c r="P260">
        <v>1</v>
      </c>
      <c r="Q260" s="15">
        <f t="shared" si="12"/>
        <v>0.21263636363636362</v>
      </c>
      <c r="R260" s="9">
        <f t="shared" si="13"/>
        <v>16500</v>
      </c>
      <c r="S260" s="9">
        <f t="shared" si="14"/>
        <v>23390</v>
      </c>
    </row>
    <row r="261" spans="1:19" x14ac:dyDescent="0.25">
      <c r="A261" t="s">
        <v>1192</v>
      </c>
      <c r="B261">
        <v>30019</v>
      </c>
      <c r="C261" s="8">
        <v>45572</v>
      </c>
      <c r="D261" t="s">
        <v>1228</v>
      </c>
      <c r="E261" s="11">
        <v>6</v>
      </c>
      <c r="F261" t="s">
        <v>805</v>
      </c>
      <c r="H261" s="12">
        <v>118000</v>
      </c>
      <c r="I261" s="9">
        <v>0</v>
      </c>
      <c r="J261" s="15">
        <v>0.13500000000000001</v>
      </c>
      <c r="K261" s="12">
        <v>6890</v>
      </c>
      <c r="L261" s="12">
        <v>5000</v>
      </c>
      <c r="M261" s="9">
        <v>0</v>
      </c>
      <c r="N261" s="12">
        <v>0</v>
      </c>
      <c r="O261">
        <v>0</v>
      </c>
      <c r="P261">
        <v>1</v>
      </c>
      <c r="Q261" s="15">
        <f t="shared" si="12"/>
        <v>0.19338983050847458</v>
      </c>
      <c r="R261" s="9">
        <f t="shared" si="13"/>
        <v>15930.000000000002</v>
      </c>
      <c r="S261" s="9">
        <f t="shared" si="14"/>
        <v>22820</v>
      </c>
    </row>
    <row r="262" spans="1:19" x14ac:dyDescent="0.25">
      <c r="A262" t="s">
        <v>29</v>
      </c>
      <c r="B262">
        <v>30012</v>
      </c>
      <c r="C262" s="8">
        <v>45657</v>
      </c>
      <c r="D262" t="s">
        <v>818</v>
      </c>
      <c r="E262" s="11">
        <v>6</v>
      </c>
      <c r="F262" t="s">
        <v>805</v>
      </c>
      <c r="H262" s="12">
        <v>51452</v>
      </c>
      <c r="I262" s="9">
        <v>51452</v>
      </c>
      <c r="J262" s="15">
        <v>0.15</v>
      </c>
      <c r="K262" s="12">
        <v>0</v>
      </c>
      <c r="L262" s="12">
        <v>0</v>
      </c>
      <c r="M262" s="9">
        <v>0</v>
      </c>
      <c r="N262" s="12">
        <v>21.438333333333333</v>
      </c>
      <c r="O262">
        <v>1</v>
      </c>
      <c r="Q262" s="15">
        <f t="shared" si="12"/>
        <v>0.15</v>
      </c>
      <c r="R262" s="9">
        <f t="shared" si="13"/>
        <v>7717.7999999999993</v>
      </c>
      <c r="S262" s="9">
        <f t="shared" si="14"/>
        <v>7717.7999999999993</v>
      </c>
    </row>
    <row r="263" spans="1:19" x14ac:dyDescent="0.25">
      <c r="A263" t="s">
        <v>29</v>
      </c>
      <c r="B263">
        <v>30012</v>
      </c>
      <c r="C263" s="8">
        <v>45611</v>
      </c>
      <c r="D263" t="s">
        <v>961</v>
      </c>
      <c r="E263" s="11">
        <v>6</v>
      </c>
      <c r="F263" t="s">
        <v>805</v>
      </c>
      <c r="H263" s="12">
        <v>140500</v>
      </c>
      <c r="I263" s="9">
        <v>141019</v>
      </c>
      <c r="J263" s="15">
        <v>0.1</v>
      </c>
      <c r="K263" s="12">
        <v>0</v>
      </c>
      <c r="L263" s="12">
        <v>0</v>
      </c>
      <c r="M263" s="9">
        <v>0</v>
      </c>
      <c r="N263" s="12">
        <v>1997.7691666666667</v>
      </c>
      <c r="O263">
        <v>51</v>
      </c>
      <c r="Q263" s="15">
        <f t="shared" si="12"/>
        <v>0.1</v>
      </c>
      <c r="R263" s="9">
        <f t="shared" si="13"/>
        <v>14050</v>
      </c>
      <c r="S263" s="9">
        <f t="shared" si="14"/>
        <v>14050</v>
      </c>
    </row>
    <row r="264" spans="1:19" x14ac:dyDescent="0.25">
      <c r="A264" t="s">
        <v>259</v>
      </c>
      <c r="B264" s="24">
        <v>30013</v>
      </c>
      <c r="C264" s="8">
        <v>45576</v>
      </c>
      <c r="D264" t="s">
        <v>1174</v>
      </c>
      <c r="E264" s="11" t="s">
        <v>201</v>
      </c>
      <c r="F264" t="s">
        <v>819</v>
      </c>
      <c r="G264" t="s">
        <v>1175</v>
      </c>
      <c r="H264" s="12">
        <v>600000000</v>
      </c>
      <c r="I264" s="9">
        <v>0</v>
      </c>
      <c r="J264" s="15">
        <v>7.4999999999999997E-2</v>
      </c>
      <c r="K264" s="12">
        <v>3567000</v>
      </c>
      <c r="L264" s="12">
        <v>0</v>
      </c>
      <c r="M264" s="9">
        <v>0</v>
      </c>
      <c r="N264" s="12">
        <v>277673</v>
      </c>
      <c r="O264" s="9">
        <v>0</v>
      </c>
      <c r="P264">
        <v>1</v>
      </c>
      <c r="Q264" s="15">
        <f t="shared" si="12"/>
        <v>8.0945000000000003E-2</v>
      </c>
      <c r="R264" s="9">
        <f t="shared" si="13"/>
        <v>45000000</v>
      </c>
      <c r="S264" s="9">
        <f t="shared" si="14"/>
        <v>48567000</v>
      </c>
    </row>
    <row r="265" spans="1:19" x14ac:dyDescent="0.25">
      <c r="A265" t="s">
        <v>29</v>
      </c>
      <c r="B265">
        <v>30012</v>
      </c>
      <c r="C265" s="8">
        <v>45580</v>
      </c>
      <c r="D265" t="s">
        <v>1063</v>
      </c>
      <c r="E265" s="11">
        <v>6</v>
      </c>
      <c r="F265" t="s">
        <v>837</v>
      </c>
      <c r="H265" s="12">
        <v>150000</v>
      </c>
      <c r="I265" s="9">
        <v>142240</v>
      </c>
      <c r="J265" s="15">
        <v>0.1</v>
      </c>
      <c r="K265" s="12">
        <v>0</v>
      </c>
      <c r="L265" s="12">
        <v>0</v>
      </c>
      <c r="M265" s="9">
        <v>0</v>
      </c>
      <c r="N265" s="12">
        <v>3397.9555555555557</v>
      </c>
      <c r="O265">
        <v>86</v>
      </c>
      <c r="Q265" s="15">
        <f t="shared" si="12"/>
        <v>0.1</v>
      </c>
      <c r="R265" s="9">
        <f t="shared" si="13"/>
        <v>15000</v>
      </c>
      <c r="S265" s="9">
        <f t="shared" si="14"/>
        <v>15000</v>
      </c>
    </row>
    <row r="266" spans="1:19" x14ac:dyDescent="0.25">
      <c r="A266" t="s">
        <v>29</v>
      </c>
      <c r="B266">
        <v>30012</v>
      </c>
      <c r="C266" s="8">
        <v>45581</v>
      </c>
      <c r="D266" t="s">
        <v>1060</v>
      </c>
      <c r="E266" s="11">
        <v>6</v>
      </c>
      <c r="F266" t="s">
        <v>822</v>
      </c>
      <c r="H266" s="12">
        <v>170000</v>
      </c>
      <c r="I266" s="9">
        <v>167560</v>
      </c>
      <c r="J266" s="15">
        <v>0.1</v>
      </c>
      <c r="K266" s="12">
        <v>0</v>
      </c>
      <c r="L266" s="12">
        <v>0</v>
      </c>
      <c r="M266" s="9">
        <v>0</v>
      </c>
      <c r="N266" s="12">
        <v>3258.1111111111113</v>
      </c>
      <c r="O266">
        <v>70</v>
      </c>
      <c r="Q266" s="15">
        <f t="shared" si="12"/>
        <v>0.1</v>
      </c>
      <c r="R266" s="9">
        <f t="shared" si="13"/>
        <v>17000</v>
      </c>
      <c r="S266" s="9">
        <f t="shared" si="14"/>
        <v>17000</v>
      </c>
    </row>
    <row r="267" spans="1:19" x14ac:dyDescent="0.25">
      <c r="A267" t="s">
        <v>670</v>
      </c>
      <c r="B267">
        <v>30018</v>
      </c>
      <c r="C267" s="8">
        <v>45649</v>
      </c>
      <c r="D267" t="s">
        <v>1135</v>
      </c>
      <c r="E267" s="11">
        <v>6</v>
      </c>
      <c r="F267" t="s">
        <v>805</v>
      </c>
      <c r="G267" t="s">
        <v>673</v>
      </c>
      <c r="H267" s="12">
        <v>205000</v>
      </c>
      <c r="I267" s="9">
        <v>141388</v>
      </c>
      <c r="J267" s="15">
        <v>0.15</v>
      </c>
      <c r="K267" s="12">
        <v>5050</v>
      </c>
      <c r="L267" s="12">
        <v>5813</v>
      </c>
      <c r="M267" s="9">
        <v>34050</v>
      </c>
      <c r="N267" s="12">
        <v>9343</v>
      </c>
      <c r="O267">
        <v>12</v>
      </c>
      <c r="P267">
        <v>1</v>
      </c>
      <c r="Q267" s="15">
        <f t="shared" si="12"/>
        <v>0.3407317073170732</v>
      </c>
      <c r="R267" s="9">
        <f t="shared" si="13"/>
        <v>30750</v>
      </c>
      <c r="S267" s="9">
        <f t="shared" si="14"/>
        <v>69850</v>
      </c>
    </row>
    <row r="268" spans="1:19" x14ac:dyDescent="0.25">
      <c r="A268" t="s">
        <v>1192</v>
      </c>
      <c r="B268">
        <v>30019</v>
      </c>
      <c r="C268" s="8">
        <v>45611</v>
      </c>
      <c r="D268" t="s">
        <v>1353</v>
      </c>
      <c r="E268" s="11">
        <v>6</v>
      </c>
      <c r="F268" t="s">
        <v>805</v>
      </c>
      <c r="G268" t="s">
        <v>1194</v>
      </c>
      <c r="H268" s="12">
        <v>110000</v>
      </c>
      <c r="I268" s="9">
        <v>0</v>
      </c>
      <c r="J268" s="15">
        <v>0.15</v>
      </c>
      <c r="K268" s="12">
        <v>6890</v>
      </c>
      <c r="L268" s="12">
        <v>5000</v>
      </c>
      <c r="M268" s="9">
        <v>0</v>
      </c>
      <c r="N268" s="12">
        <v>0</v>
      </c>
      <c r="O268">
        <v>0</v>
      </c>
      <c r="P268">
        <v>1</v>
      </c>
      <c r="Q268" s="15">
        <f t="shared" si="12"/>
        <v>0.21263636363636362</v>
      </c>
      <c r="R268" s="9">
        <f t="shared" si="13"/>
        <v>16500</v>
      </c>
      <c r="S268" s="9">
        <f t="shared" si="14"/>
        <v>23390</v>
      </c>
    </row>
    <row r="269" spans="1:19" x14ac:dyDescent="0.25">
      <c r="A269" t="s">
        <v>1192</v>
      </c>
      <c r="B269">
        <v>30019</v>
      </c>
      <c r="C269" s="8">
        <v>45593</v>
      </c>
      <c r="D269" t="s">
        <v>1303</v>
      </c>
      <c r="E269" s="11">
        <v>6</v>
      </c>
      <c r="F269" t="s">
        <v>805</v>
      </c>
      <c r="G269" t="s">
        <v>1195</v>
      </c>
      <c r="H269" s="12">
        <v>72500</v>
      </c>
      <c r="I269" s="9">
        <v>0</v>
      </c>
      <c r="J269" s="15">
        <v>0.15</v>
      </c>
      <c r="K269" s="12">
        <v>6890</v>
      </c>
      <c r="L269" s="12">
        <v>5000</v>
      </c>
      <c r="M269" s="9">
        <v>0</v>
      </c>
      <c r="N269" s="12">
        <v>0</v>
      </c>
      <c r="O269">
        <v>0</v>
      </c>
      <c r="P269">
        <v>1</v>
      </c>
      <c r="Q269" s="15">
        <f t="shared" si="12"/>
        <v>0.24503448275862069</v>
      </c>
      <c r="R269" s="9">
        <f t="shared" si="13"/>
        <v>10875</v>
      </c>
      <c r="S269" s="9">
        <f t="shared" si="14"/>
        <v>17765</v>
      </c>
    </row>
    <row r="270" spans="1:19" x14ac:dyDescent="0.25">
      <c r="A270" t="s">
        <v>29</v>
      </c>
      <c r="B270">
        <v>30012</v>
      </c>
      <c r="C270" s="8">
        <v>45579</v>
      </c>
      <c r="D270" t="s">
        <v>1066</v>
      </c>
      <c r="E270" s="11" t="s">
        <v>205</v>
      </c>
      <c r="F270" t="s">
        <v>819</v>
      </c>
      <c r="G270" t="s">
        <v>609</v>
      </c>
      <c r="H270" s="12">
        <v>10000000</v>
      </c>
      <c r="I270" s="9">
        <v>7027527</v>
      </c>
      <c r="J270" s="15">
        <v>0.12</v>
      </c>
      <c r="K270" s="12">
        <v>300000</v>
      </c>
      <c r="L270" s="12">
        <v>0</v>
      </c>
      <c r="M270" s="9">
        <v>0</v>
      </c>
      <c r="N270" s="12">
        <v>7027.5269999999991</v>
      </c>
      <c r="O270">
        <v>3</v>
      </c>
      <c r="Q270" s="15">
        <f t="shared" si="12"/>
        <v>0.15</v>
      </c>
      <c r="R270" s="9">
        <f t="shared" si="13"/>
        <v>1200000</v>
      </c>
      <c r="S270" s="9">
        <f t="shared" si="14"/>
        <v>1500000</v>
      </c>
    </row>
    <row r="271" spans="1:19" x14ac:dyDescent="0.25">
      <c r="A271" t="s">
        <v>29</v>
      </c>
      <c r="B271">
        <v>30012</v>
      </c>
      <c r="C271" s="8">
        <v>45601</v>
      </c>
      <c r="D271" t="s">
        <v>992</v>
      </c>
      <c r="E271" s="11">
        <v>6</v>
      </c>
      <c r="F271" t="s">
        <v>819</v>
      </c>
      <c r="H271" s="12">
        <v>150000</v>
      </c>
      <c r="I271" s="9">
        <v>152144</v>
      </c>
      <c r="J271" s="15">
        <v>0.1</v>
      </c>
      <c r="K271" s="12">
        <v>0</v>
      </c>
      <c r="L271" s="12">
        <v>0</v>
      </c>
      <c r="M271" s="9">
        <v>0</v>
      </c>
      <c r="N271" s="12">
        <v>3085.1422222222227</v>
      </c>
      <c r="O271">
        <v>73</v>
      </c>
      <c r="Q271" s="15">
        <f t="shared" si="12"/>
        <v>0.1</v>
      </c>
      <c r="R271" s="9">
        <f t="shared" si="13"/>
        <v>15000</v>
      </c>
      <c r="S271" s="9">
        <f t="shared" si="14"/>
        <v>15000</v>
      </c>
    </row>
    <row r="272" spans="1:19" x14ac:dyDescent="0.25">
      <c r="A272" t="s">
        <v>1192</v>
      </c>
      <c r="B272">
        <v>30019</v>
      </c>
      <c r="C272" s="8">
        <v>45632</v>
      </c>
      <c r="D272" t="s">
        <v>1421</v>
      </c>
      <c r="E272" s="11">
        <v>6</v>
      </c>
      <c r="F272" t="s">
        <v>1373</v>
      </c>
      <c r="G272" t="s">
        <v>1206</v>
      </c>
      <c r="H272" s="12">
        <v>90000</v>
      </c>
      <c r="I272" s="9">
        <v>0</v>
      </c>
      <c r="J272" s="15">
        <v>0.13750000000000001</v>
      </c>
      <c r="K272" s="12">
        <v>6890</v>
      </c>
      <c r="L272" s="12">
        <v>5000</v>
      </c>
      <c r="M272" s="9">
        <v>0</v>
      </c>
      <c r="N272" s="12">
        <v>0</v>
      </c>
      <c r="O272">
        <v>0</v>
      </c>
      <c r="P272">
        <v>1</v>
      </c>
      <c r="Q272" s="15">
        <f t="shared" si="12"/>
        <v>0.21405555555555555</v>
      </c>
      <c r="R272" s="9">
        <f t="shared" si="13"/>
        <v>12375.000000000002</v>
      </c>
      <c r="S272" s="9">
        <f t="shared" si="14"/>
        <v>19265</v>
      </c>
    </row>
    <row r="273" spans="1:19" x14ac:dyDescent="0.25">
      <c r="A273" t="s">
        <v>210</v>
      </c>
      <c r="B273" t="s">
        <v>783</v>
      </c>
      <c r="C273" s="8">
        <v>45621</v>
      </c>
      <c r="D273" t="s">
        <v>1156</v>
      </c>
      <c r="E273" s="11">
        <v>6</v>
      </c>
      <c r="F273" t="s">
        <v>805</v>
      </c>
      <c r="G273" t="s">
        <v>213</v>
      </c>
      <c r="H273" s="12">
        <v>122100</v>
      </c>
      <c r="I273" s="9">
        <v>122100</v>
      </c>
      <c r="J273" s="15">
        <v>0.14000000000000001</v>
      </c>
      <c r="K273" s="12">
        <v>6349.2000000000007</v>
      </c>
      <c r="M273" s="9">
        <v>1199.9988000000001</v>
      </c>
      <c r="P273">
        <v>1</v>
      </c>
      <c r="Q273" s="15">
        <f t="shared" si="12"/>
        <v>0.20182800000000001</v>
      </c>
      <c r="R273" s="9">
        <f t="shared" si="13"/>
        <v>17094</v>
      </c>
      <c r="S273" s="9">
        <f t="shared" si="14"/>
        <v>24643.198800000002</v>
      </c>
    </row>
    <row r="274" spans="1:19" x14ac:dyDescent="0.25">
      <c r="A274" t="s">
        <v>29</v>
      </c>
      <c r="B274">
        <v>30012</v>
      </c>
      <c r="C274" s="8">
        <v>45635</v>
      </c>
      <c r="D274" t="s">
        <v>887</v>
      </c>
      <c r="E274" s="11">
        <v>6</v>
      </c>
      <c r="F274" t="s">
        <v>819</v>
      </c>
      <c r="H274" s="12">
        <v>100000</v>
      </c>
      <c r="I274" s="9">
        <v>105825</v>
      </c>
      <c r="J274" s="15">
        <v>0.1</v>
      </c>
      <c r="K274" s="12">
        <v>0</v>
      </c>
      <c r="L274" s="12">
        <v>0</v>
      </c>
      <c r="M274" s="9">
        <v>0</v>
      </c>
      <c r="N274" s="12">
        <v>2057.7083333333335</v>
      </c>
      <c r="O274">
        <v>70</v>
      </c>
      <c r="Q274" s="15">
        <f t="shared" si="12"/>
        <v>0.1</v>
      </c>
      <c r="R274" s="9">
        <f t="shared" si="13"/>
        <v>10000</v>
      </c>
      <c r="S274" s="9">
        <f t="shared" si="14"/>
        <v>10000</v>
      </c>
    </row>
    <row r="275" spans="1:19" x14ac:dyDescent="0.25">
      <c r="A275" t="s">
        <v>29</v>
      </c>
      <c r="B275">
        <v>30012</v>
      </c>
      <c r="C275" s="8">
        <v>45616</v>
      </c>
      <c r="D275" t="s">
        <v>948</v>
      </c>
      <c r="E275" s="11" t="s">
        <v>205</v>
      </c>
      <c r="F275" t="s">
        <v>805</v>
      </c>
      <c r="G275" t="s">
        <v>206</v>
      </c>
      <c r="H275" s="12">
        <v>150000000</v>
      </c>
      <c r="I275" s="9">
        <v>166133104</v>
      </c>
      <c r="J275" s="15">
        <v>0.12</v>
      </c>
      <c r="K275" s="12">
        <v>4500000</v>
      </c>
      <c r="L275" s="12">
        <v>0</v>
      </c>
      <c r="M275" s="9">
        <v>0</v>
      </c>
      <c r="N275" s="12">
        <v>5094748.5226666667</v>
      </c>
      <c r="O275">
        <v>92</v>
      </c>
      <c r="Q275" s="15">
        <f t="shared" si="12"/>
        <v>0.15</v>
      </c>
      <c r="R275" s="9">
        <f t="shared" si="13"/>
        <v>18000000</v>
      </c>
      <c r="S275" s="9">
        <f t="shared" si="14"/>
        <v>22500000</v>
      </c>
    </row>
    <row r="276" spans="1:19" x14ac:dyDescent="0.25">
      <c r="A276" t="s">
        <v>29</v>
      </c>
      <c r="B276">
        <v>30012</v>
      </c>
      <c r="C276" s="8">
        <v>45568</v>
      </c>
      <c r="D276" t="s">
        <v>1096</v>
      </c>
      <c r="E276" s="11">
        <v>6</v>
      </c>
      <c r="F276" t="s">
        <v>819</v>
      </c>
      <c r="H276" s="12">
        <v>120000</v>
      </c>
      <c r="I276" s="9">
        <v>121075</v>
      </c>
      <c r="J276" s="15">
        <v>0.1</v>
      </c>
      <c r="K276" s="12">
        <v>0</v>
      </c>
      <c r="L276" s="12">
        <v>0</v>
      </c>
      <c r="M276" s="9">
        <v>0</v>
      </c>
      <c r="N276" s="12">
        <v>2791.4513888888887</v>
      </c>
      <c r="O276">
        <v>83</v>
      </c>
      <c r="Q276" s="15">
        <f t="shared" si="12"/>
        <v>0.1</v>
      </c>
      <c r="R276" s="9">
        <f t="shared" si="13"/>
        <v>12000</v>
      </c>
      <c r="S276" s="9">
        <f t="shared" si="14"/>
        <v>12000</v>
      </c>
    </row>
    <row r="277" spans="1:19" x14ac:dyDescent="0.25">
      <c r="A277" t="s">
        <v>29</v>
      </c>
      <c r="B277">
        <v>30012</v>
      </c>
      <c r="C277" s="8">
        <v>45576</v>
      </c>
      <c r="D277" t="s">
        <v>1073</v>
      </c>
      <c r="E277" s="11">
        <v>6</v>
      </c>
      <c r="F277" t="s">
        <v>819</v>
      </c>
      <c r="H277" s="12">
        <v>150000</v>
      </c>
      <c r="I277" s="9">
        <v>149894</v>
      </c>
      <c r="J277" s="15">
        <v>0.1</v>
      </c>
      <c r="K277" s="12">
        <v>0</v>
      </c>
      <c r="L277" s="12">
        <v>0</v>
      </c>
      <c r="M277" s="9">
        <v>0</v>
      </c>
      <c r="N277" s="12">
        <v>2914.6055555555554</v>
      </c>
      <c r="O277">
        <v>70</v>
      </c>
      <c r="Q277" s="15">
        <f t="shared" si="12"/>
        <v>0.1</v>
      </c>
      <c r="R277" s="9">
        <f t="shared" si="13"/>
        <v>15000</v>
      </c>
      <c r="S277" s="9">
        <f t="shared" si="14"/>
        <v>15000</v>
      </c>
    </row>
    <row r="278" spans="1:19" x14ac:dyDescent="0.25">
      <c r="A278" t="s">
        <v>29</v>
      </c>
      <c r="B278">
        <v>30012</v>
      </c>
      <c r="C278" s="8">
        <v>45567</v>
      </c>
      <c r="D278" t="s">
        <v>1112</v>
      </c>
      <c r="E278" s="11">
        <v>6</v>
      </c>
      <c r="F278" t="s">
        <v>819</v>
      </c>
      <c r="H278" s="12">
        <v>220000</v>
      </c>
      <c r="I278" s="9">
        <v>240021</v>
      </c>
      <c r="J278" s="15">
        <v>0.1</v>
      </c>
      <c r="K278" s="12">
        <v>0</v>
      </c>
      <c r="L278" s="12">
        <v>0</v>
      </c>
      <c r="M278" s="9">
        <v>0</v>
      </c>
      <c r="N278" s="12">
        <v>5867.1800000000012</v>
      </c>
      <c r="O278">
        <v>88</v>
      </c>
      <c r="Q278" s="15">
        <f t="shared" si="12"/>
        <v>0.1</v>
      </c>
      <c r="R278" s="9">
        <f t="shared" si="13"/>
        <v>22000</v>
      </c>
      <c r="S278" s="9">
        <f t="shared" si="14"/>
        <v>22000</v>
      </c>
    </row>
    <row r="279" spans="1:19" x14ac:dyDescent="0.25">
      <c r="A279" t="s">
        <v>29</v>
      </c>
      <c r="B279">
        <v>30012</v>
      </c>
      <c r="C279" s="8">
        <v>45642</v>
      </c>
      <c r="D279" t="s">
        <v>868</v>
      </c>
      <c r="E279" s="11">
        <v>6</v>
      </c>
      <c r="F279" t="s">
        <v>819</v>
      </c>
      <c r="H279" s="12">
        <v>120000</v>
      </c>
      <c r="I279" s="9">
        <v>210152</v>
      </c>
      <c r="J279" s="15">
        <v>0.1</v>
      </c>
      <c r="K279" s="12">
        <v>0</v>
      </c>
      <c r="L279" s="12">
        <v>0</v>
      </c>
      <c r="M279" s="9">
        <v>0</v>
      </c>
      <c r="N279" s="12">
        <v>4903.5466666666671</v>
      </c>
      <c r="O279">
        <v>84</v>
      </c>
      <c r="Q279" s="15">
        <f t="shared" si="12"/>
        <v>0.1</v>
      </c>
      <c r="R279" s="9">
        <f t="shared" si="13"/>
        <v>12000</v>
      </c>
      <c r="S279" s="9">
        <f t="shared" si="14"/>
        <v>12000</v>
      </c>
    </row>
    <row r="280" spans="1:19" x14ac:dyDescent="0.25">
      <c r="A280" t="s">
        <v>29</v>
      </c>
      <c r="B280">
        <v>30012</v>
      </c>
      <c r="C280" s="8">
        <v>45637</v>
      </c>
      <c r="D280" t="s">
        <v>882</v>
      </c>
      <c r="E280" s="11">
        <v>6</v>
      </c>
      <c r="F280" t="s">
        <v>819</v>
      </c>
      <c r="H280" s="12">
        <v>89147</v>
      </c>
      <c r="I280" s="9">
        <v>89147</v>
      </c>
      <c r="J280" s="15">
        <v>0.15</v>
      </c>
      <c r="K280" s="12">
        <v>0</v>
      </c>
      <c r="L280" s="12">
        <v>0</v>
      </c>
      <c r="M280" s="9">
        <v>0</v>
      </c>
      <c r="N280" s="12">
        <v>780.03625</v>
      </c>
      <c r="O280">
        <v>21</v>
      </c>
      <c r="Q280" s="15">
        <f t="shared" si="12"/>
        <v>0.15</v>
      </c>
      <c r="R280" s="9">
        <f t="shared" si="13"/>
        <v>13372.05</v>
      </c>
      <c r="S280" s="9">
        <f t="shared" si="14"/>
        <v>13372.05</v>
      </c>
    </row>
    <row r="281" spans="1:19" x14ac:dyDescent="0.25">
      <c r="A281" t="s">
        <v>1192</v>
      </c>
      <c r="B281">
        <v>30019</v>
      </c>
      <c r="C281" s="8">
        <v>45621</v>
      </c>
      <c r="D281" t="s">
        <v>1383</v>
      </c>
      <c r="E281" s="11">
        <v>6</v>
      </c>
      <c r="F281" t="s">
        <v>805</v>
      </c>
      <c r="H281" s="12">
        <v>76000</v>
      </c>
      <c r="I281" s="9">
        <v>0</v>
      </c>
      <c r="J281" s="15">
        <v>0.15</v>
      </c>
      <c r="K281" s="12">
        <v>6890</v>
      </c>
      <c r="L281" s="12">
        <v>5000</v>
      </c>
      <c r="M281" s="9">
        <v>0</v>
      </c>
      <c r="N281" s="12">
        <v>0</v>
      </c>
      <c r="O281">
        <v>0</v>
      </c>
      <c r="P281">
        <v>1</v>
      </c>
      <c r="Q281" s="15">
        <f t="shared" si="12"/>
        <v>0.2406578947368421</v>
      </c>
      <c r="R281" s="9">
        <f t="shared" si="13"/>
        <v>11400</v>
      </c>
      <c r="S281" s="9">
        <f t="shared" si="14"/>
        <v>18290</v>
      </c>
    </row>
    <row r="282" spans="1:19" x14ac:dyDescent="0.25">
      <c r="A282" t="s">
        <v>29</v>
      </c>
      <c r="B282">
        <v>30012</v>
      </c>
      <c r="C282" s="8">
        <v>45589</v>
      </c>
      <c r="D282" t="s">
        <v>1039</v>
      </c>
      <c r="E282" s="11">
        <v>6</v>
      </c>
      <c r="F282" t="s">
        <v>819</v>
      </c>
      <c r="H282" s="12">
        <v>90000</v>
      </c>
      <c r="I282" s="9">
        <v>96939</v>
      </c>
      <c r="J282" s="15">
        <v>0.1</v>
      </c>
      <c r="K282" s="12">
        <v>0</v>
      </c>
      <c r="L282" s="12">
        <v>0</v>
      </c>
      <c r="M282" s="9">
        <v>0</v>
      </c>
      <c r="N282" s="12">
        <v>1965.7075</v>
      </c>
      <c r="O282">
        <v>73</v>
      </c>
      <c r="Q282" s="15">
        <f t="shared" si="12"/>
        <v>0.1</v>
      </c>
      <c r="R282" s="9">
        <f t="shared" si="13"/>
        <v>9000</v>
      </c>
      <c r="S282" s="9">
        <f t="shared" si="14"/>
        <v>9000</v>
      </c>
    </row>
    <row r="283" spans="1:19" x14ac:dyDescent="0.25">
      <c r="A283" t="s">
        <v>29</v>
      </c>
      <c r="B283">
        <v>30012</v>
      </c>
      <c r="C283" s="8">
        <v>45579</v>
      </c>
      <c r="D283" t="s">
        <v>1068</v>
      </c>
      <c r="E283" s="11">
        <v>6</v>
      </c>
      <c r="F283" t="s">
        <v>819</v>
      </c>
      <c r="H283" s="12">
        <v>80000</v>
      </c>
      <c r="I283" s="9">
        <v>76301</v>
      </c>
      <c r="J283" s="15">
        <v>0.1</v>
      </c>
      <c r="K283" s="12">
        <v>0</v>
      </c>
      <c r="L283" s="12">
        <v>0</v>
      </c>
      <c r="M283" s="9">
        <v>0</v>
      </c>
      <c r="N283" s="12">
        <v>1017.3466666666668</v>
      </c>
      <c r="O283">
        <v>48</v>
      </c>
      <c r="Q283" s="15">
        <f t="shared" si="12"/>
        <v>0.1</v>
      </c>
      <c r="R283" s="9">
        <f t="shared" si="13"/>
        <v>8000</v>
      </c>
      <c r="S283" s="9">
        <f t="shared" si="14"/>
        <v>8000</v>
      </c>
    </row>
    <row r="284" spans="1:19" x14ac:dyDescent="0.25">
      <c r="A284" t="s">
        <v>29</v>
      </c>
      <c r="B284">
        <v>30012</v>
      </c>
      <c r="C284" s="8">
        <v>45575</v>
      </c>
      <c r="D284" t="s">
        <v>1077</v>
      </c>
      <c r="E284" s="11">
        <v>6</v>
      </c>
      <c r="F284" t="s">
        <v>822</v>
      </c>
      <c r="H284" s="12">
        <v>90000</v>
      </c>
      <c r="I284" s="9">
        <v>91723</v>
      </c>
      <c r="J284" s="15">
        <v>0.1</v>
      </c>
      <c r="K284" s="12">
        <v>0</v>
      </c>
      <c r="L284" s="12">
        <v>0</v>
      </c>
      <c r="M284" s="9">
        <v>0</v>
      </c>
      <c r="N284" s="12">
        <v>2267.5963888888891</v>
      </c>
      <c r="O284">
        <v>89</v>
      </c>
      <c r="Q284" s="15">
        <f t="shared" si="12"/>
        <v>0.1</v>
      </c>
      <c r="R284" s="9">
        <f t="shared" si="13"/>
        <v>9000</v>
      </c>
      <c r="S284" s="9">
        <f t="shared" si="14"/>
        <v>9000</v>
      </c>
    </row>
    <row r="285" spans="1:19" x14ac:dyDescent="0.25">
      <c r="A285" t="s">
        <v>29</v>
      </c>
      <c r="B285">
        <v>30012</v>
      </c>
      <c r="C285" s="8">
        <v>45610</v>
      </c>
      <c r="D285" t="s">
        <v>964</v>
      </c>
      <c r="E285" s="11">
        <v>6</v>
      </c>
      <c r="F285" t="s">
        <v>837</v>
      </c>
      <c r="H285" s="12">
        <v>50000</v>
      </c>
      <c r="I285" s="9">
        <v>51250</v>
      </c>
      <c r="J285" s="15">
        <v>0.1</v>
      </c>
      <c r="K285" s="12">
        <v>0</v>
      </c>
      <c r="L285" s="12">
        <v>0</v>
      </c>
      <c r="M285" s="9">
        <v>0</v>
      </c>
      <c r="N285" s="12">
        <v>1010.7638888888889</v>
      </c>
      <c r="O285">
        <v>71</v>
      </c>
      <c r="Q285" s="15">
        <f t="shared" si="12"/>
        <v>0.1</v>
      </c>
      <c r="R285" s="9">
        <f t="shared" si="13"/>
        <v>5000</v>
      </c>
      <c r="S285" s="9">
        <f t="shared" si="14"/>
        <v>5000</v>
      </c>
    </row>
    <row r="286" spans="1:19" x14ac:dyDescent="0.25">
      <c r="A286" t="s">
        <v>1192</v>
      </c>
      <c r="B286">
        <v>30019</v>
      </c>
      <c r="C286" s="8">
        <v>45617</v>
      </c>
      <c r="D286" t="s">
        <v>1370</v>
      </c>
      <c r="E286" s="11">
        <v>2</v>
      </c>
      <c r="F286" t="s">
        <v>805</v>
      </c>
      <c r="G286" t="s">
        <v>1215</v>
      </c>
      <c r="H286" s="12">
        <v>18956668</v>
      </c>
      <c r="I286" s="9">
        <v>0</v>
      </c>
      <c r="J286" s="15">
        <v>2.7272727272727303E-2</v>
      </c>
      <c r="K286" s="12">
        <v>225395</v>
      </c>
      <c r="L286" s="12">
        <v>0</v>
      </c>
      <c r="M286" s="9">
        <v>0</v>
      </c>
      <c r="N286" s="12">
        <v>0</v>
      </c>
      <c r="O286">
        <v>0</v>
      </c>
      <c r="P286">
        <v>1</v>
      </c>
      <c r="Q286" s="15">
        <f t="shared" si="12"/>
        <v>3.9162738745207593E-2</v>
      </c>
      <c r="R286" s="9">
        <f t="shared" si="13"/>
        <v>517000.03636363696</v>
      </c>
      <c r="S286" s="9">
        <f t="shared" si="14"/>
        <v>742395.03636363696</v>
      </c>
    </row>
    <row r="287" spans="1:19" x14ac:dyDescent="0.25">
      <c r="A287" t="s">
        <v>1192</v>
      </c>
      <c r="B287">
        <v>30019</v>
      </c>
      <c r="C287" s="8">
        <v>45657</v>
      </c>
      <c r="D287" t="s">
        <v>1483</v>
      </c>
      <c r="E287" s="11">
        <v>6</v>
      </c>
      <c r="F287" t="s">
        <v>805</v>
      </c>
      <c r="G287" t="s">
        <v>1195</v>
      </c>
      <c r="H287" s="12">
        <v>104000</v>
      </c>
      <c r="I287" s="9">
        <v>0</v>
      </c>
      <c r="J287" s="15">
        <v>0.15</v>
      </c>
      <c r="K287" s="12">
        <v>6890</v>
      </c>
      <c r="L287" s="12">
        <v>5000</v>
      </c>
      <c r="M287" s="9">
        <v>0</v>
      </c>
      <c r="N287" s="12">
        <v>0</v>
      </c>
      <c r="O287">
        <v>0</v>
      </c>
      <c r="P287">
        <v>1</v>
      </c>
      <c r="Q287" s="15">
        <f t="shared" si="12"/>
        <v>0.21625</v>
      </c>
      <c r="R287" s="9">
        <f t="shared" si="13"/>
        <v>15600</v>
      </c>
      <c r="S287" s="9">
        <f t="shared" si="14"/>
        <v>22490</v>
      </c>
    </row>
    <row r="288" spans="1:19" x14ac:dyDescent="0.25">
      <c r="A288" t="s">
        <v>1192</v>
      </c>
      <c r="B288">
        <v>30019</v>
      </c>
      <c r="C288" s="8">
        <v>45583</v>
      </c>
      <c r="D288" t="s">
        <v>1277</v>
      </c>
      <c r="E288" s="11">
        <v>6</v>
      </c>
      <c r="F288" t="s">
        <v>805</v>
      </c>
      <c r="G288" t="s">
        <v>1195</v>
      </c>
      <c r="H288" s="12">
        <v>57000</v>
      </c>
      <c r="I288" s="9">
        <v>0</v>
      </c>
      <c r="J288" s="15">
        <v>0.15</v>
      </c>
      <c r="K288" s="12">
        <v>6890</v>
      </c>
      <c r="L288" s="12">
        <v>5000</v>
      </c>
      <c r="M288" s="9">
        <v>0</v>
      </c>
      <c r="N288" s="12">
        <v>0</v>
      </c>
      <c r="O288">
        <v>0</v>
      </c>
      <c r="P288">
        <v>1</v>
      </c>
      <c r="Q288" s="15">
        <f t="shared" si="12"/>
        <v>0.27087719298245616</v>
      </c>
      <c r="R288" s="9">
        <f t="shared" si="13"/>
        <v>8550</v>
      </c>
      <c r="S288" s="9">
        <f t="shared" si="14"/>
        <v>15440.000000000002</v>
      </c>
    </row>
    <row r="289" spans="1:19" x14ac:dyDescent="0.25">
      <c r="A289" t="s">
        <v>1192</v>
      </c>
      <c r="B289">
        <v>30019</v>
      </c>
      <c r="C289" s="8">
        <v>45623</v>
      </c>
      <c r="D289" t="s">
        <v>1387</v>
      </c>
      <c r="E289" s="11">
        <v>6</v>
      </c>
      <c r="F289" t="s">
        <v>805</v>
      </c>
      <c r="G289" t="s">
        <v>1195</v>
      </c>
      <c r="H289" s="12">
        <v>53000</v>
      </c>
      <c r="I289" s="9">
        <v>0</v>
      </c>
      <c r="J289" s="15">
        <v>0.122727272727273</v>
      </c>
      <c r="K289" s="12">
        <v>6890</v>
      </c>
      <c r="L289" s="12">
        <v>5000</v>
      </c>
      <c r="M289" s="9">
        <v>0</v>
      </c>
      <c r="N289" s="12">
        <v>0</v>
      </c>
      <c r="O289">
        <v>0</v>
      </c>
      <c r="P289">
        <v>1</v>
      </c>
      <c r="Q289" s="15">
        <f t="shared" si="12"/>
        <v>0.25272727272727302</v>
      </c>
      <c r="R289" s="9">
        <f t="shared" si="13"/>
        <v>6504.5454545454695</v>
      </c>
      <c r="S289" s="9">
        <f t="shared" si="14"/>
        <v>13394.54545454547</v>
      </c>
    </row>
    <row r="290" spans="1:19" x14ac:dyDescent="0.25">
      <c r="A290" t="s">
        <v>29</v>
      </c>
      <c r="B290">
        <v>30012</v>
      </c>
      <c r="C290" s="8">
        <v>45610</v>
      </c>
      <c r="D290" t="s">
        <v>967</v>
      </c>
      <c r="E290" s="11">
        <v>6</v>
      </c>
      <c r="F290" t="s">
        <v>805</v>
      </c>
      <c r="H290" s="12">
        <v>100000</v>
      </c>
      <c r="I290" s="9">
        <v>85865</v>
      </c>
      <c r="J290" s="15">
        <v>0.1</v>
      </c>
      <c r="K290" s="12">
        <v>0</v>
      </c>
      <c r="L290" s="12">
        <v>0</v>
      </c>
      <c r="M290" s="9">
        <v>0</v>
      </c>
      <c r="N290" s="12">
        <v>2003.5166666666667</v>
      </c>
      <c r="O290">
        <v>84</v>
      </c>
      <c r="Q290" s="15">
        <f t="shared" si="12"/>
        <v>0.1</v>
      </c>
      <c r="R290" s="9">
        <f t="shared" si="13"/>
        <v>10000</v>
      </c>
      <c r="S290" s="9">
        <f t="shared" si="14"/>
        <v>10000</v>
      </c>
    </row>
    <row r="291" spans="1:19" x14ac:dyDescent="0.25">
      <c r="A291" t="s">
        <v>1192</v>
      </c>
      <c r="B291">
        <v>30019</v>
      </c>
      <c r="C291" s="8">
        <v>45576</v>
      </c>
      <c r="D291" t="s">
        <v>1255</v>
      </c>
      <c r="E291" s="11">
        <v>6</v>
      </c>
      <c r="F291" t="s">
        <v>805</v>
      </c>
      <c r="G291" t="s">
        <v>1198</v>
      </c>
      <c r="H291" s="12">
        <v>90000</v>
      </c>
      <c r="I291" s="9">
        <v>0</v>
      </c>
      <c r="J291" s="15">
        <v>0.105</v>
      </c>
      <c r="K291" s="12">
        <v>6890</v>
      </c>
      <c r="L291" s="12">
        <v>5000</v>
      </c>
      <c r="M291" s="9">
        <v>0</v>
      </c>
      <c r="N291" s="12">
        <v>0</v>
      </c>
      <c r="O291">
        <v>0</v>
      </c>
      <c r="P291">
        <v>1</v>
      </c>
      <c r="Q291" s="15">
        <f t="shared" si="12"/>
        <v>0.18155555555555555</v>
      </c>
      <c r="R291" s="9">
        <f t="shared" si="13"/>
        <v>9450</v>
      </c>
      <c r="S291" s="9">
        <f t="shared" si="14"/>
        <v>16340</v>
      </c>
    </row>
    <row r="292" spans="1:19" x14ac:dyDescent="0.25">
      <c r="A292" t="s">
        <v>1192</v>
      </c>
      <c r="B292">
        <v>30019</v>
      </c>
      <c r="C292" s="8">
        <v>45567</v>
      </c>
      <c r="D292" t="s">
        <v>752</v>
      </c>
      <c r="E292" s="11">
        <v>6</v>
      </c>
      <c r="F292" t="s">
        <v>805</v>
      </c>
      <c r="G292" t="s">
        <v>1195</v>
      </c>
      <c r="H292" s="12">
        <v>121000</v>
      </c>
      <c r="I292" s="9">
        <v>0</v>
      </c>
      <c r="J292" s="15">
        <v>0.15</v>
      </c>
      <c r="K292" s="12">
        <v>6890</v>
      </c>
      <c r="L292" s="12">
        <v>5000</v>
      </c>
      <c r="M292" s="9">
        <v>0</v>
      </c>
      <c r="N292" s="12">
        <v>0</v>
      </c>
      <c r="O292">
        <v>0</v>
      </c>
      <c r="P292">
        <v>1</v>
      </c>
      <c r="Q292" s="15">
        <f t="shared" si="12"/>
        <v>0.20694214876033057</v>
      </c>
      <c r="R292" s="9">
        <f t="shared" si="13"/>
        <v>18150</v>
      </c>
      <c r="S292" s="9">
        <f t="shared" si="14"/>
        <v>25040</v>
      </c>
    </row>
    <row r="293" spans="1:19" x14ac:dyDescent="0.25">
      <c r="A293" t="s">
        <v>1192</v>
      </c>
      <c r="B293">
        <v>30019</v>
      </c>
      <c r="C293" s="8">
        <v>45601</v>
      </c>
      <c r="D293" t="s">
        <v>1315</v>
      </c>
      <c r="E293" s="11">
        <v>6</v>
      </c>
      <c r="F293" t="s">
        <v>805</v>
      </c>
      <c r="G293" t="s">
        <v>1316</v>
      </c>
      <c r="H293" s="12">
        <v>66000</v>
      </c>
      <c r="I293" s="9">
        <v>0</v>
      </c>
      <c r="J293" s="15">
        <v>0.15</v>
      </c>
      <c r="K293" s="12">
        <v>6890</v>
      </c>
      <c r="L293" s="12">
        <v>5000</v>
      </c>
      <c r="M293" s="9">
        <v>0</v>
      </c>
      <c r="N293" s="12">
        <v>0</v>
      </c>
      <c r="O293">
        <v>0</v>
      </c>
      <c r="P293">
        <v>1</v>
      </c>
      <c r="Q293" s="15">
        <f t="shared" si="12"/>
        <v>0.25439393939393939</v>
      </c>
      <c r="R293" s="9">
        <f t="shared" si="13"/>
        <v>9900</v>
      </c>
      <c r="S293" s="9">
        <f t="shared" si="14"/>
        <v>16790</v>
      </c>
    </row>
    <row r="294" spans="1:19" x14ac:dyDescent="0.25">
      <c r="A294" t="s">
        <v>1192</v>
      </c>
      <c r="B294">
        <v>30019</v>
      </c>
      <c r="C294" s="8">
        <v>45579</v>
      </c>
      <c r="D294" t="s">
        <v>1262</v>
      </c>
      <c r="E294" s="11">
        <v>6</v>
      </c>
      <c r="F294" t="s">
        <v>805</v>
      </c>
      <c r="G294" t="s">
        <v>1194</v>
      </c>
      <c r="H294" s="12">
        <v>72000</v>
      </c>
      <c r="I294" s="9">
        <v>0</v>
      </c>
      <c r="J294" s="15">
        <v>0.13500000000000001</v>
      </c>
      <c r="K294" s="12">
        <v>6890</v>
      </c>
      <c r="L294" s="12">
        <v>5000</v>
      </c>
      <c r="M294" s="9">
        <v>0</v>
      </c>
      <c r="N294" s="12">
        <v>0</v>
      </c>
      <c r="O294">
        <v>0</v>
      </c>
      <c r="P294">
        <v>1</v>
      </c>
      <c r="Q294" s="15">
        <f t="shared" si="12"/>
        <v>0.23069444444444445</v>
      </c>
      <c r="R294" s="9">
        <f t="shared" si="13"/>
        <v>9720</v>
      </c>
      <c r="S294" s="9">
        <f t="shared" si="14"/>
        <v>16610</v>
      </c>
    </row>
    <row r="295" spans="1:19" x14ac:dyDescent="0.25">
      <c r="A295" t="s">
        <v>1192</v>
      </c>
      <c r="B295">
        <v>30019</v>
      </c>
      <c r="C295" s="8">
        <v>45569</v>
      </c>
      <c r="D295" t="s">
        <v>1219</v>
      </c>
      <c r="E295" s="11">
        <v>6</v>
      </c>
      <c r="F295" t="s">
        <v>805</v>
      </c>
      <c r="G295" t="s">
        <v>1195</v>
      </c>
      <c r="H295" s="12">
        <v>67500</v>
      </c>
      <c r="I295" s="9">
        <v>0</v>
      </c>
      <c r="J295" s="15">
        <v>0.15</v>
      </c>
      <c r="K295" s="12">
        <v>6890</v>
      </c>
      <c r="L295" s="12">
        <v>5000</v>
      </c>
      <c r="M295" s="9">
        <v>0</v>
      </c>
      <c r="N295" s="12">
        <v>0</v>
      </c>
      <c r="O295">
        <v>0</v>
      </c>
      <c r="P295">
        <v>1</v>
      </c>
      <c r="Q295" s="15">
        <f t="shared" si="12"/>
        <v>0.25207407407407406</v>
      </c>
      <c r="R295" s="9">
        <f t="shared" si="13"/>
        <v>10125</v>
      </c>
      <c r="S295" s="9">
        <f t="shared" si="14"/>
        <v>17015</v>
      </c>
    </row>
    <row r="296" spans="1:19" x14ac:dyDescent="0.25">
      <c r="A296" t="s">
        <v>1192</v>
      </c>
      <c r="B296">
        <v>30019</v>
      </c>
      <c r="C296" s="8">
        <v>45602</v>
      </c>
      <c r="D296" t="s">
        <v>1318</v>
      </c>
      <c r="E296" s="11">
        <v>6</v>
      </c>
      <c r="F296" t="s">
        <v>805</v>
      </c>
      <c r="G296" t="s">
        <v>1195</v>
      </c>
      <c r="H296" s="12">
        <v>83000</v>
      </c>
      <c r="I296" s="9">
        <v>0</v>
      </c>
      <c r="J296" s="15">
        <v>0.13636363636363599</v>
      </c>
      <c r="K296" s="12">
        <v>6890</v>
      </c>
      <c r="L296" s="12">
        <v>5000</v>
      </c>
      <c r="M296" s="9">
        <v>0</v>
      </c>
      <c r="N296" s="12">
        <v>0</v>
      </c>
      <c r="O296">
        <v>0</v>
      </c>
      <c r="P296">
        <v>1</v>
      </c>
      <c r="Q296" s="15">
        <f t="shared" si="12"/>
        <v>0.21937568455640707</v>
      </c>
      <c r="R296" s="9">
        <f t="shared" si="13"/>
        <v>11318.181818181787</v>
      </c>
      <c r="S296" s="9">
        <f t="shared" si="14"/>
        <v>18208.181818181787</v>
      </c>
    </row>
    <row r="297" spans="1:19" x14ac:dyDescent="0.25">
      <c r="A297" t="s">
        <v>29</v>
      </c>
      <c r="B297">
        <v>30012</v>
      </c>
      <c r="C297" s="8">
        <v>45579</v>
      </c>
      <c r="D297" t="s">
        <v>1067</v>
      </c>
      <c r="E297" s="11">
        <v>6</v>
      </c>
      <c r="F297" t="s">
        <v>819</v>
      </c>
      <c r="H297" s="12">
        <v>50000</v>
      </c>
      <c r="I297" s="9">
        <v>26062</v>
      </c>
      <c r="J297" s="15">
        <v>0.1</v>
      </c>
      <c r="K297" s="12">
        <v>0</v>
      </c>
      <c r="L297" s="12">
        <v>0</v>
      </c>
      <c r="M297" s="9">
        <v>0</v>
      </c>
      <c r="N297" s="12">
        <v>499.5216666666667</v>
      </c>
      <c r="O297">
        <v>69</v>
      </c>
      <c r="Q297" s="15">
        <f t="shared" si="12"/>
        <v>0.1</v>
      </c>
      <c r="R297" s="9">
        <f t="shared" si="13"/>
        <v>5000</v>
      </c>
      <c r="S297" s="9">
        <f t="shared" si="14"/>
        <v>5000</v>
      </c>
    </row>
    <row r="298" spans="1:19" x14ac:dyDescent="0.25">
      <c r="A298" t="s">
        <v>29</v>
      </c>
      <c r="B298">
        <v>30012</v>
      </c>
      <c r="C298" s="8">
        <v>45589</v>
      </c>
      <c r="D298" t="s">
        <v>1038</v>
      </c>
      <c r="E298" s="11">
        <v>6</v>
      </c>
      <c r="F298" t="s">
        <v>805</v>
      </c>
      <c r="H298" s="12">
        <v>100000</v>
      </c>
      <c r="I298" s="9">
        <v>101687</v>
      </c>
      <c r="J298" s="15">
        <v>0.1</v>
      </c>
      <c r="K298" s="12">
        <v>0</v>
      </c>
      <c r="L298" s="12">
        <v>0</v>
      </c>
      <c r="M298" s="9">
        <v>0</v>
      </c>
      <c r="N298" s="12">
        <v>2542.1750000000002</v>
      </c>
      <c r="O298">
        <v>90</v>
      </c>
      <c r="Q298" s="15">
        <f t="shared" si="12"/>
        <v>0.1</v>
      </c>
      <c r="R298" s="9">
        <f t="shared" si="13"/>
        <v>10000</v>
      </c>
      <c r="S298" s="9">
        <f t="shared" si="14"/>
        <v>10000</v>
      </c>
    </row>
    <row r="299" spans="1:19" x14ac:dyDescent="0.25">
      <c r="A299" t="s">
        <v>1192</v>
      </c>
      <c r="B299">
        <v>30019</v>
      </c>
      <c r="C299" s="8">
        <v>45576</v>
      </c>
      <c r="D299" t="s">
        <v>1254</v>
      </c>
      <c r="E299" s="11">
        <v>6</v>
      </c>
      <c r="F299" t="s">
        <v>805</v>
      </c>
      <c r="G299" t="s">
        <v>1195</v>
      </c>
      <c r="H299" s="12">
        <v>63000</v>
      </c>
      <c r="I299" s="9">
        <v>0</v>
      </c>
      <c r="J299" s="15">
        <v>0.09</v>
      </c>
      <c r="K299" s="12">
        <v>6890</v>
      </c>
      <c r="L299" s="12">
        <v>5000</v>
      </c>
      <c r="M299" s="9">
        <v>0</v>
      </c>
      <c r="N299" s="12">
        <v>0</v>
      </c>
      <c r="O299">
        <v>0</v>
      </c>
      <c r="P299">
        <v>1</v>
      </c>
      <c r="Q299" s="15">
        <f t="shared" si="12"/>
        <v>0.19936507936507936</v>
      </c>
      <c r="R299" s="9">
        <f t="shared" si="13"/>
        <v>5670</v>
      </c>
      <c r="S299" s="9">
        <f t="shared" si="14"/>
        <v>12560</v>
      </c>
    </row>
    <row r="300" spans="1:19" x14ac:dyDescent="0.25">
      <c r="A300" t="s">
        <v>1192</v>
      </c>
      <c r="B300">
        <v>30019</v>
      </c>
      <c r="C300" s="8">
        <v>45607</v>
      </c>
      <c r="D300" t="s">
        <v>1338</v>
      </c>
      <c r="E300" s="11">
        <v>6</v>
      </c>
      <c r="F300" t="s">
        <v>805</v>
      </c>
      <c r="G300" t="s">
        <v>1194</v>
      </c>
      <c r="H300" s="12">
        <v>82000</v>
      </c>
      <c r="I300" s="9">
        <v>0</v>
      </c>
      <c r="J300" s="15">
        <v>0.15</v>
      </c>
      <c r="K300" s="12">
        <v>6890</v>
      </c>
      <c r="L300" s="12">
        <v>5000</v>
      </c>
      <c r="M300" s="9">
        <v>0</v>
      </c>
      <c r="N300" s="12">
        <v>0</v>
      </c>
      <c r="O300">
        <v>0</v>
      </c>
      <c r="P300">
        <v>1</v>
      </c>
      <c r="Q300" s="15">
        <f t="shared" si="12"/>
        <v>0.23402439024390245</v>
      </c>
      <c r="R300" s="9">
        <f t="shared" si="13"/>
        <v>12300</v>
      </c>
      <c r="S300" s="9">
        <f t="shared" si="14"/>
        <v>19190</v>
      </c>
    </row>
    <row r="301" spans="1:19" x14ac:dyDescent="0.25">
      <c r="A301" t="s">
        <v>1192</v>
      </c>
      <c r="B301">
        <v>30019</v>
      </c>
      <c r="C301" s="8">
        <v>45638</v>
      </c>
      <c r="D301" t="s">
        <v>1445</v>
      </c>
      <c r="E301" s="11">
        <v>6</v>
      </c>
      <c r="F301" t="s">
        <v>805</v>
      </c>
      <c r="G301" t="s">
        <v>1195</v>
      </c>
      <c r="H301" s="12">
        <v>44000</v>
      </c>
      <c r="I301" s="9">
        <v>0</v>
      </c>
      <c r="J301" s="15">
        <v>0.10909090909090899</v>
      </c>
      <c r="K301" s="12">
        <v>6890</v>
      </c>
      <c r="L301" s="12">
        <v>5000</v>
      </c>
      <c r="M301" s="9">
        <v>0</v>
      </c>
      <c r="N301" s="12">
        <v>0</v>
      </c>
      <c r="O301">
        <v>0</v>
      </c>
      <c r="P301">
        <v>1</v>
      </c>
      <c r="Q301" s="15">
        <f t="shared" si="12"/>
        <v>0.26568181818181807</v>
      </c>
      <c r="R301" s="9">
        <f t="shared" si="13"/>
        <v>4799.9999999999955</v>
      </c>
      <c r="S301" s="9">
        <f t="shared" si="14"/>
        <v>11689.999999999995</v>
      </c>
    </row>
    <row r="302" spans="1:19" x14ac:dyDescent="0.25">
      <c r="A302" t="s">
        <v>670</v>
      </c>
      <c r="B302">
        <v>30018</v>
      </c>
      <c r="C302" s="8">
        <v>45631</v>
      </c>
      <c r="D302" t="s">
        <v>1140</v>
      </c>
      <c r="E302" s="11">
        <v>6</v>
      </c>
      <c r="F302" t="s">
        <v>805</v>
      </c>
      <c r="G302" t="s">
        <v>1124</v>
      </c>
      <c r="H302" s="12">
        <v>84000</v>
      </c>
      <c r="I302" s="9">
        <v>85315</v>
      </c>
      <c r="J302" s="15">
        <v>0.15</v>
      </c>
      <c r="K302" s="12">
        <v>3840</v>
      </c>
      <c r="L302" s="12">
        <v>5813</v>
      </c>
      <c r="M302" s="9">
        <v>32840</v>
      </c>
      <c r="N302" s="12">
        <v>4613</v>
      </c>
      <c r="O302">
        <v>12</v>
      </c>
      <c r="P302">
        <v>1</v>
      </c>
      <c r="Q302" s="15">
        <f t="shared" si="12"/>
        <v>0.58666666666666667</v>
      </c>
      <c r="R302" s="9">
        <f t="shared" si="13"/>
        <v>12600</v>
      </c>
      <c r="S302" s="9">
        <f t="shared" si="14"/>
        <v>49280</v>
      </c>
    </row>
    <row r="303" spans="1:19" x14ac:dyDescent="0.25">
      <c r="A303" t="s">
        <v>1192</v>
      </c>
      <c r="B303">
        <v>30019</v>
      </c>
      <c r="C303" s="8">
        <v>45637</v>
      </c>
      <c r="D303" t="s">
        <v>1443</v>
      </c>
      <c r="E303" s="11">
        <v>6</v>
      </c>
      <c r="F303" t="s">
        <v>805</v>
      </c>
      <c r="G303" t="s">
        <v>1195</v>
      </c>
      <c r="H303" s="12">
        <v>100000</v>
      </c>
      <c r="I303" s="9">
        <v>0</v>
      </c>
      <c r="J303" s="15">
        <v>0.1</v>
      </c>
      <c r="K303" s="12">
        <v>6890</v>
      </c>
      <c r="L303" s="12">
        <v>5000</v>
      </c>
      <c r="M303" s="9">
        <v>0</v>
      </c>
      <c r="N303" s="12">
        <v>0</v>
      </c>
      <c r="O303">
        <v>0</v>
      </c>
      <c r="P303">
        <v>1</v>
      </c>
      <c r="Q303" s="15">
        <f t="shared" si="12"/>
        <v>0.16889999999999999</v>
      </c>
      <c r="R303" s="9">
        <f t="shared" si="13"/>
        <v>10000</v>
      </c>
      <c r="S303" s="9">
        <f t="shared" si="14"/>
        <v>16890</v>
      </c>
    </row>
    <row r="304" spans="1:19" x14ac:dyDescent="0.25">
      <c r="A304" t="s">
        <v>1192</v>
      </c>
      <c r="B304">
        <v>30019</v>
      </c>
      <c r="C304" s="8">
        <v>45579</v>
      </c>
      <c r="D304" t="s">
        <v>1261</v>
      </c>
      <c r="E304" s="11">
        <v>6</v>
      </c>
      <c r="F304" t="s">
        <v>805</v>
      </c>
      <c r="G304" t="s">
        <v>1195</v>
      </c>
      <c r="H304" s="12">
        <v>111000</v>
      </c>
      <c r="I304" s="9">
        <v>0</v>
      </c>
      <c r="J304" s="15">
        <v>0.15</v>
      </c>
      <c r="K304" s="12">
        <v>6890</v>
      </c>
      <c r="L304" s="12">
        <v>5000</v>
      </c>
      <c r="M304" s="9">
        <v>0</v>
      </c>
      <c r="N304" s="12">
        <v>0</v>
      </c>
      <c r="O304">
        <v>0</v>
      </c>
      <c r="P304">
        <v>1</v>
      </c>
      <c r="Q304" s="15">
        <f t="shared" si="12"/>
        <v>0.21207207207207207</v>
      </c>
      <c r="R304" s="9">
        <f t="shared" si="13"/>
        <v>16650</v>
      </c>
      <c r="S304" s="9">
        <f t="shared" si="14"/>
        <v>23540</v>
      </c>
    </row>
    <row r="305" spans="1:19" x14ac:dyDescent="0.25">
      <c r="A305" t="s">
        <v>1192</v>
      </c>
      <c r="B305">
        <v>30019</v>
      </c>
      <c r="C305" s="8">
        <v>45617</v>
      </c>
      <c r="D305" t="s">
        <v>1374</v>
      </c>
      <c r="E305" s="11">
        <v>6</v>
      </c>
      <c r="F305" t="s">
        <v>852</v>
      </c>
      <c r="G305" t="s">
        <v>1195</v>
      </c>
      <c r="H305" s="12">
        <v>87000</v>
      </c>
      <c r="I305" s="9">
        <v>0</v>
      </c>
      <c r="J305" s="15">
        <v>0.15</v>
      </c>
      <c r="K305" s="12">
        <v>6890</v>
      </c>
      <c r="L305" s="12">
        <v>5000</v>
      </c>
      <c r="M305" s="9">
        <v>0</v>
      </c>
      <c r="N305" s="12">
        <v>0</v>
      </c>
      <c r="O305">
        <v>0</v>
      </c>
      <c r="P305">
        <v>1</v>
      </c>
      <c r="Q305" s="15">
        <f t="shared" si="12"/>
        <v>0.22919540229885058</v>
      </c>
      <c r="R305" s="9">
        <f t="shared" si="13"/>
        <v>13050</v>
      </c>
      <c r="S305" s="9">
        <f t="shared" si="14"/>
        <v>19940</v>
      </c>
    </row>
    <row r="306" spans="1:19" x14ac:dyDescent="0.25">
      <c r="A306" t="s">
        <v>29</v>
      </c>
      <c r="B306">
        <v>30012</v>
      </c>
      <c r="C306" s="8">
        <v>45639</v>
      </c>
      <c r="D306" t="s">
        <v>874</v>
      </c>
      <c r="E306" s="11">
        <v>6</v>
      </c>
      <c r="F306" t="s">
        <v>805</v>
      </c>
      <c r="H306" s="12">
        <v>150000</v>
      </c>
      <c r="I306" s="9">
        <v>150023</v>
      </c>
      <c r="J306" s="15">
        <v>0.1</v>
      </c>
      <c r="K306" s="12">
        <v>0</v>
      </c>
      <c r="L306" s="12">
        <v>0</v>
      </c>
      <c r="M306" s="9">
        <v>0</v>
      </c>
      <c r="N306" s="12">
        <v>2083.6527777777778</v>
      </c>
      <c r="O306">
        <v>50</v>
      </c>
      <c r="Q306" s="15">
        <f t="shared" si="12"/>
        <v>0.1</v>
      </c>
      <c r="R306" s="9">
        <f t="shared" si="13"/>
        <v>15000</v>
      </c>
      <c r="S306" s="9">
        <f t="shared" si="14"/>
        <v>15000</v>
      </c>
    </row>
    <row r="307" spans="1:19" x14ac:dyDescent="0.25">
      <c r="A307" t="s">
        <v>1192</v>
      </c>
      <c r="B307">
        <v>30019</v>
      </c>
      <c r="C307" s="8">
        <v>45569</v>
      </c>
      <c r="D307" t="s">
        <v>1218</v>
      </c>
      <c r="E307" s="11">
        <v>6</v>
      </c>
      <c r="F307" t="s">
        <v>805</v>
      </c>
      <c r="H307" s="12">
        <v>115000</v>
      </c>
      <c r="I307" s="9">
        <v>0</v>
      </c>
      <c r="J307" s="15">
        <v>0.1</v>
      </c>
      <c r="K307" s="12">
        <v>6890</v>
      </c>
      <c r="L307" s="12">
        <v>5000</v>
      </c>
      <c r="M307" s="9">
        <v>0</v>
      </c>
      <c r="N307" s="12">
        <v>0</v>
      </c>
      <c r="O307">
        <v>0</v>
      </c>
      <c r="P307">
        <v>1</v>
      </c>
      <c r="Q307" s="15">
        <f t="shared" si="12"/>
        <v>0.15991304347826088</v>
      </c>
      <c r="R307" s="9">
        <f t="shared" si="13"/>
        <v>11500</v>
      </c>
      <c r="S307" s="9">
        <f t="shared" si="14"/>
        <v>18390</v>
      </c>
    </row>
    <row r="308" spans="1:19" x14ac:dyDescent="0.25">
      <c r="A308" t="s">
        <v>1192</v>
      </c>
      <c r="B308">
        <v>30019</v>
      </c>
      <c r="C308" s="8">
        <v>45629</v>
      </c>
      <c r="D308" t="s">
        <v>1399</v>
      </c>
      <c r="E308" s="11">
        <v>6</v>
      </c>
      <c r="F308" t="s">
        <v>805</v>
      </c>
      <c r="G308" t="s">
        <v>1195</v>
      </c>
      <c r="H308" s="12">
        <v>377000</v>
      </c>
      <c r="I308" s="9">
        <v>0</v>
      </c>
      <c r="J308" s="15">
        <v>0.15</v>
      </c>
      <c r="K308" s="12">
        <v>6890</v>
      </c>
      <c r="L308" s="12">
        <v>5000</v>
      </c>
      <c r="M308" s="9">
        <v>0</v>
      </c>
      <c r="N308" s="12">
        <v>0</v>
      </c>
      <c r="O308">
        <v>0</v>
      </c>
      <c r="P308">
        <v>1</v>
      </c>
      <c r="Q308" s="15">
        <f t="shared" si="12"/>
        <v>0.16827586206896553</v>
      </c>
      <c r="R308" s="9">
        <f t="shared" si="13"/>
        <v>56550</v>
      </c>
      <c r="S308" s="9">
        <f t="shared" si="14"/>
        <v>63440</v>
      </c>
    </row>
    <row r="309" spans="1:19" x14ac:dyDescent="0.25">
      <c r="A309" t="s">
        <v>1192</v>
      </c>
      <c r="B309">
        <v>30019</v>
      </c>
      <c r="C309" s="8">
        <v>45635</v>
      </c>
      <c r="D309" t="s">
        <v>1428</v>
      </c>
      <c r="E309" s="11">
        <v>6</v>
      </c>
      <c r="F309" t="s">
        <v>805</v>
      </c>
      <c r="G309" t="s">
        <v>1195</v>
      </c>
      <c r="H309" s="12">
        <v>71000</v>
      </c>
      <c r="I309" s="9">
        <v>0</v>
      </c>
      <c r="J309" s="15">
        <v>0.15</v>
      </c>
      <c r="K309" s="12">
        <v>6890</v>
      </c>
      <c r="L309" s="12">
        <v>5000</v>
      </c>
      <c r="M309" s="9">
        <v>0</v>
      </c>
      <c r="N309" s="12">
        <v>0</v>
      </c>
      <c r="O309">
        <v>0</v>
      </c>
      <c r="P309">
        <v>1</v>
      </c>
      <c r="Q309" s="15">
        <f t="shared" si="12"/>
        <v>0.24704225352112677</v>
      </c>
      <c r="R309" s="9">
        <f t="shared" si="13"/>
        <v>10650</v>
      </c>
      <c r="S309" s="9">
        <f t="shared" si="14"/>
        <v>17540</v>
      </c>
    </row>
    <row r="310" spans="1:19" x14ac:dyDescent="0.25">
      <c r="A310" t="s">
        <v>1192</v>
      </c>
      <c r="B310">
        <v>30019</v>
      </c>
      <c r="C310" s="8">
        <v>45632</v>
      </c>
      <c r="D310" t="s">
        <v>1420</v>
      </c>
      <c r="E310" s="11">
        <v>6</v>
      </c>
      <c r="F310" t="s">
        <v>805</v>
      </c>
      <c r="H310" s="12">
        <v>70000</v>
      </c>
      <c r="I310" s="9">
        <v>0</v>
      </c>
      <c r="J310" s="15">
        <v>0.15</v>
      </c>
      <c r="K310" s="12">
        <v>6890</v>
      </c>
      <c r="L310" s="12">
        <v>5000</v>
      </c>
      <c r="M310" s="9">
        <v>0</v>
      </c>
      <c r="N310" s="12">
        <v>0</v>
      </c>
      <c r="O310">
        <v>0</v>
      </c>
      <c r="P310">
        <v>1</v>
      </c>
      <c r="Q310" s="15">
        <f t="shared" si="12"/>
        <v>0.24842857142857142</v>
      </c>
      <c r="R310" s="9">
        <f t="shared" si="13"/>
        <v>10500</v>
      </c>
      <c r="S310" s="9">
        <f t="shared" si="14"/>
        <v>17390</v>
      </c>
    </row>
    <row r="311" spans="1:19" x14ac:dyDescent="0.25">
      <c r="A311" t="s">
        <v>1192</v>
      </c>
      <c r="B311">
        <v>30019</v>
      </c>
      <c r="C311" s="8">
        <v>45583</v>
      </c>
      <c r="D311" t="s">
        <v>1276</v>
      </c>
      <c r="E311" s="11">
        <v>6</v>
      </c>
      <c r="F311" t="s">
        <v>805</v>
      </c>
      <c r="G311" t="s">
        <v>1194</v>
      </c>
      <c r="H311" s="12">
        <v>103000</v>
      </c>
      <c r="I311" s="9">
        <v>0</v>
      </c>
      <c r="J311" s="15">
        <v>0.09</v>
      </c>
      <c r="K311" s="12">
        <v>6890</v>
      </c>
      <c r="L311" s="12">
        <v>5000</v>
      </c>
      <c r="M311" s="9">
        <v>0</v>
      </c>
      <c r="N311" s="12">
        <v>0</v>
      </c>
      <c r="O311">
        <v>0</v>
      </c>
      <c r="P311">
        <v>1</v>
      </c>
      <c r="Q311" s="15">
        <f t="shared" si="12"/>
        <v>0.15689320388349515</v>
      </c>
      <c r="R311" s="9">
        <f t="shared" si="13"/>
        <v>9270</v>
      </c>
      <c r="S311" s="9">
        <f t="shared" si="14"/>
        <v>16160</v>
      </c>
    </row>
    <row r="312" spans="1:19" x14ac:dyDescent="0.25">
      <c r="A312" t="s">
        <v>1192</v>
      </c>
      <c r="B312">
        <v>30019</v>
      </c>
      <c r="C312" s="8">
        <v>45604</v>
      </c>
      <c r="D312" t="s">
        <v>1333</v>
      </c>
      <c r="E312" s="11">
        <v>6</v>
      </c>
      <c r="F312" t="s">
        <v>805</v>
      </c>
      <c r="H312" s="12">
        <v>69500</v>
      </c>
      <c r="I312" s="9">
        <v>0</v>
      </c>
      <c r="J312" s="15">
        <v>0.10909090909090899</v>
      </c>
      <c r="K312" s="12">
        <v>6890</v>
      </c>
      <c r="L312" s="12">
        <v>5000</v>
      </c>
      <c r="M312" s="9">
        <v>0</v>
      </c>
      <c r="N312" s="12">
        <v>0</v>
      </c>
      <c r="O312">
        <v>0</v>
      </c>
      <c r="P312">
        <v>1</v>
      </c>
      <c r="Q312" s="15">
        <f t="shared" si="12"/>
        <v>0.208227599738391</v>
      </c>
      <c r="R312" s="9">
        <f t="shared" si="13"/>
        <v>7581.8181818181747</v>
      </c>
      <c r="S312" s="9">
        <f t="shared" si="14"/>
        <v>14471.818181818175</v>
      </c>
    </row>
    <row r="313" spans="1:19" x14ac:dyDescent="0.25">
      <c r="A313" t="s">
        <v>1192</v>
      </c>
      <c r="B313">
        <v>30019</v>
      </c>
      <c r="C313" s="8">
        <v>45573</v>
      </c>
      <c r="D313" t="s">
        <v>753</v>
      </c>
      <c r="E313" s="11">
        <v>6</v>
      </c>
      <c r="F313" t="s">
        <v>805</v>
      </c>
      <c r="G313" t="s">
        <v>1195</v>
      </c>
      <c r="H313" s="12">
        <v>189000</v>
      </c>
      <c r="I313" s="9">
        <v>0</v>
      </c>
      <c r="J313" s="15">
        <v>0.12</v>
      </c>
      <c r="K313" s="12">
        <v>6890</v>
      </c>
      <c r="L313" s="12">
        <v>5000</v>
      </c>
      <c r="M313" s="9">
        <v>0</v>
      </c>
      <c r="N313" s="12">
        <v>0</v>
      </c>
      <c r="O313">
        <v>0</v>
      </c>
      <c r="P313">
        <v>1</v>
      </c>
      <c r="Q313" s="15">
        <f t="shared" si="12"/>
        <v>0.15645502645502646</v>
      </c>
      <c r="R313" s="9">
        <f t="shared" si="13"/>
        <v>22680</v>
      </c>
      <c r="S313" s="9">
        <f t="shared" si="14"/>
        <v>29570</v>
      </c>
    </row>
    <row r="314" spans="1:19" x14ac:dyDescent="0.25">
      <c r="A314" t="s">
        <v>29</v>
      </c>
      <c r="B314">
        <v>30012</v>
      </c>
      <c r="C314" s="8">
        <v>45593</v>
      </c>
      <c r="D314" t="s">
        <v>1033</v>
      </c>
      <c r="E314" s="11">
        <v>6</v>
      </c>
      <c r="F314" t="s">
        <v>852</v>
      </c>
      <c r="H314" s="12">
        <v>63000</v>
      </c>
      <c r="I314" s="9">
        <v>13044</v>
      </c>
      <c r="J314" s="15">
        <v>0.1</v>
      </c>
      <c r="K314" s="12">
        <v>0</v>
      </c>
      <c r="L314" s="12">
        <v>0</v>
      </c>
      <c r="M314" s="9">
        <v>0</v>
      </c>
      <c r="N314" s="12">
        <v>43.480000000000004</v>
      </c>
      <c r="O314">
        <v>12</v>
      </c>
      <c r="Q314" s="15">
        <f t="shared" si="12"/>
        <v>0.1</v>
      </c>
      <c r="R314" s="9">
        <f t="shared" si="13"/>
        <v>6300</v>
      </c>
      <c r="S314" s="9">
        <f t="shared" si="14"/>
        <v>6300</v>
      </c>
    </row>
    <row r="315" spans="1:19" x14ac:dyDescent="0.25">
      <c r="A315" t="s">
        <v>1192</v>
      </c>
      <c r="B315">
        <v>30019</v>
      </c>
      <c r="C315" s="8">
        <v>45652</v>
      </c>
      <c r="D315" t="s">
        <v>1465</v>
      </c>
      <c r="E315" s="11">
        <v>6</v>
      </c>
      <c r="F315" t="s">
        <v>805</v>
      </c>
      <c r="G315" t="s">
        <v>1198</v>
      </c>
      <c r="H315" s="12">
        <v>250000</v>
      </c>
      <c r="I315" s="9">
        <v>0</v>
      </c>
      <c r="J315" s="15">
        <v>0.15</v>
      </c>
      <c r="K315" s="12">
        <v>6890</v>
      </c>
      <c r="L315" s="12">
        <v>5000</v>
      </c>
      <c r="M315" s="9">
        <v>0</v>
      </c>
      <c r="N315" s="12">
        <v>0</v>
      </c>
      <c r="O315">
        <v>0</v>
      </c>
      <c r="P315">
        <v>1</v>
      </c>
      <c r="Q315" s="15">
        <f t="shared" si="12"/>
        <v>0.17756</v>
      </c>
      <c r="R315" s="9">
        <f t="shared" si="13"/>
        <v>37500</v>
      </c>
      <c r="S315" s="9">
        <f t="shared" si="14"/>
        <v>44390</v>
      </c>
    </row>
    <row r="316" spans="1:19" x14ac:dyDescent="0.25">
      <c r="A316" t="s">
        <v>29</v>
      </c>
      <c r="B316">
        <v>30012</v>
      </c>
      <c r="C316" s="8">
        <v>45567</v>
      </c>
      <c r="D316" t="s">
        <v>1106</v>
      </c>
      <c r="E316" s="11">
        <v>6</v>
      </c>
      <c r="F316" t="s">
        <v>805</v>
      </c>
      <c r="H316" s="12">
        <v>93499</v>
      </c>
      <c r="I316" s="9">
        <v>93499</v>
      </c>
      <c r="J316" s="15">
        <v>0.15</v>
      </c>
      <c r="K316" s="12">
        <v>0</v>
      </c>
      <c r="L316" s="12">
        <v>0</v>
      </c>
      <c r="M316" s="9">
        <v>0</v>
      </c>
      <c r="N316" s="12">
        <v>3545.1704166666668</v>
      </c>
      <c r="O316">
        <v>91</v>
      </c>
      <c r="Q316" s="15">
        <f t="shared" si="12"/>
        <v>0.15</v>
      </c>
      <c r="R316" s="9">
        <f t="shared" si="13"/>
        <v>14024.85</v>
      </c>
      <c r="S316" s="9">
        <f t="shared" si="14"/>
        <v>14024.85</v>
      </c>
    </row>
    <row r="317" spans="1:19" x14ac:dyDescent="0.25">
      <c r="A317" t="s">
        <v>29</v>
      </c>
      <c r="B317">
        <v>30012</v>
      </c>
      <c r="C317" s="8">
        <v>45567</v>
      </c>
      <c r="D317" t="s">
        <v>1113</v>
      </c>
      <c r="E317" s="11">
        <v>6</v>
      </c>
      <c r="F317" t="s">
        <v>819</v>
      </c>
      <c r="H317" s="12">
        <v>250000</v>
      </c>
      <c r="I317" s="9">
        <v>268521</v>
      </c>
      <c r="J317" s="15">
        <v>0.1</v>
      </c>
      <c r="K317" s="12">
        <v>0</v>
      </c>
      <c r="L317" s="12">
        <v>0</v>
      </c>
      <c r="M317" s="9">
        <v>0</v>
      </c>
      <c r="N317" s="12">
        <v>6862.2033333333338</v>
      </c>
      <c r="O317">
        <v>92</v>
      </c>
      <c r="Q317" s="15">
        <f t="shared" si="12"/>
        <v>0.1</v>
      </c>
      <c r="R317" s="9">
        <f t="shared" si="13"/>
        <v>25000</v>
      </c>
      <c r="S317" s="9">
        <f t="shared" si="14"/>
        <v>25000</v>
      </c>
    </row>
    <row r="318" spans="1:19" x14ac:dyDescent="0.25">
      <c r="A318" t="s">
        <v>1192</v>
      </c>
      <c r="B318">
        <v>30019</v>
      </c>
      <c r="C318" s="8">
        <v>45632</v>
      </c>
      <c r="D318" t="s">
        <v>1419</v>
      </c>
      <c r="E318" s="11">
        <v>6</v>
      </c>
      <c r="F318" t="s">
        <v>805</v>
      </c>
      <c r="G318" t="s">
        <v>1194</v>
      </c>
      <c r="H318" s="12">
        <v>108000</v>
      </c>
      <c r="I318" s="9">
        <v>0</v>
      </c>
      <c r="J318" s="15">
        <v>0.15</v>
      </c>
      <c r="K318" s="12">
        <v>6890</v>
      </c>
      <c r="L318" s="12">
        <v>5000</v>
      </c>
      <c r="M318" s="9">
        <v>0</v>
      </c>
      <c r="N318" s="12">
        <v>0</v>
      </c>
      <c r="O318">
        <v>0</v>
      </c>
      <c r="P318">
        <v>1</v>
      </c>
      <c r="Q318" s="15">
        <f t="shared" si="12"/>
        <v>0.21379629629629629</v>
      </c>
      <c r="R318" s="9">
        <f t="shared" si="13"/>
        <v>16200</v>
      </c>
      <c r="S318" s="9">
        <f t="shared" si="14"/>
        <v>23090</v>
      </c>
    </row>
    <row r="319" spans="1:19" x14ac:dyDescent="0.25">
      <c r="A319" t="s">
        <v>1192</v>
      </c>
      <c r="B319">
        <v>30019</v>
      </c>
      <c r="C319" s="8">
        <v>45603</v>
      </c>
      <c r="D319" t="s">
        <v>1324</v>
      </c>
      <c r="E319" s="11">
        <v>6</v>
      </c>
      <c r="F319" t="s">
        <v>805</v>
      </c>
      <c r="G319" t="s">
        <v>1198</v>
      </c>
      <c r="H319" s="12">
        <v>97000</v>
      </c>
      <c r="I319" s="9">
        <v>0</v>
      </c>
      <c r="J319" s="15">
        <v>0.15</v>
      </c>
      <c r="K319" s="12">
        <v>6890</v>
      </c>
      <c r="L319" s="12">
        <v>5000</v>
      </c>
      <c r="M319" s="9">
        <v>0</v>
      </c>
      <c r="N319" s="12">
        <v>0</v>
      </c>
      <c r="O319">
        <v>0</v>
      </c>
      <c r="P319">
        <v>1</v>
      </c>
      <c r="Q319" s="15">
        <f t="shared" si="12"/>
        <v>0.22103092783505154</v>
      </c>
      <c r="R319" s="9">
        <f t="shared" si="13"/>
        <v>14550</v>
      </c>
      <c r="S319" s="9">
        <f t="shared" si="14"/>
        <v>21440</v>
      </c>
    </row>
    <row r="320" spans="1:19" x14ac:dyDescent="0.25">
      <c r="A320" t="s">
        <v>29</v>
      </c>
      <c r="B320">
        <v>30012</v>
      </c>
      <c r="C320" s="8">
        <v>45588</v>
      </c>
      <c r="D320" t="s">
        <v>1040</v>
      </c>
      <c r="E320" s="11">
        <v>6</v>
      </c>
      <c r="F320" t="s">
        <v>819</v>
      </c>
      <c r="H320" s="12">
        <v>50000</v>
      </c>
      <c r="I320" s="9">
        <v>58128</v>
      </c>
      <c r="J320" s="15">
        <v>0.1</v>
      </c>
      <c r="K320" s="12">
        <v>0</v>
      </c>
      <c r="L320" s="12">
        <v>0</v>
      </c>
      <c r="M320" s="9">
        <v>0</v>
      </c>
      <c r="N320" s="12">
        <v>1324.0266666666669</v>
      </c>
      <c r="O320">
        <v>82</v>
      </c>
      <c r="Q320" s="15">
        <f t="shared" si="12"/>
        <v>0.1</v>
      </c>
      <c r="R320" s="9">
        <f t="shared" si="13"/>
        <v>5000</v>
      </c>
      <c r="S320" s="9">
        <f t="shared" si="14"/>
        <v>5000</v>
      </c>
    </row>
    <row r="321" spans="1:19" x14ac:dyDescent="0.25">
      <c r="A321" t="s">
        <v>29</v>
      </c>
      <c r="B321">
        <v>30012</v>
      </c>
      <c r="C321" s="8">
        <v>45602</v>
      </c>
      <c r="D321" t="s">
        <v>982</v>
      </c>
      <c r="E321" s="11">
        <v>6</v>
      </c>
      <c r="F321" t="s">
        <v>819</v>
      </c>
      <c r="H321" s="12">
        <v>80305</v>
      </c>
      <c r="I321" s="9">
        <v>80305</v>
      </c>
      <c r="J321" s="15">
        <v>0.15</v>
      </c>
      <c r="K321" s="12">
        <v>0</v>
      </c>
      <c r="L321" s="12">
        <v>0</v>
      </c>
      <c r="M321" s="9">
        <v>0</v>
      </c>
      <c r="N321" s="12">
        <v>1873.7833333333333</v>
      </c>
      <c r="O321">
        <v>56</v>
      </c>
      <c r="Q321" s="15">
        <f t="shared" si="12"/>
        <v>0.15</v>
      </c>
      <c r="R321" s="9">
        <f t="shared" si="13"/>
        <v>12045.75</v>
      </c>
      <c r="S321" s="9">
        <f t="shared" si="14"/>
        <v>12045.75</v>
      </c>
    </row>
    <row r="322" spans="1:19" x14ac:dyDescent="0.25">
      <c r="A322" t="s">
        <v>29</v>
      </c>
      <c r="B322">
        <v>30012</v>
      </c>
      <c r="C322" s="8">
        <v>45646</v>
      </c>
      <c r="D322" t="s">
        <v>855</v>
      </c>
      <c r="E322" s="11">
        <v>6</v>
      </c>
      <c r="F322" t="s">
        <v>805</v>
      </c>
      <c r="H322" s="12">
        <v>133650</v>
      </c>
      <c r="I322" s="9">
        <v>133650</v>
      </c>
      <c r="J322" s="15">
        <v>0.15</v>
      </c>
      <c r="K322" s="12">
        <v>0</v>
      </c>
      <c r="L322" s="12">
        <v>0</v>
      </c>
      <c r="M322" s="9">
        <v>0</v>
      </c>
      <c r="N322" s="12">
        <v>668.25</v>
      </c>
      <c r="O322">
        <v>12</v>
      </c>
      <c r="Q322" s="15">
        <f t="shared" ref="Q322:Q385" si="15">((H322*J322)+K322+M322)/H322</f>
        <v>0.15</v>
      </c>
      <c r="R322" s="9">
        <f t="shared" ref="R322:R385" si="16">J322*H322</f>
        <v>20047.5</v>
      </c>
      <c r="S322" s="9">
        <f t="shared" ref="S322:S385" si="17">Q322*H322</f>
        <v>20047.5</v>
      </c>
    </row>
    <row r="323" spans="1:19" x14ac:dyDescent="0.25">
      <c r="A323" t="s">
        <v>29</v>
      </c>
      <c r="B323">
        <v>30012</v>
      </c>
      <c r="C323" s="8">
        <v>45632</v>
      </c>
      <c r="D323" t="s">
        <v>893</v>
      </c>
      <c r="E323" s="11">
        <v>6</v>
      </c>
      <c r="F323" t="s">
        <v>819</v>
      </c>
      <c r="H323" s="12">
        <v>50000</v>
      </c>
      <c r="I323" s="9">
        <v>50508</v>
      </c>
      <c r="J323" s="15">
        <v>0.1</v>
      </c>
      <c r="K323" s="12">
        <v>0</v>
      </c>
      <c r="L323" s="12">
        <v>0</v>
      </c>
      <c r="M323" s="9">
        <v>0</v>
      </c>
      <c r="N323" s="12">
        <v>1010.1600000000001</v>
      </c>
      <c r="O323">
        <v>72</v>
      </c>
      <c r="Q323" s="15">
        <f t="shared" si="15"/>
        <v>0.1</v>
      </c>
      <c r="R323" s="9">
        <f t="shared" si="16"/>
        <v>5000</v>
      </c>
      <c r="S323" s="9">
        <f t="shared" si="17"/>
        <v>5000</v>
      </c>
    </row>
    <row r="324" spans="1:19" x14ac:dyDescent="0.25">
      <c r="A324" t="s">
        <v>29</v>
      </c>
      <c r="B324">
        <v>30012</v>
      </c>
      <c r="C324" s="8">
        <v>45649</v>
      </c>
      <c r="D324" t="s">
        <v>853</v>
      </c>
      <c r="E324" s="11">
        <v>6</v>
      </c>
      <c r="F324" t="s">
        <v>805</v>
      </c>
      <c r="H324" s="12">
        <v>144000</v>
      </c>
      <c r="I324" s="9">
        <v>280318</v>
      </c>
      <c r="J324" s="15">
        <v>0.1</v>
      </c>
      <c r="K324" s="12">
        <v>0</v>
      </c>
      <c r="L324" s="12">
        <v>0</v>
      </c>
      <c r="M324" s="9">
        <v>0</v>
      </c>
      <c r="N324" s="12">
        <v>6618.6194444444454</v>
      </c>
      <c r="O324">
        <v>85</v>
      </c>
      <c r="Q324" s="15">
        <f t="shared" si="15"/>
        <v>0.1</v>
      </c>
      <c r="R324" s="9">
        <f t="shared" si="16"/>
        <v>14400</v>
      </c>
      <c r="S324" s="9">
        <f t="shared" si="17"/>
        <v>14400</v>
      </c>
    </row>
    <row r="325" spans="1:19" x14ac:dyDescent="0.25">
      <c r="A325" t="s">
        <v>259</v>
      </c>
      <c r="B325" s="24">
        <v>30013</v>
      </c>
      <c r="C325" s="8">
        <v>45574</v>
      </c>
      <c r="D325" t="s">
        <v>1171</v>
      </c>
      <c r="E325" s="11" t="s">
        <v>205</v>
      </c>
      <c r="F325" t="s">
        <v>805</v>
      </c>
      <c r="G325" t="s">
        <v>695</v>
      </c>
      <c r="H325" s="12">
        <v>5000000</v>
      </c>
      <c r="I325" s="9">
        <v>4183776</v>
      </c>
      <c r="J325" s="15">
        <v>0.08</v>
      </c>
      <c r="K325" s="12">
        <v>59450</v>
      </c>
      <c r="L325" s="12">
        <v>0</v>
      </c>
      <c r="M325" s="9">
        <v>89000</v>
      </c>
      <c r="N325" s="12">
        <v>71416</v>
      </c>
      <c r="O325" s="9">
        <v>0</v>
      </c>
      <c r="P325">
        <v>1</v>
      </c>
      <c r="Q325" s="15">
        <f t="shared" si="15"/>
        <v>0.10969</v>
      </c>
      <c r="R325" s="9">
        <f t="shared" si="16"/>
        <v>400000</v>
      </c>
      <c r="S325" s="9">
        <f t="shared" si="17"/>
        <v>548450</v>
      </c>
    </row>
    <row r="326" spans="1:19" x14ac:dyDescent="0.25">
      <c r="A326" t="s">
        <v>29</v>
      </c>
      <c r="B326">
        <v>30012</v>
      </c>
      <c r="C326" s="8">
        <v>45630</v>
      </c>
      <c r="D326" t="s">
        <v>904</v>
      </c>
      <c r="E326" s="11">
        <v>6</v>
      </c>
      <c r="F326" t="s">
        <v>819</v>
      </c>
      <c r="H326" s="12">
        <v>250000</v>
      </c>
      <c r="I326" s="9">
        <v>140163</v>
      </c>
      <c r="J326" s="15">
        <v>0.1</v>
      </c>
      <c r="K326" s="12">
        <v>0</v>
      </c>
      <c r="L326" s="12">
        <v>0</v>
      </c>
      <c r="M326" s="9">
        <v>0</v>
      </c>
      <c r="N326" s="12">
        <v>3114.7333333333331</v>
      </c>
      <c r="O326">
        <v>80</v>
      </c>
      <c r="Q326" s="15">
        <f t="shared" si="15"/>
        <v>0.1</v>
      </c>
      <c r="R326" s="9">
        <f t="shared" si="16"/>
        <v>25000</v>
      </c>
      <c r="S326" s="9">
        <f t="shared" si="17"/>
        <v>25000</v>
      </c>
    </row>
    <row r="327" spans="1:19" x14ac:dyDescent="0.25">
      <c r="A327" t="s">
        <v>29</v>
      </c>
      <c r="B327">
        <v>30012</v>
      </c>
      <c r="C327" s="8">
        <v>45628</v>
      </c>
      <c r="D327" t="s">
        <v>934</v>
      </c>
      <c r="E327" s="11">
        <v>6</v>
      </c>
      <c r="F327" t="s">
        <v>852</v>
      </c>
      <c r="H327" s="12">
        <v>75000</v>
      </c>
      <c r="I327" s="9">
        <v>179306</v>
      </c>
      <c r="J327" s="15">
        <v>0.1</v>
      </c>
      <c r="K327" s="12">
        <v>0</v>
      </c>
      <c r="L327" s="12">
        <v>0</v>
      </c>
      <c r="M327" s="9">
        <v>0</v>
      </c>
      <c r="N327" s="12">
        <v>647.49388888888893</v>
      </c>
      <c r="O327">
        <v>13</v>
      </c>
      <c r="Q327" s="15">
        <f t="shared" si="15"/>
        <v>0.1</v>
      </c>
      <c r="R327" s="9">
        <f t="shared" si="16"/>
        <v>7500</v>
      </c>
      <c r="S327" s="9">
        <f t="shared" si="17"/>
        <v>7500</v>
      </c>
    </row>
    <row r="328" spans="1:19" x14ac:dyDescent="0.25">
      <c r="A328" t="s">
        <v>29</v>
      </c>
      <c r="B328">
        <v>30012</v>
      </c>
      <c r="C328" s="8">
        <v>45595</v>
      </c>
      <c r="D328" t="s">
        <v>1023</v>
      </c>
      <c r="E328" s="11">
        <v>6</v>
      </c>
      <c r="F328" t="s">
        <v>805</v>
      </c>
      <c r="H328" s="12">
        <v>204500</v>
      </c>
      <c r="I328" s="9">
        <v>202605</v>
      </c>
      <c r="J328" s="15">
        <v>0.1</v>
      </c>
      <c r="K328" s="12">
        <v>0</v>
      </c>
      <c r="L328" s="12">
        <v>0</v>
      </c>
      <c r="M328" s="9">
        <v>0</v>
      </c>
      <c r="N328" s="12">
        <v>3376.75</v>
      </c>
      <c r="O328">
        <v>60</v>
      </c>
      <c r="Q328" s="15">
        <f t="shared" si="15"/>
        <v>0.1</v>
      </c>
      <c r="R328" s="9">
        <f t="shared" si="16"/>
        <v>20450</v>
      </c>
      <c r="S328" s="9">
        <f t="shared" si="17"/>
        <v>20450</v>
      </c>
    </row>
    <row r="329" spans="1:19" x14ac:dyDescent="0.25">
      <c r="A329" t="s">
        <v>1192</v>
      </c>
      <c r="B329">
        <v>30019</v>
      </c>
      <c r="C329" s="8">
        <v>45603</v>
      </c>
      <c r="D329" t="s">
        <v>1321</v>
      </c>
      <c r="E329" s="11">
        <v>6</v>
      </c>
      <c r="F329" t="s">
        <v>805</v>
      </c>
      <c r="G329" t="s">
        <v>1195</v>
      </c>
      <c r="H329" s="12">
        <v>187000</v>
      </c>
      <c r="I329" s="9">
        <v>0</v>
      </c>
      <c r="J329" s="15">
        <v>0.15</v>
      </c>
      <c r="K329" s="12">
        <v>6890</v>
      </c>
      <c r="L329" s="12">
        <v>5000</v>
      </c>
      <c r="M329" s="9">
        <v>0</v>
      </c>
      <c r="N329" s="12">
        <v>0</v>
      </c>
      <c r="O329">
        <v>0</v>
      </c>
      <c r="P329">
        <v>1</v>
      </c>
      <c r="Q329" s="15">
        <f t="shared" si="15"/>
        <v>0.18684491978609627</v>
      </c>
      <c r="R329" s="9">
        <f t="shared" si="16"/>
        <v>28050</v>
      </c>
      <c r="S329" s="9">
        <f t="shared" si="17"/>
        <v>34940</v>
      </c>
    </row>
    <row r="330" spans="1:19" x14ac:dyDescent="0.25">
      <c r="A330" t="s">
        <v>29</v>
      </c>
      <c r="B330">
        <v>30012</v>
      </c>
      <c r="C330" s="8">
        <v>45649</v>
      </c>
      <c r="D330" t="s">
        <v>847</v>
      </c>
      <c r="E330" s="11">
        <v>6</v>
      </c>
      <c r="F330" t="s">
        <v>805</v>
      </c>
      <c r="H330" s="12">
        <v>1291626</v>
      </c>
      <c r="I330" s="9">
        <v>1291626</v>
      </c>
      <c r="J330" s="15">
        <v>0.15</v>
      </c>
      <c r="K330" s="12">
        <v>0</v>
      </c>
      <c r="L330" s="12">
        <v>0</v>
      </c>
      <c r="M330" s="9">
        <v>0</v>
      </c>
      <c r="N330" s="12">
        <v>4843.5974999999999</v>
      </c>
      <c r="O330">
        <v>9</v>
      </c>
      <c r="Q330" s="15">
        <f t="shared" si="15"/>
        <v>0.15</v>
      </c>
      <c r="R330" s="9">
        <f t="shared" si="16"/>
        <v>193743.9</v>
      </c>
      <c r="S330" s="9">
        <f t="shared" si="17"/>
        <v>193743.9</v>
      </c>
    </row>
    <row r="331" spans="1:19" x14ac:dyDescent="0.25">
      <c r="A331" t="s">
        <v>210</v>
      </c>
      <c r="B331" t="s">
        <v>783</v>
      </c>
      <c r="C331" s="8">
        <v>45593</v>
      </c>
      <c r="D331" t="s">
        <v>1155</v>
      </c>
      <c r="E331" s="11">
        <v>6</v>
      </c>
      <c r="F331" t="s">
        <v>805</v>
      </c>
      <c r="G331" t="s">
        <v>213</v>
      </c>
      <c r="H331" s="12">
        <v>361000</v>
      </c>
      <c r="I331" s="9">
        <v>361000</v>
      </c>
      <c r="J331" s="15">
        <v>0.14000000000000001</v>
      </c>
      <c r="K331" s="12">
        <v>18772</v>
      </c>
      <c r="M331" s="9">
        <v>3547.9079999999999</v>
      </c>
      <c r="P331">
        <v>1</v>
      </c>
      <c r="Q331" s="15">
        <f t="shared" si="15"/>
        <v>0.20182799999999998</v>
      </c>
      <c r="R331" s="9">
        <f t="shared" si="16"/>
        <v>50540.000000000007</v>
      </c>
      <c r="S331" s="9">
        <f t="shared" si="17"/>
        <v>72859.907999999996</v>
      </c>
    </row>
    <row r="332" spans="1:19" x14ac:dyDescent="0.25">
      <c r="A332" t="s">
        <v>1192</v>
      </c>
      <c r="B332">
        <v>30019</v>
      </c>
      <c r="C332" s="8">
        <v>45574</v>
      </c>
      <c r="D332" t="s">
        <v>742</v>
      </c>
      <c r="E332" s="11">
        <v>6</v>
      </c>
      <c r="F332" t="s">
        <v>805</v>
      </c>
      <c r="G332" t="s">
        <v>1195</v>
      </c>
      <c r="H332" s="12">
        <v>200000</v>
      </c>
      <c r="I332" s="9">
        <v>0</v>
      </c>
      <c r="J332" s="15">
        <v>0.15</v>
      </c>
      <c r="K332" s="12">
        <v>6890</v>
      </c>
      <c r="L332" s="12">
        <v>5000</v>
      </c>
      <c r="M332" s="9">
        <v>0</v>
      </c>
      <c r="N332" s="12">
        <v>0</v>
      </c>
      <c r="O332">
        <v>0</v>
      </c>
      <c r="P332">
        <v>1</v>
      </c>
      <c r="Q332" s="15">
        <f t="shared" si="15"/>
        <v>0.18445</v>
      </c>
      <c r="R332" s="9">
        <f t="shared" si="16"/>
        <v>30000</v>
      </c>
      <c r="S332" s="9">
        <f t="shared" si="17"/>
        <v>36890</v>
      </c>
    </row>
    <row r="333" spans="1:19" x14ac:dyDescent="0.25">
      <c r="A333" t="s">
        <v>29</v>
      </c>
      <c r="B333">
        <v>30012</v>
      </c>
      <c r="C333" s="8">
        <v>45594</v>
      </c>
      <c r="D333" t="s">
        <v>1027</v>
      </c>
      <c r="E333" s="11">
        <v>6</v>
      </c>
      <c r="F333" t="s">
        <v>805</v>
      </c>
      <c r="H333" s="12">
        <v>108000</v>
      </c>
      <c r="I333" s="9">
        <v>109796</v>
      </c>
      <c r="J333" s="15">
        <v>0.1</v>
      </c>
      <c r="K333" s="12">
        <v>0</v>
      </c>
      <c r="L333" s="12">
        <v>0</v>
      </c>
      <c r="M333" s="9">
        <v>0</v>
      </c>
      <c r="N333" s="12">
        <v>1616.4411111111112</v>
      </c>
      <c r="O333">
        <v>53</v>
      </c>
      <c r="Q333" s="15">
        <f t="shared" si="15"/>
        <v>0.1</v>
      </c>
      <c r="R333" s="9">
        <f t="shared" si="16"/>
        <v>10800</v>
      </c>
      <c r="S333" s="9">
        <f t="shared" si="17"/>
        <v>10800</v>
      </c>
    </row>
    <row r="334" spans="1:19" x14ac:dyDescent="0.25">
      <c r="A334" t="s">
        <v>29</v>
      </c>
      <c r="B334">
        <v>30012</v>
      </c>
      <c r="C334" s="8">
        <v>45572</v>
      </c>
      <c r="D334" t="s">
        <v>1082</v>
      </c>
      <c r="E334" s="11">
        <v>6</v>
      </c>
      <c r="F334" t="s">
        <v>805</v>
      </c>
      <c r="H334" s="12">
        <v>105000</v>
      </c>
      <c r="I334" s="9">
        <v>105992</v>
      </c>
      <c r="J334" s="15">
        <v>0.1</v>
      </c>
      <c r="K334" s="12">
        <v>0</v>
      </c>
      <c r="L334" s="12">
        <v>0</v>
      </c>
      <c r="M334" s="9">
        <v>0</v>
      </c>
      <c r="N334" s="12">
        <v>2384.8200000000002</v>
      </c>
      <c r="O334">
        <v>81</v>
      </c>
      <c r="Q334" s="15">
        <f t="shared" si="15"/>
        <v>0.1</v>
      </c>
      <c r="R334" s="9">
        <f t="shared" si="16"/>
        <v>10500</v>
      </c>
      <c r="S334" s="9">
        <f t="shared" si="17"/>
        <v>10500</v>
      </c>
    </row>
    <row r="335" spans="1:19" x14ac:dyDescent="0.25">
      <c r="A335" t="s">
        <v>1192</v>
      </c>
      <c r="B335">
        <v>30019</v>
      </c>
      <c r="C335" s="8">
        <v>45567</v>
      </c>
      <c r="D335" t="s">
        <v>1205</v>
      </c>
      <c r="E335" s="11">
        <v>6</v>
      </c>
      <c r="F335" t="s">
        <v>805</v>
      </c>
      <c r="G335" t="s">
        <v>1206</v>
      </c>
      <c r="H335" s="12">
        <v>80000</v>
      </c>
      <c r="I335" s="9">
        <v>0</v>
      </c>
      <c r="J335" s="15">
        <v>0.15</v>
      </c>
      <c r="K335" s="12">
        <v>6890</v>
      </c>
      <c r="L335" s="12">
        <v>5000</v>
      </c>
      <c r="M335" s="9">
        <v>0</v>
      </c>
      <c r="N335" s="12">
        <v>0</v>
      </c>
      <c r="O335">
        <v>0</v>
      </c>
      <c r="P335">
        <v>1</v>
      </c>
      <c r="Q335" s="15">
        <f t="shared" si="15"/>
        <v>0.236125</v>
      </c>
      <c r="R335" s="9">
        <f t="shared" si="16"/>
        <v>12000</v>
      </c>
      <c r="S335" s="9">
        <f t="shared" si="17"/>
        <v>18890</v>
      </c>
    </row>
    <row r="336" spans="1:19" x14ac:dyDescent="0.25">
      <c r="A336" t="s">
        <v>29</v>
      </c>
      <c r="B336">
        <v>30012</v>
      </c>
      <c r="C336" s="8">
        <v>45629</v>
      </c>
      <c r="D336" t="s">
        <v>919</v>
      </c>
      <c r="E336" s="11" t="s">
        <v>205</v>
      </c>
      <c r="F336" t="s">
        <v>805</v>
      </c>
      <c r="G336" t="s">
        <v>202</v>
      </c>
      <c r="H336" s="12">
        <v>197328</v>
      </c>
      <c r="I336" s="9">
        <v>197328</v>
      </c>
      <c r="J336" s="15">
        <v>0.15</v>
      </c>
      <c r="K336" s="12">
        <v>0</v>
      </c>
      <c r="L336" s="12">
        <v>0</v>
      </c>
      <c r="M336" s="9">
        <v>0</v>
      </c>
      <c r="N336" s="12">
        <v>2384.3799999999997</v>
      </c>
      <c r="O336">
        <v>29</v>
      </c>
      <c r="Q336" s="15">
        <f t="shared" si="15"/>
        <v>0.15</v>
      </c>
      <c r="R336" s="9">
        <f t="shared" si="16"/>
        <v>29599.199999999997</v>
      </c>
      <c r="S336" s="9">
        <f t="shared" si="17"/>
        <v>29599.199999999997</v>
      </c>
    </row>
    <row r="337" spans="1:19" x14ac:dyDescent="0.25">
      <c r="A337" t="s">
        <v>1192</v>
      </c>
      <c r="B337">
        <v>30019</v>
      </c>
      <c r="C337" s="8">
        <v>45630</v>
      </c>
      <c r="D337" t="s">
        <v>1405</v>
      </c>
      <c r="E337" s="11">
        <v>6</v>
      </c>
      <c r="F337" t="s">
        <v>805</v>
      </c>
      <c r="G337" t="s">
        <v>1195</v>
      </c>
      <c r="H337" s="12">
        <v>60000</v>
      </c>
      <c r="I337" s="9">
        <v>0</v>
      </c>
      <c r="J337" s="15">
        <v>0.125</v>
      </c>
      <c r="K337" s="12">
        <v>6890</v>
      </c>
      <c r="L337" s="12">
        <v>5000</v>
      </c>
      <c r="M337" s="9">
        <v>0</v>
      </c>
      <c r="N337" s="12">
        <v>0</v>
      </c>
      <c r="O337">
        <v>0</v>
      </c>
      <c r="P337">
        <v>1</v>
      </c>
      <c r="Q337" s="15">
        <f t="shared" si="15"/>
        <v>0.23983333333333334</v>
      </c>
      <c r="R337" s="9">
        <f t="shared" si="16"/>
        <v>7500</v>
      </c>
      <c r="S337" s="9">
        <f t="shared" si="17"/>
        <v>14390</v>
      </c>
    </row>
    <row r="338" spans="1:19" x14ac:dyDescent="0.25">
      <c r="A338" t="s">
        <v>29</v>
      </c>
      <c r="B338">
        <v>30012</v>
      </c>
      <c r="C338" s="8">
        <v>45639</v>
      </c>
      <c r="D338" t="s">
        <v>872</v>
      </c>
      <c r="E338" s="11">
        <v>6</v>
      </c>
      <c r="F338" t="s">
        <v>805</v>
      </c>
      <c r="H338" s="12">
        <v>86000</v>
      </c>
      <c r="I338" s="9">
        <v>86832</v>
      </c>
      <c r="J338" s="15">
        <v>0.1</v>
      </c>
      <c r="K338" s="12">
        <v>0</v>
      </c>
      <c r="L338" s="12">
        <v>0</v>
      </c>
      <c r="M338" s="9">
        <v>0</v>
      </c>
      <c r="N338" s="12">
        <v>2122.5600000000004</v>
      </c>
      <c r="O338">
        <v>88</v>
      </c>
      <c r="Q338" s="15">
        <f t="shared" si="15"/>
        <v>0.1</v>
      </c>
      <c r="R338" s="9">
        <f t="shared" si="16"/>
        <v>8600</v>
      </c>
      <c r="S338" s="9">
        <f t="shared" si="17"/>
        <v>8600</v>
      </c>
    </row>
    <row r="339" spans="1:19" x14ac:dyDescent="0.25">
      <c r="A339" t="s">
        <v>1192</v>
      </c>
      <c r="B339">
        <v>30019</v>
      </c>
      <c r="C339" s="8">
        <v>45569</v>
      </c>
      <c r="D339" t="s">
        <v>1217</v>
      </c>
      <c r="E339" s="11">
        <v>6</v>
      </c>
      <c r="F339" t="s">
        <v>805</v>
      </c>
      <c r="H339" s="12">
        <v>118000</v>
      </c>
      <c r="I339" s="9">
        <v>0</v>
      </c>
      <c r="J339" s="15">
        <v>0.13500000000000001</v>
      </c>
      <c r="K339" s="12">
        <v>6890</v>
      </c>
      <c r="L339" s="12">
        <v>5000</v>
      </c>
      <c r="M339" s="9">
        <v>0</v>
      </c>
      <c r="N339" s="12">
        <v>0</v>
      </c>
      <c r="O339">
        <v>0</v>
      </c>
      <c r="P339">
        <v>1</v>
      </c>
      <c r="Q339" s="15">
        <f t="shared" si="15"/>
        <v>0.19338983050847458</v>
      </c>
      <c r="R339" s="9">
        <f t="shared" si="16"/>
        <v>15930.000000000002</v>
      </c>
      <c r="S339" s="9">
        <f t="shared" si="17"/>
        <v>22820</v>
      </c>
    </row>
    <row r="340" spans="1:19" x14ac:dyDescent="0.25">
      <c r="A340" t="s">
        <v>1192</v>
      </c>
      <c r="B340">
        <v>30019</v>
      </c>
      <c r="C340" s="8">
        <v>45650</v>
      </c>
      <c r="D340" t="s">
        <v>745</v>
      </c>
      <c r="E340" s="11">
        <v>6</v>
      </c>
      <c r="F340" t="s">
        <v>805</v>
      </c>
      <c r="G340" t="s">
        <v>1195</v>
      </c>
      <c r="H340" s="12">
        <v>124000</v>
      </c>
      <c r="I340" s="9">
        <v>0</v>
      </c>
      <c r="J340" s="15">
        <v>0.15</v>
      </c>
      <c r="K340" s="12">
        <v>6890</v>
      </c>
      <c r="L340" s="12">
        <v>5000</v>
      </c>
      <c r="M340" s="9">
        <v>0</v>
      </c>
      <c r="N340" s="12">
        <v>0</v>
      </c>
      <c r="O340">
        <v>0</v>
      </c>
      <c r="P340">
        <v>1</v>
      </c>
      <c r="Q340" s="15">
        <f t="shared" si="15"/>
        <v>0.20556451612903226</v>
      </c>
      <c r="R340" s="9">
        <f t="shared" si="16"/>
        <v>18600</v>
      </c>
      <c r="S340" s="9">
        <f t="shared" si="17"/>
        <v>25490</v>
      </c>
    </row>
    <row r="341" spans="1:19" x14ac:dyDescent="0.25">
      <c r="A341" t="s">
        <v>1192</v>
      </c>
      <c r="B341">
        <v>30019</v>
      </c>
      <c r="C341" s="8">
        <v>45630</v>
      </c>
      <c r="D341" t="s">
        <v>1404</v>
      </c>
      <c r="E341" s="11">
        <v>6</v>
      </c>
      <c r="F341" t="s">
        <v>852</v>
      </c>
      <c r="G341" t="s">
        <v>1195</v>
      </c>
      <c r="H341" s="12">
        <v>100000</v>
      </c>
      <c r="I341" s="9">
        <v>0</v>
      </c>
      <c r="J341" s="15">
        <v>0.15</v>
      </c>
      <c r="K341" s="12">
        <v>6890</v>
      </c>
      <c r="L341" s="12">
        <v>5000</v>
      </c>
      <c r="M341" s="9">
        <v>0</v>
      </c>
      <c r="N341" s="12">
        <v>0</v>
      </c>
      <c r="O341">
        <v>0</v>
      </c>
      <c r="P341">
        <v>1</v>
      </c>
      <c r="Q341" s="15">
        <f t="shared" si="15"/>
        <v>0.21890000000000001</v>
      </c>
      <c r="R341" s="9">
        <f t="shared" si="16"/>
        <v>15000</v>
      </c>
      <c r="S341" s="9">
        <f t="shared" si="17"/>
        <v>21890</v>
      </c>
    </row>
    <row r="342" spans="1:19" x14ac:dyDescent="0.25">
      <c r="A342" t="s">
        <v>29</v>
      </c>
      <c r="B342">
        <v>30012</v>
      </c>
      <c r="C342" s="8">
        <v>45610</v>
      </c>
      <c r="D342" t="s">
        <v>962</v>
      </c>
      <c r="E342" s="11">
        <v>6</v>
      </c>
      <c r="F342" t="s">
        <v>805</v>
      </c>
      <c r="H342" s="12">
        <v>20180967</v>
      </c>
      <c r="I342" s="9">
        <v>20180967</v>
      </c>
      <c r="J342" s="15">
        <v>0.15</v>
      </c>
      <c r="K342" s="12">
        <v>0</v>
      </c>
      <c r="L342" s="12">
        <v>0</v>
      </c>
      <c r="M342" s="9">
        <v>0</v>
      </c>
      <c r="N342" s="12">
        <v>403619.33999999991</v>
      </c>
      <c r="O342">
        <v>48</v>
      </c>
      <c r="Q342" s="15">
        <f t="shared" si="15"/>
        <v>0.15</v>
      </c>
      <c r="R342" s="9">
        <f t="shared" si="16"/>
        <v>3027145.05</v>
      </c>
      <c r="S342" s="9">
        <f t="shared" si="17"/>
        <v>3027145.05</v>
      </c>
    </row>
    <row r="343" spans="1:19" x14ac:dyDescent="0.25">
      <c r="A343" t="s">
        <v>29</v>
      </c>
      <c r="B343">
        <v>30012</v>
      </c>
      <c r="C343" s="8">
        <v>45614</v>
      </c>
      <c r="D343" t="s">
        <v>957</v>
      </c>
      <c r="E343" s="11">
        <v>6</v>
      </c>
      <c r="F343" t="s">
        <v>805</v>
      </c>
      <c r="H343" s="12">
        <v>1225000</v>
      </c>
      <c r="I343" s="9">
        <v>725912</v>
      </c>
      <c r="J343" s="15">
        <v>0.1</v>
      </c>
      <c r="K343" s="12">
        <v>0</v>
      </c>
      <c r="L343" s="12">
        <v>0</v>
      </c>
      <c r="M343" s="9">
        <v>0</v>
      </c>
      <c r="N343" s="12">
        <v>12300.175555555556</v>
      </c>
      <c r="O343">
        <v>61</v>
      </c>
      <c r="Q343" s="15">
        <f t="shared" si="15"/>
        <v>0.1</v>
      </c>
      <c r="R343" s="9">
        <f t="shared" si="16"/>
        <v>122500</v>
      </c>
      <c r="S343" s="9">
        <f t="shared" si="17"/>
        <v>122500</v>
      </c>
    </row>
    <row r="344" spans="1:19" x14ac:dyDescent="0.25">
      <c r="A344" t="s">
        <v>29</v>
      </c>
      <c r="B344">
        <v>30012</v>
      </c>
      <c r="C344" s="8">
        <v>45623</v>
      </c>
      <c r="D344" t="s">
        <v>937</v>
      </c>
      <c r="E344" s="11">
        <v>6</v>
      </c>
      <c r="F344" t="s">
        <v>819</v>
      </c>
      <c r="H344" s="12">
        <v>150000</v>
      </c>
      <c r="I344" s="9">
        <v>209399</v>
      </c>
      <c r="J344" s="15">
        <v>0.1</v>
      </c>
      <c r="K344" s="12">
        <v>0</v>
      </c>
      <c r="L344" s="12">
        <v>0</v>
      </c>
      <c r="M344" s="9">
        <v>0</v>
      </c>
      <c r="N344" s="12">
        <v>4711.4775</v>
      </c>
      <c r="O344">
        <v>81</v>
      </c>
      <c r="Q344" s="15">
        <f t="shared" si="15"/>
        <v>0.1</v>
      </c>
      <c r="R344" s="9">
        <f t="shared" si="16"/>
        <v>15000</v>
      </c>
      <c r="S344" s="9">
        <f t="shared" si="17"/>
        <v>15000</v>
      </c>
    </row>
    <row r="345" spans="1:19" x14ac:dyDescent="0.25">
      <c r="A345" t="s">
        <v>1192</v>
      </c>
      <c r="B345">
        <v>30019</v>
      </c>
      <c r="C345" s="8">
        <v>45632</v>
      </c>
      <c r="D345" t="s">
        <v>1418</v>
      </c>
      <c r="E345" s="11">
        <v>6</v>
      </c>
      <c r="F345" t="s">
        <v>805</v>
      </c>
      <c r="G345" t="s">
        <v>1194</v>
      </c>
      <c r="H345" s="12">
        <v>99500</v>
      </c>
      <c r="I345" s="9">
        <v>0</v>
      </c>
      <c r="J345" s="15">
        <v>0.15</v>
      </c>
      <c r="K345" s="12">
        <v>6890</v>
      </c>
      <c r="L345" s="12">
        <v>5000</v>
      </c>
      <c r="M345" s="9">
        <v>0</v>
      </c>
      <c r="N345" s="12">
        <v>0</v>
      </c>
      <c r="O345">
        <v>0</v>
      </c>
      <c r="P345">
        <v>1</v>
      </c>
      <c r="Q345" s="15">
        <f t="shared" si="15"/>
        <v>0.2192462311557789</v>
      </c>
      <c r="R345" s="9">
        <f t="shared" si="16"/>
        <v>14925</v>
      </c>
      <c r="S345" s="9">
        <f t="shared" si="17"/>
        <v>21815</v>
      </c>
    </row>
    <row r="346" spans="1:19" x14ac:dyDescent="0.25">
      <c r="A346" t="s">
        <v>1192</v>
      </c>
      <c r="B346">
        <v>30019</v>
      </c>
      <c r="C346" s="8">
        <v>45614</v>
      </c>
      <c r="D346" t="s">
        <v>1358</v>
      </c>
      <c r="E346" s="11">
        <v>6</v>
      </c>
      <c r="F346" t="s">
        <v>805</v>
      </c>
      <c r="G346" t="s">
        <v>1195</v>
      </c>
      <c r="H346" s="12">
        <v>60000</v>
      </c>
      <c r="I346" s="9">
        <v>0</v>
      </c>
      <c r="J346" s="15">
        <v>0.15</v>
      </c>
      <c r="K346" s="12">
        <v>6890</v>
      </c>
      <c r="L346" s="12">
        <v>5000</v>
      </c>
      <c r="M346" s="9">
        <v>0</v>
      </c>
      <c r="N346" s="12">
        <v>0</v>
      </c>
      <c r="O346">
        <v>0</v>
      </c>
      <c r="P346">
        <v>1</v>
      </c>
      <c r="Q346" s="15">
        <f t="shared" si="15"/>
        <v>0.26483333333333331</v>
      </c>
      <c r="R346" s="9">
        <f t="shared" si="16"/>
        <v>9000</v>
      </c>
      <c r="S346" s="9">
        <f t="shared" si="17"/>
        <v>15889.999999999998</v>
      </c>
    </row>
    <row r="347" spans="1:19" x14ac:dyDescent="0.25">
      <c r="A347" t="s">
        <v>1192</v>
      </c>
      <c r="B347">
        <v>30019</v>
      </c>
      <c r="C347" s="8">
        <v>45632</v>
      </c>
      <c r="D347" t="s">
        <v>1417</v>
      </c>
      <c r="E347" s="11">
        <v>6</v>
      </c>
      <c r="F347" t="s">
        <v>805</v>
      </c>
      <c r="G347" t="s">
        <v>1194</v>
      </c>
      <c r="H347" s="12">
        <v>168500</v>
      </c>
      <c r="I347" s="9">
        <v>0</v>
      </c>
      <c r="J347" s="15">
        <v>0.15</v>
      </c>
      <c r="K347" s="12">
        <v>6890</v>
      </c>
      <c r="L347" s="12">
        <v>5000</v>
      </c>
      <c r="M347" s="9">
        <v>0</v>
      </c>
      <c r="N347" s="12">
        <v>0</v>
      </c>
      <c r="O347">
        <v>0</v>
      </c>
      <c r="P347">
        <v>1</v>
      </c>
      <c r="Q347" s="15">
        <f t="shared" si="15"/>
        <v>0.19089020771513354</v>
      </c>
      <c r="R347" s="9">
        <f t="shared" si="16"/>
        <v>25275</v>
      </c>
      <c r="S347" s="9">
        <f t="shared" si="17"/>
        <v>32165</v>
      </c>
    </row>
    <row r="348" spans="1:19" x14ac:dyDescent="0.25">
      <c r="A348" t="s">
        <v>1192</v>
      </c>
      <c r="B348">
        <v>30019</v>
      </c>
      <c r="C348" s="8">
        <v>45610</v>
      </c>
      <c r="D348" t="s">
        <v>733</v>
      </c>
      <c r="E348" s="11">
        <v>6</v>
      </c>
      <c r="F348" t="s">
        <v>805</v>
      </c>
      <c r="G348" t="s">
        <v>1195</v>
      </c>
      <c r="H348" s="12">
        <v>76000</v>
      </c>
      <c r="I348" s="9">
        <v>0</v>
      </c>
      <c r="J348" s="15">
        <v>0.15</v>
      </c>
      <c r="K348" s="12">
        <v>6890</v>
      </c>
      <c r="L348" s="12">
        <v>5000</v>
      </c>
      <c r="M348" s="9">
        <v>0</v>
      </c>
      <c r="N348" s="12">
        <v>0</v>
      </c>
      <c r="O348">
        <v>0</v>
      </c>
      <c r="P348">
        <v>1</v>
      </c>
      <c r="Q348" s="15">
        <f t="shared" si="15"/>
        <v>0.2406578947368421</v>
      </c>
      <c r="R348" s="9">
        <f t="shared" si="16"/>
        <v>11400</v>
      </c>
      <c r="S348" s="9">
        <f t="shared" si="17"/>
        <v>18290</v>
      </c>
    </row>
    <row r="349" spans="1:19" x14ac:dyDescent="0.25">
      <c r="A349" t="s">
        <v>1192</v>
      </c>
      <c r="B349">
        <v>30019</v>
      </c>
      <c r="C349" s="8">
        <v>45628</v>
      </c>
      <c r="D349" t="s">
        <v>733</v>
      </c>
      <c r="E349" s="11">
        <v>6</v>
      </c>
      <c r="F349" t="s">
        <v>805</v>
      </c>
      <c r="G349" t="s">
        <v>1194</v>
      </c>
      <c r="H349" s="12">
        <v>83000</v>
      </c>
      <c r="I349" s="9">
        <v>0</v>
      </c>
      <c r="J349" s="15">
        <v>0.15</v>
      </c>
      <c r="K349" s="12">
        <v>6890</v>
      </c>
      <c r="L349" s="12">
        <v>5000</v>
      </c>
      <c r="M349" s="9">
        <v>0</v>
      </c>
      <c r="N349" s="12">
        <v>0</v>
      </c>
      <c r="O349">
        <v>0</v>
      </c>
      <c r="P349">
        <v>1</v>
      </c>
      <c r="Q349" s="15">
        <f t="shared" si="15"/>
        <v>0.23301204819277108</v>
      </c>
      <c r="R349" s="9">
        <f t="shared" si="16"/>
        <v>12450</v>
      </c>
      <c r="S349" s="9">
        <f t="shared" si="17"/>
        <v>19340</v>
      </c>
    </row>
    <row r="350" spans="1:19" x14ac:dyDescent="0.25">
      <c r="A350" t="s">
        <v>1192</v>
      </c>
      <c r="B350">
        <v>30019</v>
      </c>
      <c r="C350" s="8">
        <v>45629</v>
      </c>
      <c r="D350" t="s">
        <v>1398</v>
      </c>
      <c r="E350" s="11">
        <v>6</v>
      </c>
      <c r="F350" t="s">
        <v>805</v>
      </c>
      <c r="G350" t="s">
        <v>1195</v>
      </c>
      <c r="H350" s="12">
        <v>78000</v>
      </c>
      <c r="I350" s="9">
        <v>0</v>
      </c>
      <c r="J350" s="15">
        <v>0.125</v>
      </c>
      <c r="K350" s="12">
        <v>6890</v>
      </c>
      <c r="L350" s="12">
        <v>5000</v>
      </c>
      <c r="M350" s="9">
        <v>0</v>
      </c>
      <c r="N350" s="12">
        <v>0</v>
      </c>
      <c r="O350">
        <v>0</v>
      </c>
      <c r="P350">
        <v>1</v>
      </c>
      <c r="Q350" s="15">
        <f t="shared" si="15"/>
        <v>0.21333333333333335</v>
      </c>
      <c r="R350" s="9">
        <f t="shared" si="16"/>
        <v>9750</v>
      </c>
      <c r="S350" s="9">
        <f t="shared" si="17"/>
        <v>16640</v>
      </c>
    </row>
    <row r="351" spans="1:19" x14ac:dyDescent="0.25">
      <c r="A351" t="s">
        <v>29</v>
      </c>
      <c r="B351">
        <v>30012</v>
      </c>
      <c r="C351" s="8">
        <v>45625</v>
      </c>
      <c r="D351" t="s">
        <v>935</v>
      </c>
      <c r="E351" s="11" t="s">
        <v>205</v>
      </c>
      <c r="F351" t="s">
        <v>805</v>
      </c>
      <c r="G351" t="s">
        <v>202</v>
      </c>
      <c r="H351" s="12">
        <v>98460</v>
      </c>
      <c r="I351" s="9">
        <v>98460</v>
      </c>
      <c r="J351" s="15">
        <v>0.15</v>
      </c>
      <c r="K351" s="12">
        <v>0</v>
      </c>
      <c r="L351" s="12">
        <v>0</v>
      </c>
      <c r="M351" s="9">
        <v>0</v>
      </c>
      <c r="N351" s="12">
        <v>1353.825</v>
      </c>
      <c r="O351">
        <v>33</v>
      </c>
      <c r="Q351" s="15">
        <f t="shared" si="15"/>
        <v>0.15</v>
      </c>
      <c r="R351" s="9">
        <f t="shared" si="16"/>
        <v>14769</v>
      </c>
      <c r="S351" s="9">
        <f t="shared" si="17"/>
        <v>14769</v>
      </c>
    </row>
    <row r="352" spans="1:19" x14ac:dyDescent="0.25">
      <c r="A352" t="s">
        <v>1192</v>
      </c>
      <c r="B352">
        <v>30019</v>
      </c>
      <c r="C352" s="8">
        <v>45652</v>
      </c>
      <c r="D352" t="s">
        <v>1464</v>
      </c>
      <c r="E352" s="11">
        <v>6</v>
      </c>
      <c r="F352" t="s">
        <v>805</v>
      </c>
      <c r="G352" t="s">
        <v>1195</v>
      </c>
      <c r="H352" s="12">
        <v>386000</v>
      </c>
      <c r="I352" s="9">
        <v>0</v>
      </c>
      <c r="J352" s="15">
        <v>0.15</v>
      </c>
      <c r="K352" s="12">
        <v>6890</v>
      </c>
      <c r="L352" s="12">
        <v>5000</v>
      </c>
      <c r="M352" s="9">
        <v>0</v>
      </c>
      <c r="N352" s="12">
        <v>0</v>
      </c>
      <c r="O352">
        <v>0</v>
      </c>
      <c r="P352">
        <v>1</v>
      </c>
      <c r="Q352" s="15">
        <f t="shared" si="15"/>
        <v>0.16784974093264249</v>
      </c>
      <c r="R352" s="9">
        <f t="shared" si="16"/>
        <v>57900</v>
      </c>
      <c r="S352" s="9">
        <f t="shared" si="17"/>
        <v>64790</v>
      </c>
    </row>
    <row r="353" spans="1:19" x14ac:dyDescent="0.25">
      <c r="A353" t="s">
        <v>1192</v>
      </c>
      <c r="B353">
        <v>30019</v>
      </c>
      <c r="C353" s="8">
        <v>45635</v>
      </c>
      <c r="D353" t="s">
        <v>1427</v>
      </c>
      <c r="E353" s="11">
        <v>6</v>
      </c>
      <c r="F353" t="s">
        <v>805</v>
      </c>
      <c r="G353" t="s">
        <v>1194</v>
      </c>
      <c r="H353" s="12">
        <v>58000</v>
      </c>
      <c r="I353" s="9">
        <v>0</v>
      </c>
      <c r="J353" s="15">
        <v>0.10909090909090899</v>
      </c>
      <c r="K353" s="12">
        <v>6890</v>
      </c>
      <c r="L353" s="12">
        <v>5000</v>
      </c>
      <c r="M353" s="9">
        <v>0</v>
      </c>
      <c r="N353" s="12">
        <v>0</v>
      </c>
      <c r="O353">
        <v>0</v>
      </c>
      <c r="P353">
        <v>1</v>
      </c>
      <c r="Q353" s="15">
        <f t="shared" si="15"/>
        <v>0.22788401253918483</v>
      </c>
      <c r="R353" s="9">
        <f t="shared" si="16"/>
        <v>6327.2727272727216</v>
      </c>
      <c r="S353" s="9">
        <f t="shared" si="17"/>
        <v>13217.272727272721</v>
      </c>
    </row>
    <row r="354" spans="1:19" x14ac:dyDescent="0.25">
      <c r="A354" t="s">
        <v>1192</v>
      </c>
      <c r="B354">
        <v>30019</v>
      </c>
      <c r="C354" s="8">
        <v>45632</v>
      </c>
      <c r="D354" t="s">
        <v>1416</v>
      </c>
      <c r="E354" s="11">
        <v>6</v>
      </c>
      <c r="F354" t="s">
        <v>805</v>
      </c>
      <c r="G354" t="s">
        <v>1195</v>
      </c>
      <c r="H354" s="12">
        <v>147000</v>
      </c>
      <c r="I354" s="9">
        <v>0</v>
      </c>
      <c r="J354" s="15">
        <v>0.15</v>
      </c>
      <c r="K354" s="12">
        <v>6890</v>
      </c>
      <c r="L354" s="12">
        <v>5000</v>
      </c>
      <c r="M354" s="9">
        <v>0</v>
      </c>
      <c r="N354" s="12">
        <v>0</v>
      </c>
      <c r="O354">
        <v>0</v>
      </c>
      <c r="P354">
        <v>1</v>
      </c>
      <c r="Q354" s="15">
        <f t="shared" si="15"/>
        <v>0.19687074829931972</v>
      </c>
      <c r="R354" s="9">
        <f t="shared" si="16"/>
        <v>22050</v>
      </c>
      <c r="S354" s="9">
        <f t="shared" si="17"/>
        <v>28940</v>
      </c>
    </row>
    <row r="355" spans="1:19" x14ac:dyDescent="0.25">
      <c r="A355" t="s">
        <v>1192</v>
      </c>
      <c r="B355">
        <v>30019</v>
      </c>
      <c r="C355" s="8">
        <v>45635</v>
      </c>
      <c r="D355" t="s">
        <v>1426</v>
      </c>
      <c r="E355" s="11">
        <v>6</v>
      </c>
      <c r="F355" t="s">
        <v>805</v>
      </c>
      <c r="G355" t="s">
        <v>1194</v>
      </c>
      <c r="H355" s="12">
        <v>386000</v>
      </c>
      <c r="I355" s="9">
        <v>0</v>
      </c>
      <c r="J355" s="15">
        <v>0.1125</v>
      </c>
      <c r="K355" s="12">
        <v>6890</v>
      </c>
      <c r="L355" s="12">
        <v>5000</v>
      </c>
      <c r="M355" s="9">
        <v>0</v>
      </c>
      <c r="N355" s="12">
        <v>0</v>
      </c>
      <c r="O355">
        <v>0</v>
      </c>
      <c r="P355">
        <v>1</v>
      </c>
      <c r="Q355" s="15">
        <f t="shared" si="15"/>
        <v>0.13034974093264248</v>
      </c>
      <c r="R355" s="9">
        <f t="shared" si="16"/>
        <v>43425</v>
      </c>
      <c r="S355" s="9">
        <f t="shared" si="17"/>
        <v>50315</v>
      </c>
    </row>
    <row r="356" spans="1:19" x14ac:dyDescent="0.25">
      <c r="A356" t="s">
        <v>1192</v>
      </c>
      <c r="B356">
        <v>30019</v>
      </c>
      <c r="C356" s="8">
        <v>45579</v>
      </c>
      <c r="D356" t="s">
        <v>1260</v>
      </c>
      <c r="E356" s="11">
        <v>6</v>
      </c>
      <c r="F356" t="s">
        <v>819</v>
      </c>
      <c r="G356" t="s">
        <v>1229</v>
      </c>
      <c r="H356" s="12">
        <v>113000</v>
      </c>
      <c r="I356" s="9">
        <v>0</v>
      </c>
      <c r="J356" s="15">
        <v>0.15</v>
      </c>
      <c r="K356" s="12">
        <v>6890</v>
      </c>
      <c r="L356" s="12">
        <v>5000</v>
      </c>
      <c r="M356" s="9">
        <v>0</v>
      </c>
      <c r="N356" s="12">
        <v>0</v>
      </c>
      <c r="O356">
        <v>0</v>
      </c>
      <c r="P356">
        <v>1</v>
      </c>
      <c r="Q356" s="15">
        <f t="shared" si="15"/>
        <v>0.21097345132743364</v>
      </c>
      <c r="R356" s="9">
        <f t="shared" si="16"/>
        <v>16950</v>
      </c>
      <c r="S356" s="9">
        <f t="shared" si="17"/>
        <v>23840</v>
      </c>
    </row>
    <row r="357" spans="1:19" x14ac:dyDescent="0.25">
      <c r="A357" t="s">
        <v>1192</v>
      </c>
      <c r="B357">
        <v>30019</v>
      </c>
      <c r="C357" s="8">
        <v>45637</v>
      </c>
      <c r="D357" t="s">
        <v>1442</v>
      </c>
      <c r="E357" s="11">
        <v>6</v>
      </c>
      <c r="F357" t="s">
        <v>852</v>
      </c>
      <c r="G357" t="s">
        <v>1391</v>
      </c>
      <c r="H357" s="12">
        <v>155000</v>
      </c>
      <c r="I357" s="9">
        <v>0</v>
      </c>
      <c r="J357" s="15">
        <v>0.15</v>
      </c>
      <c r="K357" s="12">
        <v>6890</v>
      </c>
      <c r="L357" s="12">
        <v>5000</v>
      </c>
      <c r="M357" s="9">
        <v>0</v>
      </c>
      <c r="N357" s="12">
        <v>0</v>
      </c>
      <c r="O357">
        <v>0</v>
      </c>
      <c r="P357">
        <v>1</v>
      </c>
      <c r="Q357" s="15">
        <f t="shared" si="15"/>
        <v>0.1944516129032258</v>
      </c>
      <c r="R357" s="9">
        <f t="shared" si="16"/>
        <v>23250</v>
      </c>
      <c r="S357" s="9">
        <f t="shared" si="17"/>
        <v>30140</v>
      </c>
    </row>
    <row r="358" spans="1:19" x14ac:dyDescent="0.25">
      <c r="A358" t="s">
        <v>1192</v>
      </c>
      <c r="B358">
        <v>30019</v>
      </c>
      <c r="C358" s="8">
        <v>45604</v>
      </c>
      <c r="D358" t="s">
        <v>1329</v>
      </c>
      <c r="E358" s="11">
        <v>6</v>
      </c>
      <c r="F358" t="s">
        <v>805</v>
      </c>
      <c r="G358" t="s">
        <v>1195</v>
      </c>
      <c r="H358" s="12">
        <v>109000</v>
      </c>
      <c r="I358" s="9">
        <v>0</v>
      </c>
      <c r="J358" s="15">
        <v>0.13636363636363599</v>
      </c>
      <c r="K358" s="12">
        <v>6890</v>
      </c>
      <c r="L358" s="12">
        <v>5000</v>
      </c>
      <c r="M358" s="9">
        <v>0</v>
      </c>
      <c r="N358" s="12">
        <v>0</v>
      </c>
      <c r="O358">
        <v>0</v>
      </c>
      <c r="P358">
        <v>1</v>
      </c>
      <c r="Q358" s="15">
        <f t="shared" si="15"/>
        <v>0.19957464553794793</v>
      </c>
      <c r="R358" s="9">
        <f t="shared" si="16"/>
        <v>14863.636363636324</v>
      </c>
      <c r="S358" s="9">
        <f t="shared" si="17"/>
        <v>21753.636363636324</v>
      </c>
    </row>
    <row r="359" spans="1:19" x14ac:dyDescent="0.25">
      <c r="A359" t="s">
        <v>1192</v>
      </c>
      <c r="B359">
        <v>30019</v>
      </c>
      <c r="C359" s="8">
        <v>45617</v>
      </c>
      <c r="D359" t="s">
        <v>1372</v>
      </c>
      <c r="E359" s="11">
        <v>6</v>
      </c>
      <c r="F359" t="s">
        <v>1196</v>
      </c>
      <c r="G359" t="s">
        <v>1195</v>
      </c>
      <c r="H359" s="12">
        <v>98000</v>
      </c>
      <c r="I359" s="9">
        <v>0</v>
      </c>
      <c r="J359" s="15">
        <v>9.54545454545455E-2</v>
      </c>
      <c r="K359" s="12">
        <v>6890</v>
      </c>
      <c r="L359" s="12">
        <v>5000</v>
      </c>
      <c r="M359" s="9">
        <v>0</v>
      </c>
      <c r="N359" s="12">
        <v>0</v>
      </c>
      <c r="O359">
        <v>0</v>
      </c>
      <c r="P359">
        <v>1</v>
      </c>
      <c r="Q359" s="15">
        <f t="shared" si="15"/>
        <v>0.16576066790352509</v>
      </c>
      <c r="R359" s="9">
        <f t="shared" si="16"/>
        <v>9354.5454545454595</v>
      </c>
      <c r="S359" s="9">
        <f t="shared" si="17"/>
        <v>16244.54545454546</v>
      </c>
    </row>
    <row r="360" spans="1:19" x14ac:dyDescent="0.25">
      <c r="A360" t="s">
        <v>210</v>
      </c>
      <c r="B360" t="s">
        <v>783</v>
      </c>
      <c r="C360" s="8">
        <v>45582</v>
      </c>
      <c r="D360" t="s">
        <v>1154</v>
      </c>
      <c r="E360" s="11">
        <v>6</v>
      </c>
      <c r="F360" t="s">
        <v>805</v>
      </c>
      <c r="G360" t="s">
        <v>213</v>
      </c>
      <c r="H360" s="12">
        <v>94000</v>
      </c>
      <c r="I360" s="9">
        <v>94000</v>
      </c>
      <c r="J360" s="15">
        <v>0.14000000000000001</v>
      </c>
      <c r="K360" s="12">
        <v>4888</v>
      </c>
      <c r="M360" s="9">
        <v>923.83199999999988</v>
      </c>
      <c r="P360">
        <v>1</v>
      </c>
      <c r="Q360" s="15">
        <f t="shared" si="15"/>
        <v>0.20182799999999998</v>
      </c>
      <c r="R360" s="9">
        <f t="shared" si="16"/>
        <v>13160.000000000002</v>
      </c>
      <c r="S360" s="9">
        <f t="shared" si="17"/>
        <v>18971.831999999999</v>
      </c>
    </row>
    <row r="361" spans="1:19" x14ac:dyDescent="0.25">
      <c r="A361" t="s">
        <v>1192</v>
      </c>
      <c r="B361">
        <v>30019</v>
      </c>
      <c r="C361" s="8">
        <v>45604</v>
      </c>
      <c r="D361" t="s">
        <v>1334</v>
      </c>
      <c r="E361" s="11">
        <v>6</v>
      </c>
      <c r="F361" t="s">
        <v>805</v>
      </c>
      <c r="G361" t="s">
        <v>1195</v>
      </c>
      <c r="H361" s="12">
        <v>48000</v>
      </c>
      <c r="I361" s="9">
        <v>0</v>
      </c>
      <c r="J361" s="15">
        <v>0.122727272727273</v>
      </c>
      <c r="K361" s="12">
        <v>6890</v>
      </c>
      <c r="L361" s="12">
        <v>5000</v>
      </c>
      <c r="M361" s="9">
        <v>0</v>
      </c>
      <c r="N361" s="12">
        <v>0</v>
      </c>
      <c r="O361">
        <v>0</v>
      </c>
      <c r="P361">
        <v>1</v>
      </c>
      <c r="Q361" s="15">
        <f t="shared" si="15"/>
        <v>0.2662689393939397</v>
      </c>
      <c r="R361" s="9">
        <f t="shared" si="16"/>
        <v>5890.9090909091046</v>
      </c>
      <c r="S361" s="9">
        <f t="shared" si="17"/>
        <v>12780.909090909105</v>
      </c>
    </row>
    <row r="362" spans="1:19" x14ac:dyDescent="0.25">
      <c r="A362" t="s">
        <v>29</v>
      </c>
      <c r="B362">
        <v>30012</v>
      </c>
      <c r="C362" s="8">
        <v>45603</v>
      </c>
      <c r="D362" t="s">
        <v>980</v>
      </c>
      <c r="E362" s="11">
        <v>6</v>
      </c>
      <c r="F362" t="s">
        <v>805</v>
      </c>
      <c r="H362" s="12">
        <v>50000</v>
      </c>
      <c r="I362" s="9">
        <v>51028</v>
      </c>
      <c r="J362" s="15">
        <v>0.1</v>
      </c>
      <c r="K362" s="12">
        <v>0</v>
      </c>
      <c r="L362" s="12">
        <v>0</v>
      </c>
      <c r="M362" s="9">
        <v>0</v>
      </c>
      <c r="N362" s="12">
        <v>1190.6533333333334</v>
      </c>
      <c r="O362">
        <v>84</v>
      </c>
      <c r="Q362" s="15">
        <f t="shared" si="15"/>
        <v>0.1</v>
      </c>
      <c r="R362" s="9">
        <f t="shared" si="16"/>
        <v>5000</v>
      </c>
      <c r="S362" s="9">
        <f t="shared" si="17"/>
        <v>5000</v>
      </c>
    </row>
    <row r="363" spans="1:19" x14ac:dyDescent="0.25">
      <c r="A363" t="s">
        <v>29</v>
      </c>
      <c r="B363">
        <v>30012</v>
      </c>
      <c r="C363" s="8">
        <v>45568</v>
      </c>
      <c r="D363" t="s">
        <v>1095</v>
      </c>
      <c r="E363" s="11">
        <v>6</v>
      </c>
      <c r="F363" t="s">
        <v>805</v>
      </c>
      <c r="H363" s="12">
        <v>92500</v>
      </c>
      <c r="I363" s="9">
        <v>93222</v>
      </c>
      <c r="J363" s="15">
        <v>0.1</v>
      </c>
      <c r="K363" s="12">
        <v>0</v>
      </c>
      <c r="L363" s="12">
        <v>0</v>
      </c>
      <c r="M363" s="9">
        <v>0</v>
      </c>
      <c r="N363" s="12">
        <v>1812.65</v>
      </c>
      <c r="O363">
        <v>70</v>
      </c>
      <c r="Q363" s="15">
        <f t="shared" si="15"/>
        <v>0.1</v>
      </c>
      <c r="R363" s="9">
        <f t="shared" si="16"/>
        <v>9250</v>
      </c>
      <c r="S363" s="9">
        <f t="shared" si="17"/>
        <v>9250</v>
      </c>
    </row>
    <row r="364" spans="1:19" x14ac:dyDescent="0.25">
      <c r="A364" t="s">
        <v>1192</v>
      </c>
      <c r="B364">
        <v>30019</v>
      </c>
      <c r="C364" s="8">
        <v>45642</v>
      </c>
      <c r="D364" t="s">
        <v>734</v>
      </c>
      <c r="E364" s="11">
        <v>6</v>
      </c>
      <c r="F364" t="s">
        <v>805</v>
      </c>
      <c r="G364" t="s">
        <v>1194</v>
      </c>
      <c r="H364" s="12">
        <v>163500</v>
      </c>
      <c r="I364" s="9">
        <v>0</v>
      </c>
      <c r="J364" s="15">
        <v>0.15</v>
      </c>
      <c r="K364" s="12">
        <v>6890</v>
      </c>
      <c r="L364" s="12">
        <v>5000</v>
      </c>
      <c r="M364" s="9">
        <v>0</v>
      </c>
      <c r="N364" s="12">
        <v>0</v>
      </c>
      <c r="O364">
        <v>0</v>
      </c>
      <c r="P364">
        <v>1</v>
      </c>
      <c r="Q364" s="15">
        <f t="shared" si="15"/>
        <v>0.19214067278287461</v>
      </c>
      <c r="R364" s="9">
        <f t="shared" si="16"/>
        <v>24525</v>
      </c>
      <c r="S364" s="9">
        <f t="shared" si="17"/>
        <v>31415</v>
      </c>
    </row>
    <row r="365" spans="1:19" x14ac:dyDescent="0.25">
      <c r="A365" t="s">
        <v>29</v>
      </c>
      <c r="B365">
        <v>30012</v>
      </c>
      <c r="C365" s="8">
        <v>45582</v>
      </c>
      <c r="D365" t="s">
        <v>1053</v>
      </c>
      <c r="E365" s="11">
        <v>6</v>
      </c>
      <c r="F365" t="s">
        <v>819</v>
      </c>
      <c r="H365" s="12">
        <v>75000</v>
      </c>
      <c r="I365" s="9">
        <v>100666</v>
      </c>
      <c r="J365" s="15">
        <v>0.1</v>
      </c>
      <c r="K365" s="12">
        <v>0</v>
      </c>
      <c r="L365" s="12">
        <v>0</v>
      </c>
      <c r="M365" s="9">
        <v>0</v>
      </c>
      <c r="N365" s="12">
        <v>2516.65</v>
      </c>
      <c r="O365">
        <v>90</v>
      </c>
      <c r="Q365" s="15">
        <f t="shared" si="15"/>
        <v>0.1</v>
      </c>
      <c r="R365" s="9">
        <f t="shared" si="16"/>
        <v>7500</v>
      </c>
      <c r="S365" s="9">
        <f t="shared" si="17"/>
        <v>7500</v>
      </c>
    </row>
    <row r="366" spans="1:19" x14ac:dyDescent="0.25">
      <c r="A366" t="s">
        <v>29</v>
      </c>
      <c r="B366">
        <v>30012</v>
      </c>
      <c r="C366" s="8">
        <v>45581</v>
      </c>
      <c r="D366" t="s">
        <v>1059</v>
      </c>
      <c r="E366" s="11">
        <v>6</v>
      </c>
      <c r="F366" t="s">
        <v>805</v>
      </c>
      <c r="H366" s="12">
        <v>65500</v>
      </c>
      <c r="I366" s="9">
        <v>43375</v>
      </c>
      <c r="J366" s="15">
        <v>0.1</v>
      </c>
      <c r="K366" s="12">
        <v>0</v>
      </c>
      <c r="L366" s="12">
        <v>0</v>
      </c>
      <c r="M366" s="9">
        <v>0</v>
      </c>
      <c r="N366" s="12">
        <v>867.5</v>
      </c>
      <c r="O366">
        <v>72</v>
      </c>
      <c r="Q366" s="15">
        <f t="shared" si="15"/>
        <v>0.1</v>
      </c>
      <c r="R366" s="9">
        <f t="shared" si="16"/>
        <v>6550</v>
      </c>
      <c r="S366" s="9">
        <f t="shared" si="17"/>
        <v>6550</v>
      </c>
    </row>
    <row r="367" spans="1:19" x14ac:dyDescent="0.25">
      <c r="A367" t="s">
        <v>1192</v>
      </c>
      <c r="B367">
        <v>30019</v>
      </c>
      <c r="C367" s="8">
        <v>45572</v>
      </c>
      <c r="D367" t="s">
        <v>1227</v>
      </c>
      <c r="E367" s="11">
        <v>6</v>
      </c>
      <c r="F367" t="s">
        <v>805</v>
      </c>
      <c r="G367" t="s">
        <v>1195</v>
      </c>
      <c r="H367" s="12">
        <v>100000</v>
      </c>
      <c r="I367" s="9">
        <v>0</v>
      </c>
      <c r="J367" s="15">
        <v>0.15</v>
      </c>
      <c r="K367" s="12">
        <v>6890</v>
      </c>
      <c r="L367" s="12">
        <v>5000</v>
      </c>
      <c r="M367" s="9">
        <v>0</v>
      </c>
      <c r="N367" s="12">
        <v>0</v>
      </c>
      <c r="O367">
        <v>0</v>
      </c>
      <c r="P367">
        <v>1</v>
      </c>
      <c r="Q367" s="15">
        <f t="shared" si="15"/>
        <v>0.21890000000000001</v>
      </c>
      <c r="R367" s="9">
        <f t="shared" si="16"/>
        <v>15000</v>
      </c>
      <c r="S367" s="9">
        <f t="shared" si="17"/>
        <v>21890</v>
      </c>
    </row>
    <row r="368" spans="1:19" x14ac:dyDescent="0.25">
      <c r="A368" t="s">
        <v>210</v>
      </c>
      <c r="B368" t="s">
        <v>783</v>
      </c>
      <c r="C368" s="8">
        <v>45574</v>
      </c>
      <c r="D368" t="s">
        <v>1153</v>
      </c>
      <c r="E368" s="11">
        <v>6</v>
      </c>
      <c r="F368" t="s">
        <v>805</v>
      </c>
      <c r="G368" t="s">
        <v>213</v>
      </c>
      <c r="H368" s="12">
        <v>47410</v>
      </c>
      <c r="I368" s="9">
        <v>47410</v>
      </c>
      <c r="J368" s="15">
        <v>0.14000000000000001</v>
      </c>
      <c r="K368" s="12">
        <v>2465.3200000000002</v>
      </c>
      <c r="M368" s="9">
        <v>465.94548000000003</v>
      </c>
      <c r="P368">
        <v>1</v>
      </c>
      <c r="Q368" s="15">
        <f t="shared" si="15"/>
        <v>0.20182800000000004</v>
      </c>
      <c r="R368" s="9">
        <f t="shared" si="16"/>
        <v>6637.4000000000005</v>
      </c>
      <c r="S368" s="9">
        <f t="shared" si="17"/>
        <v>9568.6654800000015</v>
      </c>
    </row>
    <row r="369" spans="1:19" x14ac:dyDescent="0.25">
      <c r="A369" t="s">
        <v>29</v>
      </c>
      <c r="B369">
        <v>30012</v>
      </c>
      <c r="C369" s="8">
        <v>45568</v>
      </c>
      <c r="D369" t="s">
        <v>1097</v>
      </c>
      <c r="E369" s="11">
        <v>6</v>
      </c>
      <c r="F369" t="s">
        <v>805</v>
      </c>
      <c r="H369" s="12">
        <v>153000</v>
      </c>
      <c r="I369" s="9">
        <v>155847</v>
      </c>
      <c r="J369" s="15">
        <v>0.1</v>
      </c>
      <c r="K369" s="12">
        <v>0</v>
      </c>
      <c r="L369" s="12">
        <v>0</v>
      </c>
      <c r="M369" s="9">
        <v>0</v>
      </c>
      <c r="N369" s="12">
        <v>3636.4300000000003</v>
      </c>
      <c r="O369">
        <v>84</v>
      </c>
      <c r="Q369" s="15">
        <f t="shared" si="15"/>
        <v>0.1</v>
      </c>
      <c r="R369" s="9">
        <f t="shared" si="16"/>
        <v>15300</v>
      </c>
      <c r="S369" s="9">
        <f t="shared" si="17"/>
        <v>15300</v>
      </c>
    </row>
    <row r="370" spans="1:19" x14ac:dyDescent="0.25">
      <c r="A370" t="s">
        <v>1192</v>
      </c>
      <c r="B370">
        <v>30019</v>
      </c>
      <c r="C370" s="8">
        <v>45573</v>
      </c>
      <c r="D370" t="s">
        <v>1235</v>
      </c>
      <c r="E370" s="11">
        <v>6</v>
      </c>
      <c r="F370" t="s">
        <v>805</v>
      </c>
      <c r="G370" t="s">
        <v>1195</v>
      </c>
      <c r="H370" s="12">
        <v>90000</v>
      </c>
      <c r="I370" s="9">
        <v>0</v>
      </c>
      <c r="J370" s="15">
        <v>0.09</v>
      </c>
      <c r="K370" s="12">
        <v>6890</v>
      </c>
      <c r="L370" s="12">
        <v>5000</v>
      </c>
      <c r="M370" s="9">
        <v>0</v>
      </c>
      <c r="N370" s="12">
        <v>0</v>
      </c>
      <c r="O370">
        <v>0</v>
      </c>
      <c r="P370">
        <v>1</v>
      </c>
      <c r="Q370" s="15">
        <f t="shared" si="15"/>
        <v>0.16655555555555557</v>
      </c>
      <c r="R370" s="9">
        <f t="shared" si="16"/>
        <v>8100</v>
      </c>
      <c r="S370" s="9">
        <f t="shared" si="17"/>
        <v>14990.000000000002</v>
      </c>
    </row>
    <row r="371" spans="1:19" x14ac:dyDescent="0.25">
      <c r="A371" t="s">
        <v>1192</v>
      </c>
      <c r="B371">
        <v>30019</v>
      </c>
      <c r="C371" s="8">
        <v>45600</v>
      </c>
      <c r="D371" t="s">
        <v>1312</v>
      </c>
      <c r="E371" s="11">
        <v>6</v>
      </c>
      <c r="F371" t="s">
        <v>805</v>
      </c>
      <c r="G371" t="s">
        <v>1229</v>
      </c>
      <c r="H371" s="12">
        <v>72000</v>
      </c>
      <c r="I371" s="9">
        <v>0</v>
      </c>
      <c r="J371" s="15">
        <v>0.15</v>
      </c>
      <c r="K371" s="12">
        <v>6890</v>
      </c>
      <c r="L371" s="12">
        <v>5000</v>
      </c>
      <c r="M371" s="9">
        <v>0</v>
      </c>
      <c r="N371" s="12">
        <v>0</v>
      </c>
      <c r="O371">
        <v>0</v>
      </c>
      <c r="P371">
        <v>1</v>
      </c>
      <c r="Q371" s="15">
        <f t="shared" si="15"/>
        <v>0.24569444444444444</v>
      </c>
      <c r="R371" s="9">
        <f t="shared" si="16"/>
        <v>10800</v>
      </c>
      <c r="S371" s="9">
        <f t="shared" si="17"/>
        <v>17690</v>
      </c>
    </row>
    <row r="372" spans="1:19" x14ac:dyDescent="0.25">
      <c r="A372" t="s">
        <v>1192</v>
      </c>
      <c r="B372">
        <v>30019</v>
      </c>
      <c r="C372" s="8">
        <v>45579</v>
      </c>
      <c r="D372" t="s">
        <v>1259</v>
      </c>
      <c r="E372" s="11">
        <v>6</v>
      </c>
      <c r="F372" t="s">
        <v>805</v>
      </c>
      <c r="G372" t="s">
        <v>1195</v>
      </c>
      <c r="H372" s="12">
        <v>60000</v>
      </c>
      <c r="I372" s="9">
        <v>0</v>
      </c>
      <c r="J372" s="15">
        <v>0.15</v>
      </c>
      <c r="K372" s="12">
        <v>6890</v>
      </c>
      <c r="L372" s="12">
        <v>5000</v>
      </c>
      <c r="M372" s="9">
        <v>0</v>
      </c>
      <c r="N372" s="12">
        <v>0</v>
      </c>
      <c r="O372">
        <v>0</v>
      </c>
      <c r="P372">
        <v>1</v>
      </c>
      <c r="Q372" s="15">
        <f t="shared" si="15"/>
        <v>0.26483333333333331</v>
      </c>
      <c r="R372" s="9">
        <f t="shared" si="16"/>
        <v>9000</v>
      </c>
      <c r="S372" s="9">
        <f t="shared" si="17"/>
        <v>15889.999999999998</v>
      </c>
    </row>
    <row r="373" spans="1:19" x14ac:dyDescent="0.25">
      <c r="A373" t="s">
        <v>1192</v>
      </c>
      <c r="B373">
        <v>30019</v>
      </c>
      <c r="C373" s="8">
        <v>45644</v>
      </c>
      <c r="D373" t="s">
        <v>1454</v>
      </c>
      <c r="E373" s="11">
        <v>6</v>
      </c>
      <c r="F373" t="s">
        <v>805</v>
      </c>
      <c r="G373" t="s">
        <v>1194</v>
      </c>
      <c r="H373" s="12">
        <v>67000</v>
      </c>
      <c r="I373" s="9">
        <v>0</v>
      </c>
      <c r="J373" s="15">
        <v>0.15</v>
      </c>
      <c r="K373" s="12">
        <v>6890</v>
      </c>
      <c r="L373" s="12">
        <v>5000</v>
      </c>
      <c r="M373" s="9">
        <v>0</v>
      </c>
      <c r="N373" s="12">
        <v>0</v>
      </c>
      <c r="O373">
        <v>0</v>
      </c>
      <c r="P373">
        <v>1</v>
      </c>
      <c r="Q373" s="15">
        <f t="shared" si="15"/>
        <v>0.25283582089552237</v>
      </c>
      <c r="R373" s="9">
        <f t="shared" si="16"/>
        <v>10050</v>
      </c>
      <c r="S373" s="9">
        <f t="shared" si="17"/>
        <v>16940</v>
      </c>
    </row>
    <row r="374" spans="1:19" x14ac:dyDescent="0.25">
      <c r="A374" t="s">
        <v>210</v>
      </c>
      <c r="B374" t="s">
        <v>783</v>
      </c>
      <c r="C374" s="8">
        <v>45604</v>
      </c>
      <c r="D374" t="s">
        <v>684</v>
      </c>
      <c r="E374" s="11">
        <v>6</v>
      </c>
      <c r="F374" t="s">
        <v>805</v>
      </c>
      <c r="G374" t="s">
        <v>213</v>
      </c>
      <c r="H374" s="12">
        <v>148500</v>
      </c>
      <c r="I374" s="9">
        <v>148500</v>
      </c>
      <c r="J374" s="15">
        <v>0.14000000000000001</v>
      </c>
      <c r="K374" s="12">
        <v>7722.0000000000009</v>
      </c>
      <c r="M374" s="9">
        <v>1459.4580000000001</v>
      </c>
      <c r="P374">
        <v>1</v>
      </c>
      <c r="Q374" s="15">
        <f t="shared" si="15"/>
        <v>0.20182800000000001</v>
      </c>
      <c r="R374" s="9">
        <f t="shared" si="16"/>
        <v>20790.000000000004</v>
      </c>
      <c r="S374" s="9">
        <f t="shared" si="17"/>
        <v>29971.458000000002</v>
      </c>
    </row>
    <row r="375" spans="1:19" x14ac:dyDescent="0.25">
      <c r="A375" t="s">
        <v>1192</v>
      </c>
      <c r="B375">
        <v>30019</v>
      </c>
      <c r="C375" s="8">
        <v>45632</v>
      </c>
      <c r="D375" t="s">
        <v>1415</v>
      </c>
      <c r="E375" s="11">
        <v>6</v>
      </c>
      <c r="F375" t="s">
        <v>819</v>
      </c>
      <c r="G375" t="s">
        <v>1195</v>
      </c>
      <c r="H375" s="12">
        <v>100000</v>
      </c>
      <c r="I375" s="9">
        <v>0</v>
      </c>
      <c r="J375" s="15">
        <v>0.15</v>
      </c>
      <c r="K375" s="12">
        <v>6890</v>
      </c>
      <c r="L375" s="12">
        <v>5000</v>
      </c>
      <c r="M375" s="9">
        <v>0</v>
      </c>
      <c r="N375" s="12">
        <v>0</v>
      </c>
      <c r="O375">
        <v>0</v>
      </c>
      <c r="P375">
        <v>1</v>
      </c>
      <c r="Q375" s="15">
        <f t="shared" si="15"/>
        <v>0.21890000000000001</v>
      </c>
      <c r="R375" s="9">
        <f t="shared" si="16"/>
        <v>15000</v>
      </c>
      <c r="S375" s="9">
        <f t="shared" si="17"/>
        <v>21890</v>
      </c>
    </row>
    <row r="376" spans="1:19" x14ac:dyDescent="0.25">
      <c r="A376" t="s">
        <v>1192</v>
      </c>
      <c r="B376">
        <v>30019</v>
      </c>
      <c r="C376" s="8">
        <v>45618</v>
      </c>
      <c r="D376" t="s">
        <v>1377</v>
      </c>
      <c r="E376" s="11">
        <v>6</v>
      </c>
      <c r="F376" t="s">
        <v>805</v>
      </c>
      <c r="G376" t="s">
        <v>1195</v>
      </c>
      <c r="H376" s="12">
        <v>112000</v>
      </c>
      <c r="I376" s="9">
        <v>0</v>
      </c>
      <c r="J376" s="15">
        <v>0.15</v>
      </c>
      <c r="K376" s="12">
        <v>6890</v>
      </c>
      <c r="L376" s="12">
        <v>5000</v>
      </c>
      <c r="M376" s="9">
        <v>0</v>
      </c>
      <c r="N376" s="12">
        <v>0</v>
      </c>
      <c r="O376">
        <v>0</v>
      </c>
      <c r="P376">
        <v>1</v>
      </c>
      <c r="Q376" s="15">
        <f t="shared" si="15"/>
        <v>0.21151785714285715</v>
      </c>
      <c r="R376" s="9">
        <f t="shared" si="16"/>
        <v>16800</v>
      </c>
      <c r="S376" s="9">
        <f t="shared" si="17"/>
        <v>23690</v>
      </c>
    </row>
    <row r="377" spans="1:19" x14ac:dyDescent="0.25">
      <c r="A377" t="s">
        <v>1496</v>
      </c>
      <c r="B377" t="s">
        <v>764</v>
      </c>
      <c r="C377" s="8">
        <v>45569</v>
      </c>
      <c r="D377" t="s">
        <v>1503</v>
      </c>
      <c r="E377" s="11" t="s">
        <v>201</v>
      </c>
      <c r="F377" t="s">
        <v>819</v>
      </c>
      <c r="G377" t="s">
        <v>767</v>
      </c>
      <c r="H377" s="12">
        <v>500000000</v>
      </c>
      <c r="I377" s="9">
        <v>271207726</v>
      </c>
      <c r="J377" s="15">
        <v>7.4999999999999997E-2</v>
      </c>
      <c r="K377" s="12">
        <v>2000000</v>
      </c>
      <c r="L377" s="12">
        <v>0</v>
      </c>
      <c r="M377" s="9">
        <v>0</v>
      </c>
      <c r="N377" s="12">
        <v>0</v>
      </c>
      <c r="O377">
        <v>0</v>
      </c>
      <c r="P377">
        <v>1</v>
      </c>
      <c r="Q377" s="15">
        <f t="shared" si="15"/>
        <v>7.9000000000000001E-2</v>
      </c>
      <c r="R377" s="9">
        <f t="shared" si="16"/>
        <v>37500000</v>
      </c>
      <c r="S377" s="9">
        <f t="shared" si="17"/>
        <v>39500000</v>
      </c>
    </row>
    <row r="378" spans="1:19" x14ac:dyDescent="0.25">
      <c r="A378" t="s">
        <v>29</v>
      </c>
      <c r="B378">
        <v>30012</v>
      </c>
      <c r="C378" s="8">
        <v>45594</v>
      </c>
      <c r="D378" t="s">
        <v>1024</v>
      </c>
      <c r="E378" s="11" t="s">
        <v>205</v>
      </c>
      <c r="F378" t="s">
        <v>819</v>
      </c>
      <c r="G378" t="s">
        <v>1025</v>
      </c>
      <c r="H378" s="12">
        <v>500000000</v>
      </c>
      <c r="I378" s="9">
        <v>460610135</v>
      </c>
      <c r="J378" s="15">
        <v>8.5000000000000006E-2</v>
      </c>
      <c r="K378" s="12">
        <v>10000000</v>
      </c>
      <c r="L378" s="12">
        <v>0</v>
      </c>
      <c r="M378" s="9">
        <v>0</v>
      </c>
      <c r="N378" s="12">
        <v>6090289.5627777772</v>
      </c>
      <c r="O378">
        <v>56</v>
      </c>
      <c r="Q378" s="15">
        <f t="shared" si="15"/>
        <v>0.105</v>
      </c>
      <c r="R378" s="9">
        <f t="shared" si="16"/>
        <v>42500000</v>
      </c>
      <c r="S378" s="9">
        <f t="shared" si="17"/>
        <v>52500000</v>
      </c>
    </row>
    <row r="379" spans="1:19" x14ac:dyDescent="0.25">
      <c r="A379" t="s">
        <v>29</v>
      </c>
      <c r="B379">
        <v>30012</v>
      </c>
      <c r="C379" s="8">
        <v>45629</v>
      </c>
      <c r="D379" t="s">
        <v>928</v>
      </c>
      <c r="E379" s="11">
        <v>6</v>
      </c>
      <c r="F379" t="s">
        <v>805</v>
      </c>
      <c r="H379" s="12">
        <v>117500</v>
      </c>
      <c r="I379" s="9">
        <v>118712</v>
      </c>
      <c r="J379" s="15">
        <v>0.1</v>
      </c>
      <c r="K379" s="12">
        <v>0</v>
      </c>
      <c r="L379" s="12">
        <v>0</v>
      </c>
      <c r="M379" s="9">
        <v>0</v>
      </c>
      <c r="N379" s="12">
        <v>2044.4844444444445</v>
      </c>
      <c r="O379">
        <v>62</v>
      </c>
      <c r="Q379" s="15">
        <f t="shared" si="15"/>
        <v>0.1</v>
      </c>
      <c r="R379" s="9">
        <f t="shared" si="16"/>
        <v>11750</v>
      </c>
      <c r="S379" s="9">
        <f t="shared" si="17"/>
        <v>11750</v>
      </c>
    </row>
    <row r="380" spans="1:19" x14ac:dyDescent="0.25">
      <c r="A380" t="s">
        <v>29</v>
      </c>
      <c r="B380">
        <v>30012</v>
      </c>
      <c r="C380" s="8">
        <v>45642</v>
      </c>
      <c r="D380" t="s">
        <v>869</v>
      </c>
      <c r="E380" s="11">
        <v>6</v>
      </c>
      <c r="F380" t="s">
        <v>805</v>
      </c>
      <c r="H380" s="12">
        <v>95000</v>
      </c>
      <c r="I380" s="9">
        <v>95463</v>
      </c>
      <c r="J380" s="15">
        <v>0.1</v>
      </c>
      <c r="K380" s="12">
        <v>0</v>
      </c>
      <c r="L380" s="12">
        <v>0</v>
      </c>
      <c r="M380" s="9">
        <v>0</v>
      </c>
      <c r="N380" s="12">
        <v>901.59500000000003</v>
      </c>
      <c r="O380">
        <v>34</v>
      </c>
      <c r="Q380" s="15">
        <f t="shared" si="15"/>
        <v>0.1</v>
      </c>
      <c r="R380" s="9">
        <f t="shared" si="16"/>
        <v>9500</v>
      </c>
      <c r="S380" s="9">
        <f t="shared" si="17"/>
        <v>9500</v>
      </c>
    </row>
    <row r="381" spans="1:19" x14ac:dyDescent="0.25">
      <c r="A381" t="s">
        <v>1192</v>
      </c>
      <c r="B381">
        <v>30019</v>
      </c>
      <c r="C381" s="8">
        <v>45589</v>
      </c>
      <c r="D381" t="s">
        <v>1291</v>
      </c>
      <c r="E381" s="11">
        <v>6</v>
      </c>
      <c r="F381" t="s">
        <v>1196</v>
      </c>
      <c r="G381" t="s">
        <v>1195</v>
      </c>
      <c r="H381" s="12">
        <v>97000</v>
      </c>
      <c r="I381" s="9">
        <v>0</v>
      </c>
      <c r="J381" s="15">
        <v>0.13500000000000001</v>
      </c>
      <c r="K381" s="12">
        <v>6890</v>
      </c>
      <c r="L381" s="12">
        <v>5000</v>
      </c>
      <c r="M381" s="9">
        <v>0</v>
      </c>
      <c r="N381" s="12">
        <v>0</v>
      </c>
      <c r="O381">
        <v>0</v>
      </c>
      <c r="P381">
        <v>1</v>
      </c>
      <c r="Q381" s="15">
        <f t="shared" si="15"/>
        <v>0.20603092783505156</v>
      </c>
      <c r="R381" s="9">
        <f t="shared" si="16"/>
        <v>13095</v>
      </c>
      <c r="S381" s="9">
        <f t="shared" si="17"/>
        <v>19985</v>
      </c>
    </row>
    <row r="382" spans="1:19" x14ac:dyDescent="0.25">
      <c r="A382" t="s">
        <v>29</v>
      </c>
      <c r="B382">
        <v>30012</v>
      </c>
      <c r="C382" s="8">
        <v>45587</v>
      </c>
      <c r="D382" t="s">
        <v>1045</v>
      </c>
      <c r="E382" s="11">
        <v>6</v>
      </c>
      <c r="F382" t="s">
        <v>822</v>
      </c>
      <c r="H382" s="12">
        <v>60000</v>
      </c>
      <c r="I382" s="9">
        <v>54656</v>
      </c>
      <c r="J382" s="15">
        <v>0.1</v>
      </c>
      <c r="K382" s="12">
        <v>0</v>
      </c>
      <c r="L382" s="12">
        <v>0</v>
      </c>
      <c r="M382" s="9">
        <v>0</v>
      </c>
      <c r="N382" s="12">
        <v>1047.5733333333335</v>
      </c>
      <c r="O382">
        <v>69</v>
      </c>
      <c r="Q382" s="15">
        <f t="shared" si="15"/>
        <v>0.1</v>
      </c>
      <c r="R382" s="9">
        <f t="shared" si="16"/>
        <v>6000</v>
      </c>
      <c r="S382" s="9">
        <f t="shared" si="17"/>
        <v>6000</v>
      </c>
    </row>
    <row r="383" spans="1:19" x14ac:dyDescent="0.25">
      <c r="A383" t="s">
        <v>1192</v>
      </c>
      <c r="B383">
        <v>30019</v>
      </c>
      <c r="C383" s="8">
        <v>45572</v>
      </c>
      <c r="D383" t="s">
        <v>1226</v>
      </c>
      <c r="E383" s="11">
        <v>6</v>
      </c>
      <c r="F383" t="s">
        <v>805</v>
      </c>
      <c r="G383" t="s">
        <v>1195</v>
      </c>
      <c r="H383" s="12">
        <v>105000</v>
      </c>
      <c r="I383" s="9">
        <v>0</v>
      </c>
      <c r="J383" s="15">
        <v>0.15</v>
      </c>
      <c r="K383" s="12">
        <v>6890</v>
      </c>
      <c r="L383" s="12">
        <v>5000</v>
      </c>
      <c r="M383" s="9">
        <v>0</v>
      </c>
      <c r="N383" s="12">
        <v>0</v>
      </c>
      <c r="O383">
        <v>0</v>
      </c>
      <c r="P383">
        <v>1</v>
      </c>
      <c r="Q383" s="15">
        <f t="shared" si="15"/>
        <v>0.21561904761904763</v>
      </c>
      <c r="R383" s="9">
        <f t="shared" si="16"/>
        <v>15750</v>
      </c>
      <c r="S383" s="9">
        <f t="shared" si="17"/>
        <v>22640</v>
      </c>
    </row>
    <row r="384" spans="1:19" x14ac:dyDescent="0.25">
      <c r="A384" t="s">
        <v>1192</v>
      </c>
      <c r="B384">
        <v>30019</v>
      </c>
      <c r="C384" s="8">
        <v>45610</v>
      </c>
      <c r="D384" t="s">
        <v>1350</v>
      </c>
      <c r="E384" s="11">
        <v>6</v>
      </c>
      <c r="F384" t="s">
        <v>805</v>
      </c>
      <c r="G384" t="s">
        <v>1195</v>
      </c>
      <c r="H384" s="12">
        <v>82000</v>
      </c>
      <c r="I384" s="9">
        <v>0</v>
      </c>
      <c r="J384" s="15">
        <v>0.15</v>
      </c>
      <c r="K384" s="12">
        <v>6890</v>
      </c>
      <c r="L384" s="12">
        <v>5000</v>
      </c>
      <c r="M384" s="9">
        <v>0</v>
      </c>
      <c r="N384" s="12">
        <v>0</v>
      </c>
      <c r="O384">
        <v>0</v>
      </c>
      <c r="P384">
        <v>1</v>
      </c>
      <c r="Q384" s="15">
        <f t="shared" si="15"/>
        <v>0.23402439024390245</v>
      </c>
      <c r="R384" s="9">
        <f t="shared" si="16"/>
        <v>12300</v>
      </c>
      <c r="S384" s="9">
        <f t="shared" si="17"/>
        <v>19190</v>
      </c>
    </row>
    <row r="385" spans="1:19" x14ac:dyDescent="0.25">
      <c r="A385" t="s">
        <v>29</v>
      </c>
      <c r="B385">
        <v>30012</v>
      </c>
      <c r="C385" s="8">
        <v>45567</v>
      </c>
      <c r="D385" t="s">
        <v>1104</v>
      </c>
      <c r="E385" s="11">
        <v>6</v>
      </c>
      <c r="F385" t="s">
        <v>805</v>
      </c>
      <c r="H385" s="12">
        <v>91045</v>
      </c>
      <c r="I385" s="9">
        <v>91045</v>
      </c>
      <c r="J385" s="15">
        <v>0.15</v>
      </c>
      <c r="K385" s="12">
        <v>0</v>
      </c>
      <c r="L385" s="12">
        <v>0</v>
      </c>
      <c r="M385" s="9">
        <v>0</v>
      </c>
      <c r="N385" s="12">
        <v>3452.1229166666667</v>
      </c>
      <c r="O385">
        <v>91</v>
      </c>
      <c r="Q385" s="15">
        <f t="shared" si="15"/>
        <v>0.15</v>
      </c>
      <c r="R385" s="9">
        <f t="shared" si="16"/>
        <v>13656.75</v>
      </c>
      <c r="S385" s="9">
        <f t="shared" si="17"/>
        <v>13656.75</v>
      </c>
    </row>
    <row r="386" spans="1:19" x14ac:dyDescent="0.25">
      <c r="A386" t="s">
        <v>29</v>
      </c>
      <c r="B386">
        <v>30012</v>
      </c>
      <c r="C386" s="8">
        <v>45580</v>
      </c>
      <c r="D386" t="s">
        <v>1064</v>
      </c>
      <c r="E386" s="11">
        <v>6</v>
      </c>
      <c r="F386" t="s">
        <v>837</v>
      </c>
      <c r="H386" s="12">
        <v>180000</v>
      </c>
      <c r="I386" s="9">
        <v>181895</v>
      </c>
      <c r="J386" s="15">
        <v>0.1</v>
      </c>
      <c r="K386" s="12">
        <v>0</v>
      </c>
      <c r="L386" s="12">
        <v>0</v>
      </c>
      <c r="M386" s="9">
        <v>0</v>
      </c>
      <c r="N386" s="12">
        <v>3385.2680555555557</v>
      </c>
      <c r="O386">
        <v>67</v>
      </c>
      <c r="Q386" s="15">
        <f t="shared" ref="Q386:Q449" si="18">((H386*J386)+K386+M386)/H386</f>
        <v>0.1</v>
      </c>
      <c r="R386" s="9">
        <f t="shared" ref="R386:R449" si="19">J386*H386</f>
        <v>18000</v>
      </c>
      <c r="S386" s="9">
        <f t="shared" ref="S386:S449" si="20">Q386*H386</f>
        <v>18000</v>
      </c>
    </row>
    <row r="387" spans="1:19" x14ac:dyDescent="0.25">
      <c r="A387" t="s">
        <v>29</v>
      </c>
      <c r="B387">
        <v>30012</v>
      </c>
      <c r="C387" s="8">
        <v>45576</v>
      </c>
      <c r="D387" t="s">
        <v>1072</v>
      </c>
      <c r="E387" s="11">
        <v>6</v>
      </c>
      <c r="F387" t="s">
        <v>819</v>
      </c>
      <c r="H387" s="12">
        <v>100000</v>
      </c>
      <c r="I387" s="9">
        <v>99171</v>
      </c>
      <c r="J387" s="15">
        <v>0.1</v>
      </c>
      <c r="K387" s="12">
        <v>0</v>
      </c>
      <c r="L387" s="12">
        <v>0</v>
      </c>
      <c r="M387" s="9">
        <v>0</v>
      </c>
      <c r="N387" s="12">
        <v>2286.4425000000001</v>
      </c>
      <c r="O387">
        <v>83</v>
      </c>
      <c r="Q387" s="15">
        <f t="shared" si="18"/>
        <v>0.1</v>
      </c>
      <c r="R387" s="9">
        <f t="shared" si="19"/>
        <v>10000</v>
      </c>
      <c r="S387" s="9">
        <f t="shared" si="20"/>
        <v>10000</v>
      </c>
    </row>
    <row r="388" spans="1:19" x14ac:dyDescent="0.25">
      <c r="A388" t="s">
        <v>1192</v>
      </c>
      <c r="B388">
        <v>30019</v>
      </c>
      <c r="C388" s="8">
        <v>45657</v>
      </c>
      <c r="D388" t="s">
        <v>1481</v>
      </c>
      <c r="E388" s="11">
        <v>6</v>
      </c>
      <c r="F388" t="s">
        <v>1482</v>
      </c>
      <c r="G388" t="s">
        <v>1206</v>
      </c>
      <c r="H388" s="12">
        <v>45000</v>
      </c>
      <c r="I388" s="9">
        <v>0</v>
      </c>
      <c r="J388" s="15">
        <v>0.15</v>
      </c>
      <c r="K388" s="12">
        <v>6890</v>
      </c>
      <c r="L388" s="12">
        <v>5000</v>
      </c>
      <c r="M388" s="9">
        <v>0</v>
      </c>
      <c r="N388" s="12">
        <v>0</v>
      </c>
      <c r="O388">
        <v>0</v>
      </c>
      <c r="P388">
        <v>1</v>
      </c>
      <c r="Q388" s="15">
        <f t="shared" si="18"/>
        <v>0.30311111111111111</v>
      </c>
      <c r="R388" s="9">
        <f t="shared" si="19"/>
        <v>6750</v>
      </c>
      <c r="S388" s="9">
        <f t="shared" si="20"/>
        <v>13640</v>
      </c>
    </row>
    <row r="389" spans="1:19" x14ac:dyDescent="0.25">
      <c r="A389" t="s">
        <v>1192</v>
      </c>
      <c r="B389">
        <v>30019</v>
      </c>
      <c r="C389" s="8">
        <v>45588</v>
      </c>
      <c r="D389" t="s">
        <v>1290</v>
      </c>
      <c r="E389" s="11">
        <v>6</v>
      </c>
      <c r="F389" t="s">
        <v>805</v>
      </c>
      <c r="G389" t="s">
        <v>1194</v>
      </c>
      <c r="H389" s="12">
        <v>88500</v>
      </c>
      <c r="I389" s="9">
        <v>0</v>
      </c>
      <c r="J389" s="15">
        <v>0.15</v>
      </c>
      <c r="K389" s="12">
        <v>6890</v>
      </c>
      <c r="L389" s="12">
        <v>5000</v>
      </c>
      <c r="M389" s="9">
        <v>0</v>
      </c>
      <c r="N389" s="12">
        <v>0</v>
      </c>
      <c r="O389">
        <v>0</v>
      </c>
      <c r="P389">
        <v>1</v>
      </c>
      <c r="Q389" s="15">
        <f t="shared" si="18"/>
        <v>0.22785310734463277</v>
      </c>
      <c r="R389" s="9">
        <f t="shared" si="19"/>
        <v>13275</v>
      </c>
      <c r="S389" s="9">
        <f t="shared" si="20"/>
        <v>20165</v>
      </c>
    </row>
    <row r="390" spans="1:19" x14ac:dyDescent="0.25">
      <c r="A390" t="s">
        <v>210</v>
      </c>
      <c r="B390" t="s">
        <v>783</v>
      </c>
      <c r="C390" s="8">
        <v>45569</v>
      </c>
      <c r="D390" t="s">
        <v>1152</v>
      </c>
      <c r="E390" s="11">
        <v>6</v>
      </c>
      <c r="F390" t="s">
        <v>805</v>
      </c>
      <c r="G390" t="s">
        <v>213</v>
      </c>
      <c r="H390" s="12">
        <v>108500</v>
      </c>
      <c r="I390" s="9">
        <v>108500</v>
      </c>
      <c r="J390" s="15">
        <v>0.14000000000000001</v>
      </c>
      <c r="K390" s="12">
        <v>5642.0000000000009</v>
      </c>
      <c r="M390" s="9">
        <v>1066.3380000000002</v>
      </c>
      <c r="P390">
        <v>1</v>
      </c>
      <c r="Q390" s="15">
        <f t="shared" si="18"/>
        <v>0.20182800000000004</v>
      </c>
      <c r="R390" s="9">
        <f t="shared" si="19"/>
        <v>15190.000000000002</v>
      </c>
      <c r="S390" s="9">
        <f t="shared" si="20"/>
        <v>21898.338000000003</v>
      </c>
    </row>
    <row r="391" spans="1:19" x14ac:dyDescent="0.25">
      <c r="A391" t="s">
        <v>1192</v>
      </c>
      <c r="B391">
        <v>30019</v>
      </c>
      <c r="C391" s="8">
        <v>45657</v>
      </c>
      <c r="D391" t="s">
        <v>1480</v>
      </c>
      <c r="E391" s="11">
        <v>6</v>
      </c>
      <c r="F391" t="s">
        <v>805</v>
      </c>
      <c r="G391" t="s">
        <v>1194</v>
      </c>
      <c r="H391" s="12">
        <v>30000</v>
      </c>
      <c r="I391" s="9">
        <v>0</v>
      </c>
      <c r="J391" s="15">
        <v>0.15</v>
      </c>
      <c r="K391" s="12">
        <v>6890</v>
      </c>
      <c r="L391" s="12">
        <v>5000</v>
      </c>
      <c r="M391" s="9">
        <v>0</v>
      </c>
      <c r="N391" s="12">
        <v>0</v>
      </c>
      <c r="O391">
        <v>0</v>
      </c>
      <c r="P391">
        <v>1</v>
      </c>
      <c r="Q391" s="15">
        <f t="shared" si="18"/>
        <v>0.37966666666666665</v>
      </c>
      <c r="R391" s="9">
        <f t="shared" si="19"/>
        <v>4500</v>
      </c>
      <c r="S391" s="9">
        <f t="shared" si="20"/>
        <v>11390</v>
      </c>
    </row>
    <row r="392" spans="1:19" x14ac:dyDescent="0.25">
      <c r="A392" t="s">
        <v>29</v>
      </c>
      <c r="B392">
        <v>30012</v>
      </c>
      <c r="C392" s="8">
        <v>45593</v>
      </c>
      <c r="D392" t="s">
        <v>1031</v>
      </c>
      <c r="E392" s="11">
        <v>6</v>
      </c>
      <c r="F392" t="s">
        <v>805</v>
      </c>
      <c r="H392" s="12">
        <v>50000</v>
      </c>
      <c r="I392" s="9">
        <v>50240</v>
      </c>
      <c r="J392" s="15">
        <v>0.1</v>
      </c>
      <c r="K392" s="12">
        <v>0</v>
      </c>
      <c r="L392" s="12">
        <v>0</v>
      </c>
      <c r="M392" s="9">
        <v>0</v>
      </c>
      <c r="N392" s="12">
        <v>1018.7555555555556</v>
      </c>
      <c r="O392">
        <v>73</v>
      </c>
      <c r="Q392" s="15">
        <f t="shared" si="18"/>
        <v>0.1</v>
      </c>
      <c r="R392" s="9">
        <f t="shared" si="19"/>
        <v>5000</v>
      </c>
      <c r="S392" s="9">
        <f t="shared" si="20"/>
        <v>5000</v>
      </c>
    </row>
    <row r="393" spans="1:19" x14ac:dyDescent="0.25">
      <c r="A393" t="s">
        <v>29</v>
      </c>
      <c r="B393">
        <v>30012</v>
      </c>
      <c r="C393" s="8">
        <v>45609</v>
      </c>
      <c r="D393" t="s">
        <v>974</v>
      </c>
      <c r="E393" s="11">
        <v>6</v>
      </c>
      <c r="F393" t="s">
        <v>805</v>
      </c>
      <c r="H393" s="12">
        <v>141000</v>
      </c>
      <c r="I393" s="9">
        <v>186754</v>
      </c>
      <c r="J393" s="15">
        <v>0.1</v>
      </c>
      <c r="K393" s="12">
        <v>0</v>
      </c>
      <c r="L393" s="12">
        <v>0</v>
      </c>
      <c r="M393" s="9">
        <v>0</v>
      </c>
      <c r="N393" s="12">
        <v>2230.6727777777778</v>
      </c>
      <c r="O393">
        <v>43</v>
      </c>
      <c r="Q393" s="15">
        <f t="shared" si="18"/>
        <v>0.1</v>
      </c>
      <c r="R393" s="9">
        <f t="shared" si="19"/>
        <v>14100</v>
      </c>
      <c r="S393" s="9">
        <f t="shared" si="20"/>
        <v>14100</v>
      </c>
    </row>
    <row r="394" spans="1:19" x14ac:dyDescent="0.25">
      <c r="A394" t="s">
        <v>29</v>
      </c>
      <c r="B394">
        <v>30012</v>
      </c>
      <c r="C394" s="8">
        <v>45642</v>
      </c>
      <c r="D394" t="s">
        <v>870</v>
      </c>
      <c r="E394" s="11">
        <v>6</v>
      </c>
      <c r="F394" t="s">
        <v>819</v>
      </c>
      <c r="H394" s="12">
        <v>750000</v>
      </c>
      <c r="I394" s="9">
        <v>763697</v>
      </c>
      <c r="J394" s="15">
        <v>0.1</v>
      </c>
      <c r="K394" s="12">
        <v>0</v>
      </c>
      <c r="L394" s="12">
        <v>0</v>
      </c>
      <c r="M394" s="9">
        <v>0</v>
      </c>
      <c r="N394" s="12">
        <v>15698.216111111111</v>
      </c>
      <c r="O394">
        <v>74</v>
      </c>
      <c r="Q394" s="15">
        <f t="shared" si="18"/>
        <v>0.1</v>
      </c>
      <c r="R394" s="9">
        <f t="shared" si="19"/>
        <v>75000</v>
      </c>
      <c r="S394" s="9">
        <f t="shared" si="20"/>
        <v>75000</v>
      </c>
    </row>
    <row r="395" spans="1:19" x14ac:dyDescent="0.25">
      <c r="A395" t="s">
        <v>29</v>
      </c>
      <c r="B395">
        <v>30012</v>
      </c>
      <c r="C395" s="8">
        <v>45567</v>
      </c>
      <c r="D395" t="s">
        <v>1105</v>
      </c>
      <c r="E395" s="11">
        <v>6</v>
      </c>
      <c r="F395" t="s">
        <v>805</v>
      </c>
      <c r="H395" s="12">
        <v>91503</v>
      </c>
      <c r="I395" s="9">
        <v>91503</v>
      </c>
      <c r="J395" s="15">
        <v>0.15</v>
      </c>
      <c r="K395" s="12">
        <v>0</v>
      </c>
      <c r="L395" s="12">
        <v>0</v>
      </c>
      <c r="M395" s="9">
        <v>0</v>
      </c>
      <c r="N395" s="12">
        <v>3469.48875</v>
      </c>
      <c r="O395">
        <v>91</v>
      </c>
      <c r="Q395" s="15">
        <f t="shared" si="18"/>
        <v>0.15</v>
      </c>
      <c r="R395" s="9">
        <f t="shared" si="19"/>
        <v>13725.449999999999</v>
      </c>
      <c r="S395" s="9">
        <f t="shared" si="20"/>
        <v>13725.449999999999</v>
      </c>
    </row>
    <row r="396" spans="1:19" x14ac:dyDescent="0.25">
      <c r="A396" t="s">
        <v>29</v>
      </c>
      <c r="B396">
        <v>30012</v>
      </c>
      <c r="C396" s="8">
        <v>45636</v>
      </c>
      <c r="D396" t="s">
        <v>885</v>
      </c>
      <c r="E396" s="11">
        <v>6</v>
      </c>
      <c r="F396" t="s">
        <v>805</v>
      </c>
      <c r="H396" s="12">
        <v>50000</v>
      </c>
      <c r="I396" s="9">
        <v>50793</v>
      </c>
      <c r="J396" s="15">
        <v>0.1</v>
      </c>
      <c r="K396" s="12">
        <v>0</v>
      </c>
      <c r="L396" s="12">
        <v>0</v>
      </c>
      <c r="M396" s="9">
        <v>0</v>
      </c>
      <c r="N396" s="12">
        <v>1171.0608333333334</v>
      </c>
      <c r="O396">
        <v>83</v>
      </c>
      <c r="Q396" s="15">
        <f t="shared" si="18"/>
        <v>0.1</v>
      </c>
      <c r="R396" s="9">
        <f t="shared" si="19"/>
        <v>5000</v>
      </c>
      <c r="S396" s="9">
        <f t="shared" si="20"/>
        <v>5000</v>
      </c>
    </row>
    <row r="397" spans="1:19" x14ac:dyDescent="0.25">
      <c r="A397" t="s">
        <v>1192</v>
      </c>
      <c r="B397">
        <v>30019</v>
      </c>
      <c r="C397" s="8">
        <v>45618</v>
      </c>
      <c r="D397" t="s">
        <v>1381</v>
      </c>
      <c r="E397" s="11">
        <v>6</v>
      </c>
      <c r="F397" t="s">
        <v>805</v>
      </c>
      <c r="G397" t="s">
        <v>729</v>
      </c>
      <c r="H397" s="12">
        <v>60000</v>
      </c>
      <c r="I397" s="9">
        <v>0</v>
      </c>
      <c r="J397" s="15">
        <v>0.15</v>
      </c>
      <c r="K397" s="12">
        <v>6890</v>
      </c>
      <c r="L397" s="12">
        <v>5000</v>
      </c>
      <c r="M397" s="9">
        <v>0</v>
      </c>
      <c r="N397" s="12">
        <v>0</v>
      </c>
      <c r="O397">
        <v>0</v>
      </c>
      <c r="P397">
        <v>1</v>
      </c>
      <c r="Q397" s="15">
        <f t="shared" si="18"/>
        <v>0.26483333333333331</v>
      </c>
      <c r="R397" s="9">
        <f t="shared" si="19"/>
        <v>9000</v>
      </c>
      <c r="S397" s="9">
        <f t="shared" si="20"/>
        <v>15889.999999999998</v>
      </c>
    </row>
    <row r="398" spans="1:19" x14ac:dyDescent="0.25">
      <c r="A398" t="s">
        <v>1192</v>
      </c>
      <c r="B398">
        <v>30019</v>
      </c>
      <c r="C398" s="8">
        <v>45590</v>
      </c>
      <c r="D398" t="s">
        <v>1299</v>
      </c>
      <c r="E398" s="11">
        <v>6</v>
      </c>
      <c r="F398" t="s">
        <v>1196</v>
      </c>
      <c r="G398" t="s">
        <v>1195</v>
      </c>
      <c r="H398" s="12">
        <v>98000</v>
      </c>
      <c r="I398" s="9">
        <v>0</v>
      </c>
      <c r="J398" s="17">
        <v>0.06</v>
      </c>
      <c r="K398" s="12">
        <v>6890</v>
      </c>
      <c r="L398" s="12">
        <v>5000</v>
      </c>
      <c r="M398" s="9">
        <v>0</v>
      </c>
      <c r="N398" s="12">
        <v>0</v>
      </c>
      <c r="O398">
        <v>0</v>
      </c>
      <c r="P398">
        <v>1</v>
      </c>
      <c r="Q398" s="15">
        <f t="shared" si="18"/>
        <v>0.1303061224489796</v>
      </c>
      <c r="R398" s="9">
        <f t="shared" si="19"/>
        <v>5880</v>
      </c>
      <c r="S398" s="9">
        <f t="shared" si="20"/>
        <v>12770</v>
      </c>
    </row>
    <row r="399" spans="1:19" x14ac:dyDescent="0.25">
      <c r="A399" t="s">
        <v>1192</v>
      </c>
      <c r="B399">
        <v>30019</v>
      </c>
      <c r="C399" s="8">
        <v>45576</v>
      </c>
      <c r="D399" t="s">
        <v>1253</v>
      </c>
      <c r="E399" s="11">
        <v>6</v>
      </c>
      <c r="F399" t="s">
        <v>805</v>
      </c>
      <c r="G399" t="s">
        <v>1195</v>
      </c>
      <c r="H399" s="12">
        <v>84000</v>
      </c>
      <c r="I399" s="9">
        <v>0</v>
      </c>
      <c r="J399" s="15">
        <v>0.15</v>
      </c>
      <c r="K399" s="12">
        <v>6890</v>
      </c>
      <c r="L399" s="12">
        <v>5000</v>
      </c>
      <c r="M399" s="9">
        <v>0</v>
      </c>
      <c r="N399" s="12">
        <v>0</v>
      </c>
      <c r="O399">
        <v>0</v>
      </c>
      <c r="P399">
        <v>1</v>
      </c>
      <c r="Q399" s="15">
        <f t="shared" si="18"/>
        <v>0.23202380952380952</v>
      </c>
      <c r="R399" s="9">
        <f t="shared" si="19"/>
        <v>12600</v>
      </c>
      <c r="S399" s="9">
        <f t="shared" si="20"/>
        <v>19490</v>
      </c>
    </row>
    <row r="400" spans="1:19" x14ac:dyDescent="0.25">
      <c r="A400" t="s">
        <v>1192</v>
      </c>
      <c r="B400">
        <v>30019</v>
      </c>
      <c r="C400" s="8">
        <v>45604</v>
      </c>
      <c r="D400" t="s">
        <v>1332</v>
      </c>
      <c r="E400" s="11">
        <v>6</v>
      </c>
      <c r="F400" t="s">
        <v>805</v>
      </c>
      <c r="G400" t="s">
        <v>1194</v>
      </c>
      <c r="H400" s="12">
        <v>76000</v>
      </c>
      <c r="I400" s="9">
        <v>0</v>
      </c>
      <c r="J400" s="15">
        <v>0.15</v>
      </c>
      <c r="K400" s="12">
        <v>6890</v>
      </c>
      <c r="L400" s="12">
        <v>5000</v>
      </c>
      <c r="M400" s="9">
        <v>0</v>
      </c>
      <c r="N400" s="12">
        <v>0</v>
      </c>
      <c r="O400">
        <v>0</v>
      </c>
      <c r="P400">
        <v>1</v>
      </c>
      <c r="Q400" s="15">
        <f t="shared" si="18"/>
        <v>0.2406578947368421</v>
      </c>
      <c r="R400" s="9">
        <f t="shared" si="19"/>
        <v>11400</v>
      </c>
      <c r="S400" s="9">
        <f t="shared" si="20"/>
        <v>18290</v>
      </c>
    </row>
    <row r="401" spans="1:19" x14ac:dyDescent="0.25">
      <c r="A401" t="s">
        <v>1192</v>
      </c>
      <c r="B401">
        <v>30019</v>
      </c>
      <c r="C401" s="8">
        <v>45636</v>
      </c>
      <c r="D401" t="s">
        <v>1437</v>
      </c>
      <c r="E401" s="11">
        <v>6</v>
      </c>
      <c r="F401" t="s">
        <v>1438</v>
      </c>
      <c r="G401" t="s">
        <v>1229</v>
      </c>
      <c r="H401" s="12">
        <v>110000</v>
      </c>
      <c r="I401" s="9">
        <v>0</v>
      </c>
      <c r="J401" s="15">
        <v>0.1</v>
      </c>
      <c r="K401" s="12">
        <v>6890</v>
      </c>
      <c r="L401" s="12">
        <v>5000</v>
      </c>
      <c r="M401" s="9">
        <v>0</v>
      </c>
      <c r="N401" s="12">
        <v>0</v>
      </c>
      <c r="O401">
        <v>0</v>
      </c>
      <c r="P401">
        <v>1</v>
      </c>
      <c r="Q401" s="15">
        <f t="shared" si="18"/>
        <v>0.16263636363636363</v>
      </c>
      <c r="R401" s="9">
        <f t="shared" si="19"/>
        <v>11000</v>
      </c>
      <c r="S401" s="9">
        <f t="shared" si="20"/>
        <v>17890</v>
      </c>
    </row>
    <row r="402" spans="1:19" x14ac:dyDescent="0.25">
      <c r="A402" t="s">
        <v>1192</v>
      </c>
      <c r="B402">
        <v>30019</v>
      </c>
      <c r="C402" s="8">
        <v>45631</v>
      </c>
      <c r="D402" t="s">
        <v>1411</v>
      </c>
      <c r="E402" s="11">
        <v>6</v>
      </c>
      <c r="F402" t="s">
        <v>805</v>
      </c>
      <c r="G402" t="s">
        <v>1195</v>
      </c>
      <c r="H402" s="12">
        <v>81000</v>
      </c>
      <c r="I402" s="9">
        <v>0</v>
      </c>
      <c r="J402" s="15">
        <v>0.15</v>
      </c>
      <c r="K402" s="12">
        <v>6890</v>
      </c>
      <c r="L402" s="12">
        <v>5000</v>
      </c>
      <c r="M402" s="9">
        <v>0</v>
      </c>
      <c r="N402" s="12">
        <v>0</v>
      </c>
      <c r="O402">
        <v>0</v>
      </c>
      <c r="P402">
        <v>1</v>
      </c>
      <c r="Q402" s="15">
        <f t="shared" si="18"/>
        <v>0.23506172839506173</v>
      </c>
      <c r="R402" s="9">
        <f t="shared" si="19"/>
        <v>12150</v>
      </c>
      <c r="S402" s="9">
        <f t="shared" si="20"/>
        <v>19040</v>
      </c>
    </row>
    <row r="403" spans="1:19" x14ac:dyDescent="0.25">
      <c r="A403" t="s">
        <v>1192</v>
      </c>
      <c r="B403">
        <v>30019</v>
      </c>
      <c r="C403" s="8">
        <v>45569</v>
      </c>
      <c r="D403" t="s">
        <v>1216</v>
      </c>
      <c r="E403" s="11">
        <v>6</v>
      </c>
      <c r="F403" t="s">
        <v>805</v>
      </c>
      <c r="G403" t="s">
        <v>1195</v>
      </c>
      <c r="H403" s="12">
        <v>113000</v>
      </c>
      <c r="I403" s="9">
        <v>0</v>
      </c>
      <c r="J403" s="15">
        <v>0.15</v>
      </c>
      <c r="K403" s="12">
        <v>6890</v>
      </c>
      <c r="L403" s="12">
        <v>5000</v>
      </c>
      <c r="M403" s="9">
        <v>0</v>
      </c>
      <c r="N403" s="12">
        <v>0</v>
      </c>
      <c r="O403">
        <v>0</v>
      </c>
      <c r="P403">
        <v>1</v>
      </c>
      <c r="Q403" s="15">
        <f t="shared" si="18"/>
        <v>0.21097345132743364</v>
      </c>
      <c r="R403" s="9">
        <f t="shared" si="19"/>
        <v>16950</v>
      </c>
      <c r="S403" s="9">
        <f t="shared" si="20"/>
        <v>23840</v>
      </c>
    </row>
    <row r="404" spans="1:19" x14ac:dyDescent="0.25">
      <c r="A404" t="s">
        <v>210</v>
      </c>
      <c r="B404" t="s">
        <v>783</v>
      </c>
      <c r="C404" s="8">
        <v>45575</v>
      </c>
      <c r="D404" t="s">
        <v>1151</v>
      </c>
      <c r="E404" s="11">
        <v>6</v>
      </c>
      <c r="F404" t="s">
        <v>805</v>
      </c>
      <c r="G404" t="s">
        <v>213</v>
      </c>
      <c r="H404" s="12">
        <v>45965</v>
      </c>
      <c r="I404" s="9">
        <v>45965</v>
      </c>
      <c r="J404" s="15">
        <v>0.14000000000000001</v>
      </c>
      <c r="K404" s="12">
        <v>2390.1800000000003</v>
      </c>
      <c r="M404" s="9">
        <v>451.74402000000003</v>
      </c>
      <c r="P404">
        <v>1</v>
      </c>
      <c r="Q404" s="15">
        <f t="shared" si="18"/>
        <v>0.20182800000000001</v>
      </c>
      <c r="R404" s="9">
        <f t="shared" si="19"/>
        <v>6435.1</v>
      </c>
      <c r="S404" s="9">
        <f t="shared" si="20"/>
        <v>9277.0240200000007</v>
      </c>
    </row>
    <row r="405" spans="1:19" x14ac:dyDescent="0.25">
      <c r="A405" t="s">
        <v>210</v>
      </c>
      <c r="B405" t="s">
        <v>783</v>
      </c>
      <c r="C405" s="8">
        <v>45609</v>
      </c>
      <c r="D405" t="s">
        <v>1150</v>
      </c>
      <c r="E405" s="11">
        <v>6</v>
      </c>
      <c r="F405" t="s">
        <v>805</v>
      </c>
      <c r="G405" t="s">
        <v>213</v>
      </c>
      <c r="H405" s="12">
        <v>45500</v>
      </c>
      <c r="I405" s="9">
        <v>45500</v>
      </c>
      <c r="J405" s="15">
        <v>0.14000000000000001</v>
      </c>
      <c r="K405" s="12">
        <v>2366</v>
      </c>
      <c r="M405" s="9">
        <v>447.17399999999998</v>
      </c>
      <c r="P405">
        <v>1</v>
      </c>
      <c r="Q405" s="15">
        <f t="shared" si="18"/>
        <v>0.20182799999999998</v>
      </c>
      <c r="R405" s="9">
        <f t="shared" si="19"/>
        <v>6370.0000000000009</v>
      </c>
      <c r="S405" s="9">
        <f t="shared" si="20"/>
        <v>9183.1739999999991</v>
      </c>
    </row>
    <row r="406" spans="1:19" x14ac:dyDescent="0.25">
      <c r="A406" t="s">
        <v>29</v>
      </c>
      <c r="B406">
        <v>30012</v>
      </c>
      <c r="C406" s="8">
        <v>45579</v>
      </c>
      <c r="D406" t="s">
        <v>1070</v>
      </c>
      <c r="E406" s="11">
        <v>6</v>
      </c>
      <c r="F406" t="s">
        <v>805</v>
      </c>
      <c r="H406" s="12">
        <v>300000</v>
      </c>
      <c r="I406" s="9">
        <v>299958</v>
      </c>
      <c r="J406" s="15">
        <v>0.1</v>
      </c>
      <c r="K406" s="12">
        <v>0</v>
      </c>
      <c r="L406" s="12">
        <v>0</v>
      </c>
      <c r="M406" s="9">
        <v>0</v>
      </c>
      <c r="N406" s="12">
        <v>6832.376666666667</v>
      </c>
      <c r="O406">
        <v>82</v>
      </c>
      <c r="Q406" s="15">
        <f t="shared" si="18"/>
        <v>0.1</v>
      </c>
      <c r="R406" s="9">
        <f t="shared" si="19"/>
        <v>30000</v>
      </c>
      <c r="S406" s="9">
        <f t="shared" si="20"/>
        <v>30000</v>
      </c>
    </row>
    <row r="407" spans="1:19" x14ac:dyDescent="0.25">
      <c r="A407" t="s">
        <v>29</v>
      </c>
      <c r="B407">
        <v>30012</v>
      </c>
      <c r="C407" s="8">
        <v>45597</v>
      </c>
      <c r="D407" t="s">
        <v>1012</v>
      </c>
      <c r="E407" s="11">
        <v>6</v>
      </c>
      <c r="F407" t="s">
        <v>805</v>
      </c>
      <c r="H407" s="12">
        <v>212543</v>
      </c>
      <c r="I407" s="9">
        <v>212543</v>
      </c>
      <c r="J407" s="15">
        <v>0.15</v>
      </c>
      <c r="K407" s="12">
        <v>0</v>
      </c>
      <c r="L407" s="12">
        <v>0</v>
      </c>
      <c r="M407" s="9">
        <v>0</v>
      </c>
      <c r="N407" s="12">
        <v>5402.1345833333326</v>
      </c>
      <c r="O407">
        <v>61</v>
      </c>
      <c r="Q407" s="15">
        <f t="shared" si="18"/>
        <v>0.15</v>
      </c>
      <c r="R407" s="9">
        <f t="shared" si="19"/>
        <v>31881.449999999997</v>
      </c>
      <c r="S407" s="9">
        <f t="shared" si="20"/>
        <v>31881.449999999997</v>
      </c>
    </row>
    <row r="408" spans="1:19" x14ac:dyDescent="0.25">
      <c r="A408" t="s">
        <v>29</v>
      </c>
      <c r="B408">
        <v>30012</v>
      </c>
      <c r="C408" s="8">
        <v>45597</v>
      </c>
      <c r="D408" t="s">
        <v>1007</v>
      </c>
      <c r="E408" s="11">
        <v>6</v>
      </c>
      <c r="F408" t="s">
        <v>805</v>
      </c>
      <c r="H408" s="12">
        <v>140316</v>
      </c>
      <c r="I408" s="9">
        <v>140316</v>
      </c>
      <c r="J408" s="15">
        <v>0.15</v>
      </c>
      <c r="K408" s="12">
        <v>0</v>
      </c>
      <c r="L408" s="12">
        <v>0</v>
      </c>
      <c r="M408" s="9">
        <v>0</v>
      </c>
      <c r="N408" s="12">
        <v>3566.3649999999998</v>
      </c>
      <c r="O408">
        <v>61</v>
      </c>
      <c r="Q408" s="15">
        <f t="shared" si="18"/>
        <v>0.15</v>
      </c>
      <c r="R408" s="9">
        <f t="shared" si="19"/>
        <v>21047.399999999998</v>
      </c>
      <c r="S408" s="9">
        <f t="shared" si="20"/>
        <v>21047.399999999998</v>
      </c>
    </row>
    <row r="409" spans="1:19" x14ac:dyDescent="0.25">
      <c r="A409" t="s">
        <v>670</v>
      </c>
      <c r="B409">
        <v>30018</v>
      </c>
      <c r="C409" s="8">
        <v>45628</v>
      </c>
      <c r="D409" t="s">
        <v>1129</v>
      </c>
      <c r="E409" s="11">
        <v>6</v>
      </c>
      <c r="F409" t="s">
        <v>819</v>
      </c>
      <c r="G409" t="s">
        <v>672</v>
      </c>
      <c r="H409" s="12">
        <v>700000</v>
      </c>
      <c r="I409" s="9">
        <v>0</v>
      </c>
      <c r="J409" s="15">
        <v>0.15</v>
      </c>
      <c r="K409" s="12">
        <v>10000</v>
      </c>
      <c r="L409" s="12">
        <v>13438</v>
      </c>
      <c r="M409" s="9">
        <v>39000</v>
      </c>
      <c r="N409" s="12">
        <v>3919</v>
      </c>
      <c r="O409">
        <v>12</v>
      </c>
      <c r="P409">
        <v>1</v>
      </c>
      <c r="Q409" s="15">
        <f t="shared" si="18"/>
        <v>0.22</v>
      </c>
      <c r="R409" s="9">
        <f t="shared" si="19"/>
        <v>105000</v>
      </c>
      <c r="S409" s="9">
        <f t="shared" si="20"/>
        <v>154000</v>
      </c>
    </row>
    <row r="410" spans="1:19" x14ac:dyDescent="0.25">
      <c r="A410" t="s">
        <v>1192</v>
      </c>
      <c r="B410">
        <v>30019</v>
      </c>
      <c r="C410" s="8">
        <v>45569</v>
      </c>
      <c r="D410" t="s">
        <v>1214</v>
      </c>
      <c r="E410" s="11">
        <v>6</v>
      </c>
      <c r="F410" t="s">
        <v>805</v>
      </c>
      <c r="G410" t="s">
        <v>1215</v>
      </c>
      <c r="H410" s="12">
        <v>76000</v>
      </c>
      <c r="I410" s="9">
        <v>0</v>
      </c>
      <c r="J410" s="15">
        <v>0.15</v>
      </c>
      <c r="K410" s="12">
        <v>6890</v>
      </c>
      <c r="L410" s="12">
        <v>5000</v>
      </c>
      <c r="M410" s="9">
        <v>0</v>
      </c>
      <c r="N410" s="12">
        <v>0</v>
      </c>
      <c r="O410">
        <v>0</v>
      </c>
      <c r="P410">
        <v>1</v>
      </c>
      <c r="Q410" s="15">
        <f t="shared" si="18"/>
        <v>0.2406578947368421</v>
      </c>
      <c r="R410" s="9">
        <f t="shared" si="19"/>
        <v>11400</v>
      </c>
      <c r="S410" s="9">
        <f t="shared" si="20"/>
        <v>18290</v>
      </c>
    </row>
    <row r="411" spans="1:19" x14ac:dyDescent="0.25">
      <c r="A411" t="s">
        <v>1192</v>
      </c>
      <c r="B411">
        <v>30019</v>
      </c>
      <c r="C411" s="8">
        <v>45657</v>
      </c>
      <c r="D411" t="s">
        <v>1479</v>
      </c>
      <c r="E411" s="11">
        <v>6</v>
      </c>
      <c r="F411" t="s">
        <v>805</v>
      </c>
      <c r="G411" t="s">
        <v>1194</v>
      </c>
      <c r="H411" s="12">
        <v>102000</v>
      </c>
      <c r="I411" s="9">
        <v>0</v>
      </c>
      <c r="J411" s="15">
        <v>0.15</v>
      </c>
      <c r="K411" s="12">
        <v>6890</v>
      </c>
      <c r="L411" s="12">
        <v>5000</v>
      </c>
      <c r="M411" s="9">
        <v>0</v>
      </c>
      <c r="N411" s="12">
        <v>0</v>
      </c>
      <c r="O411">
        <v>0</v>
      </c>
      <c r="P411">
        <v>1</v>
      </c>
      <c r="Q411" s="15">
        <f t="shared" si="18"/>
        <v>0.21754901960784315</v>
      </c>
      <c r="R411" s="9">
        <f t="shared" si="19"/>
        <v>15300</v>
      </c>
      <c r="S411" s="9">
        <f t="shared" si="20"/>
        <v>22190</v>
      </c>
    </row>
    <row r="412" spans="1:19" x14ac:dyDescent="0.25">
      <c r="A412" t="s">
        <v>210</v>
      </c>
      <c r="B412" t="s">
        <v>783</v>
      </c>
      <c r="C412" s="8">
        <v>45610</v>
      </c>
      <c r="D412" t="s">
        <v>683</v>
      </c>
      <c r="E412" s="11">
        <v>6</v>
      </c>
      <c r="F412" t="s">
        <v>805</v>
      </c>
      <c r="G412" t="s">
        <v>213</v>
      </c>
      <c r="H412" s="12">
        <v>64364</v>
      </c>
      <c r="I412" s="9">
        <v>64364</v>
      </c>
      <c r="J412" s="15">
        <v>0.14000000000000001</v>
      </c>
      <c r="K412" s="12">
        <v>3346.9280000000003</v>
      </c>
      <c r="M412" s="9">
        <v>632.56939199999999</v>
      </c>
      <c r="P412">
        <v>1</v>
      </c>
      <c r="Q412" s="15">
        <f t="shared" si="18"/>
        <v>0.20182800000000001</v>
      </c>
      <c r="R412" s="9">
        <f t="shared" si="19"/>
        <v>9010.9600000000009</v>
      </c>
      <c r="S412" s="9">
        <f t="shared" si="20"/>
        <v>12990.457392</v>
      </c>
    </row>
    <row r="413" spans="1:19" x14ac:dyDescent="0.25">
      <c r="A413" t="s">
        <v>210</v>
      </c>
      <c r="B413" t="s">
        <v>783</v>
      </c>
      <c r="C413" s="8">
        <v>45590</v>
      </c>
      <c r="D413" t="s">
        <v>1149</v>
      </c>
      <c r="E413" s="11">
        <v>6</v>
      </c>
      <c r="F413" t="s">
        <v>805</v>
      </c>
      <c r="G413" t="s">
        <v>213</v>
      </c>
      <c r="H413" s="12">
        <v>68459</v>
      </c>
      <c r="I413" s="9">
        <v>68459</v>
      </c>
      <c r="J413" s="15">
        <v>0.14000000000000001</v>
      </c>
      <c r="K413" s="12">
        <v>3559.8680000000004</v>
      </c>
      <c r="M413" s="9">
        <v>672.81505200000004</v>
      </c>
      <c r="P413">
        <v>1</v>
      </c>
      <c r="Q413" s="15">
        <f t="shared" si="18"/>
        <v>0.20182800000000001</v>
      </c>
      <c r="R413" s="9">
        <f t="shared" si="19"/>
        <v>9584.26</v>
      </c>
      <c r="S413" s="9">
        <f t="shared" si="20"/>
        <v>13816.943052000001</v>
      </c>
    </row>
    <row r="414" spans="1:19" x14ac:dyDescent="0.25">
      <c r="A414" t="s">
        <v>29</v>
      </c>
      <c r="B414">
        <v>30012</v>
      </c>
      <c r="C414" s="8">
        <v>45635</v>
      </c>
      <c r="D414" t="s">
        <v>886</v>
      </c>
      <c r="E414" s="11">
        <v>6</v>
      </c>
      <c r="F414" t="s">
        <v>819</v>
      </c>
      <c r="H414" s="12">
        <v>70000</v>
      </c>
      <c r="I414" s="9">
        <v>71417</v>
      </c>
      <c r="J414" s="15">
        <v>0.1</v>
      </c>
      <c r="K414" s="12">
        <v>0</v>
      </c>
      <c r="L414" s="12">
        <v>0</v>
      </c>
      <c r="M414" s="9">
        <v>0</v>
      </c>
      <c r="N414" s="12">
        <v>1725.9108333333334</v>
      </c>
      <c r="O414">
        <v>87</v>
      </c>
      <c r="Q414" s="15">
        <f t="shared" si="18"/>
        <v>0.1</v>
      </c>
      <c r="R414" s="9">
        <f t="shared" si="19"/>
        <v>7000</v>
      </c>
      <c r="S414" s="9">
        <f t="shared" si="20"/>
        <v>7000</v>
      </c>
    </row>
    <row r="415" spans="1:19" x14ac:dyDescent="0.25">
      <c r="A415" t="s">
        <v>29</v>
      </c>
      <c r="B415">
        <v>30012</v>
      </c>
      <c r="C415" s="8">
        <v>45593</v>
      </c>
      <c r="D415" t="s">
        <v>1030</v>
      </c>
      <c r="E415" s="11">
        <v>6</v>
      </c>
      <c r="F415" t="s">
        <v>819</v>
      </c>
      <c r="H415" s="12">
        <v>60000</v>
      </c>
      <c r="I415" s="9">
        <v>65312</v>
      </c>
      <c r="J415" s="15">
        <v>0.1</v>
      </c>
      <c r="K415" s="12">
        <v>0</v>
      </c>
      <c r="L415" s="12">
        <v>0</v>
      </c>
      <c r="M415" s="9">
        <v>0</v>
      </c>
      <c r="N415" s="12">
        <v>1632.8000000000004</v>
      </c>
      <c r="O415">
        <v>90</v>
      </c>
      <c r="Q415" s="15">
        <f t="shared" si="18"/>
        <v>0.1</v>
      </c>
      <c r="R415" s="9">
        <f t="shared" si="19"/>
        <v>6000</v>
      </c>
      <c r="S415" s="9">
        <f t="shared" si="20"/>
        <v>6000</v>
      </c>
    </row>
    <row r="416" spans="1:19" x14ac:dyDescent="0.25">
      <c r="A416" t="s">
        <v>210</v>
      </c>
      <c r="B416" t="s">
        <v>783</v>
      </c>
      <c r="C416" s="8">
        <v>45582</v>
      </c>
      <c r="D416" t="s">
        <v>1148</v>
      </c>
      <c r="E416" s="11">
        <v>6</v>
      </c>
      <c r="F416" t="s">
        <v>805</v>
      </c>
      <c r="G416" t="s">
        <v>213</v>
      </c>
      <c r="H416" s="12">
        <v>63168</v>
      </c>
      <c r="I416" s="9">
        <v>63168</v>
      </c>
      <c r="J416" s="15">
        <v>0.14000000000000001</v>
      </c>
      <c r="K416" s="12">
        <v>3284.7360000000003</v>
      </c>
      <c r="M416" s="9">
        <v>620.81510400000002</v>
      </c>
      <c r="P416">
        <v>1</v>
      </c>
      <c r="Q416" s="15">
        <f t="shared" si="18"/>
        <v>0.20182800000000001</v>
      </c>
      <c r="R416" s="9">
        <f t="shared" si="19"/>
        <v>8843.52</v>
      </c>
      <c r="S416" s="9">
        <f t="shared" si="20"/>
        <v>12749.071104000001</v>
      </c>
    </row>
    <row r="417" spans="1:19" x14ac:dyDescent="0.25">
      <c r="A417" t="s">
        <v>1192</v>
      </c>
      <c r="B417">
        <v>30019</v>
      </c>
      <c r="C417" s="8">
        <v>45576</v>
      </c>
      <c r="D417" t="s">
        <v>778</v>
      </c>
      <c r="E417" s="11">
        <v>6</v>
      </c>
      <c r="F417" t="s">
        <v>805</v>
      </c>
      <c r="G417" t="s">
        <v>1195</v>
      </c>
      <c r="H417" s="12">
        <v>80000</v>
      </c>
      <c r="I417" s="9">
        <v>0</v>
      </c>
      <c r="J417" s="15">
        <v>0.15</v>
      </c>
      <c r="K417" s="12">
        <v>6890</v>
      </c>
      <c r="L417" s="12">
        <v>5000</v>
      </c>
      <c r="M417" s="9">
        <v>0</v>
      </c>
      <c r="N417" s="12">
        <v>0</v>
      </c>
      <c r="O417">
        <v>0</v>
      </c>
      <c r="P417">
        <v>1</v>
      </c>
      <c r="Q417" s="15">
        <f t="shared" si="18"/>
        <v>0.236125</v>
      </c>
      <c r="R417" s="9">
        <f t="shared" si="19"/>
        <v>12000</v>
      </c>
      <c r="S417" s="9">
        <f t="shared" si="20"/>
        <v>18890</v>
      </c>
    </row>
    <row r="418" spans="1:19" x14ac:dyDescent="0.25">
      <c r="A418" t="s">
        <v>1192</v>
      </c>
      <c r="B418">
        <v>30019</v>
      </c>
      <c r="C418" s="8">
        <v>45614</v>
      </c>
      <c r="D418" t="s">
        <v>1355</v>
      </c>
      <c r="E418" s="11">
        <v>6</v>
      </c>
      <c r="F418" t="s">
        <v>819</v>
      </c>
      <c r="H418" s="12">
        <v>354000</v>
      </c>
      <c r="I418" s="9">
        <v>0</v>
      </c>
      <c r="J418" s="15">
        <v>0.122727272727273</v>
      </c>
      <c r="K418" s="12">
        <v>6890</v>
      </c>
      <c r="L418" s="12">
        <v>5000</v>
      </c>
      <c r="M418" s="9">
        <v>0</v>
      </c>
      <c r="N418" s="12">
        <v>0</v>
      </c>
      <c r="O418">
        <v>0</v>
      </c>
      <c r="P418">
        <v>1</v>
      </c>
      <c r="Q418" s="15">
        <f t="shared" si="18"/>
        <v>0.14219054956343119</v>
      </c>
      <c r="R418" s="9">
        <f t="shared" si="19"/>
        <v>43445.454545454646</v>
      </c>
      <c r="S418" s="9">
        <f t="shared" si="20"/>
        <v>50335.454545454639</v>
      </c>
    </row>
    <row r="419" spans="1:19" x14ac:dyDescent="0.25">
      <c r="A419" t="s">
        <v>1192</v>
      </c>
      <c r="B419">
        <v>30019</v>
      </c>
      <c r="C419" s="8">
        <v>45594</v>
      </c>
      <c r="D419" t="s">
        <v>1307</v>
      </c>
      <c r="E419" s="11">
        <v>6</v>
      </c>
      <c r="F419" t="s">
        <v>805</v>
      </c>
      <c r="G419" t="s">
        <v>1195</v>
      </c>
      <c r="H419" s="12">
        <v>83000</v>
      </c>
      <c r="I419" s="9">
        <v>0</v>
      </c>
      <c r="J419" s="15">
        <v>0.15</v>
      </c>
      <c r="K419" s="12">
        <v>6890</v>
      </c>
      <c r="L419" s="12">
        <v>5000</v>
      </c>
      <c r="M419" s="9">
        <v>0</v>
      </c>
      <c r="N419" s="12">
        <v>0</v>
      </c>
      <c r="O419">
        <v>0</v>
      </c>
      <c r="P419">
        <v>1</v>
      </c>
      <c r="Q419" s="15">
        <f t="shared" si="18"/>
        <v>0.23301204819277108</v>
      </c>
      <c r="R419" s="9">
        <f t="shared" si="19"/>
        <v>12450</v>
      </c>
      <c r="S419" s="9">
        <f t="shared" si="20"/>
        <v>19340</v>
      </c>
    </row>
    <row r="420" spans="1:19" x14ac:dyDescent="0.25">
      <c r="A420" t="s">
        <v>1192</v>
      </c>
      <c r="B420">
        <v>30019</v>
      </c>
      <c r="C420" s="8">
        <v>45616</v>
      </c>
      <c r="D420" t="s">
        <v>1369</v>
      </c>
      <c r="E420" s="11">
        <v>6</v>
      </c>
      <c r="F420" t="s">
        <v>805</v>
      </c>
      <c r="G420" t="s">
        <v>1194</v>
      </c>
      <c r="H420" s="12">
        <v>78000</v>
      </c>
      <c r="I420" s="9">
        <v>0</v>
      </c>
      <c r="J420" s="15">
        <v>0.15</v>
      </c>
      <c r="K420" s="12">
        <v>6890</v>
      </c>
      <c r="L420" s="12">
        <v>5000</v>
      </c>
      <c r="M420" s="9">
        <v>0</v>
      </c>
      <c r="N420" s="12">
        <v>0</v>
      </c>
      <c r="O420">
        <v>0</v>
      </c>
      <c r="P420">
        <v>1</v>
      </c>
      <c r="Q420" s="15">
        <f t="shared" si="18"/>
        <v>0.23833333333333334</v>
      </c>
      <c r="R420" s="9">
        <f t="shared" si="19"/>
        <v>11700</v>
      </c>
      <c r="S420" s="9">
        <f t="shared" si="20"/>
        <v>18590</v>
      </c>
    </row>
    <row r="421" spans="1:19" x14ac:dyDescent="0.25">
      <c r="A421" t="s">
        <v>29</v>
      </c>
      <c r="B421">
        <v>30012</v>
      </c>
      <c r="C421" s="8">
        <v>45657</v>
      </c>
      <c r="D421" t="s">
        <v>826</v>
      </c>
      <c r="E421" s="11">
        <v>6</v>
      </c>
      <c r="F421" t="s">
        <v>805</v>
      </c>
      <c r="H421" s="12">
        <v>58000</v>
      </c>
      <c r="I421" s="9">
        <v>1227</v>
      </c>
      <c r="J421" s="15">
        <v>0.1</v>
      </c>
      <c r="K421" s="12">
        <v>0</v>
      </c>
      <c r="L421" s="12">
        <v>0</v>
      </c>
      <c r="M421" s="9">
        <v>0</v>
      </c>
      <c r="N421" s="12">
        <v>13.974166666666665</v>
      </c>
      <c r="O421">
        <v>41</v>
      </c>
      <c r="Q421" s="15">
        <f t="shared" si="18"/>
        <v>0.1</v>
      </c>
      <c r="R421" s="9">
        <f t="shared" si="19"/>
        <v>5800</v>
      </c>
      <c r="S421" s="9">
        <f t="shared" si="20"/>
        <v>5800</v>
      </c>
    </row>
    <row r="422" spans="1:19" x14ac:dyDescent="0.25">
      <c r="A422" t="s">
        <v>29</v>
      </c>
      <c r="B422">
        <v>30012</v>
      </c>
      <c r="C422" s="8">
        <v>45628</v>
      </c>
      <c r="D422" t="s">
        <v>933</v>
      </c>
      <c r="E422" s="11">
        <v>6</v>
      </c>
      <c r="F422" t="s">
        <v>819</v>
      </c>
      <c r="H422" s="12">
        <v>200000</v>
      </c>
      <c r="I422" s="9">
        <v>190215</v>
      </c>
      <c r="J422" s="15">
        <v>0.1</v>
      </c>
      <c r="K422" s="12">
        <v>0</v>
      </c>
      <c r="L422" s="12">
        <v>0</v>
      </c>
      <c r="M422" s="9">
        <v>0</v>
      </c>
      <c r="N422" s="12">
        <v>4121.3249999999998</v>
      </c>
      <c r="O422">
        <v>78</v>
      </c>
      <c r="Q422" s="15">
        <f t="shared" si="18"/>
        <v>0.1</v>
      </c>
      <c r="R422" s="9">
        <f t="shared" si="19"/>
        <v>20000</v>
      </c>
      <c r="S422" s="9">
        <f t="shared" si="20"/>
        <v>20000</v>
      </c>
    </row>
    <row r="423" spans="1:19" x14ac:dyDescent="0.25">
      <c r="A423" t="s">
        <v>1192</v>
      </c>
      <c r="B423">
        <v>30019</v>
      </c>
      <c r="C423" s="8">
        <v>45636</v>
      </c>
      <c r="D423" t="s">
        <v>1436</v>
      </c>
      <c r="E423" s="11">
        <v>6</v>
      </c>
      <c r="F423" t="s">
        <v>805</v>
      </c>
      <c r="G423" t="s">
        <v>1195</v>
      </c>
      <c r="H423" s="12">
        <v>102000</v>
      </c>
      <c r="I423" s="9">
        <v>0</v>
      </c>
      <c r="J423" s="15">
        <v>0.15</v>
      </c>
      <c r="K423" s="12">
        <v>6890</v>
      </c>
      <c r="L423" s="12">
        <v>5000</v>
      </c>
      <c r="M423" s="9">
        <v>0</v>
      </c>
      <c r="N423" s="12">
        <v>0</v>
      </c>
      <c r="O423">
        <v>0</v>
      </c>
      <c r="P423">
        <v>1</v>
      </c>
      <c r="Q423" s="15">
        <f t="shared" si="18"/>
        <v>0.21754901960784315</v>
      </c>
      <c r="R423" s="9">
        <f t="shared" si="19"/>
        <v>15300</v>
      </c>
      <c r="S423" s="9">
        <f t="shared" si="20"/>
        <v>22190</v>
      </c>
    </row>
    <row r="424" spans="1:19" x14ac:dyDescent="0.25">
      <c r="A424" t="s">
        <v>1192</v>
      </c>
      <c r="B424">
        <v>30019</v>
      </c>
      <c r="C424" s="8">
        <v>45628</v>
      </c>
      <c r="D424" t="s">
        <v>739</v>
      </c>
      <c r="E424" s="11">
        <v>6</v>
      </c>
      <c r="F424" t="s">
        <v>1392</v>
      </c>
      <c r="G424" t="s">
        <v>1316</v>
      </c>
      <c r="H424" s="12">
        <v>100000</v>
      </c>
      <c r="I424" s="9">
        <v>0</v>
      </c>
      <c r="J424" s="15">
        <v>0.15</v>
      </c>
      <c r="K424" s="12">
        <v>6890</v>
      </c>
      <c r="L424" s="12">
        <v>5000</v>
      </c>
      <c r="M424" s="9">
        <v>0</v>
      </c>
      <c r="N424" s="12">
        <v>0</v>
      </c>
      <c r="O424">
        <v>0</v>
      </c>
      <c r="P424">
        <v>1</v>
      </c>
      <c r="Q424" s="15">
        <f t="shared" si="18"/>
        <v>0.21890000000000001</v>
      </c>
      <c r="R424" s="9">
        <f t="shared" si="19"/>
        <v>15000</v>
      </c>
      <c r="S424" s="9">
        <f t="shared" si="20"/>
        <v>21890</v>
      </c>
    </row>
    <row r="425" spans="1:19" x14ac:dyDescent="0.25">
      <c r="A425" t="s">
        <v>29</v>
      </c>
      <c r="B425">
        <v>30012</v>
      </c>
      <c r="C425" s="8">
        <v>45611</v>
      </c>
      <c r="D425" t="s">
        <v>960</v>
      </c>
      <c r="E425" s="11">
        <v>6</v>
      </c>
      <c r="F425" t="s">
        <v>805</v>
      </c>
      <c r="H425" s="12">
        <v>84000</v>
      </c>
      <c r="I425" s="9">
        <v>82749</v>
      </c>
      <c r="J425" s="15">
        <v>0.1</v>
      </c>
      <c r="K425" s="12">
        <v>0</v>
      </c>
      <c r="L425" s="12">
        <v>0</v>
      </c>
      <c r="M425" s="9">
        <v>0</v>
      </c>
      <c r="N425" s="12">
        <v>1218.2491666666665</v>
      </c>
      <c r="O425">
        <v>53</v>
      </c>
      <c r="Q425" s="15">
        <f t="shared" si="18"/>
        <v>0.1</v>
      </c>
      <c r="R425" s="9">
        <f t="shared" si="19"/>
        <v>8400</v>
      </c>
      <c r="S425" s="9">
        <f t="shared" si="20"/>
        <v>8400</v>
      </c>
    </row>
    <row r="426" spans="1:19" x14ac:dyDescent="0.25">
      <c r="A426" t="s">
        <v>1192</v>
      </c>
      <c r="B426">
        <v>30019</v>
      </c>
      <c r="C426" s="8">
        <v>45630</v>
      </c>
      <c r="D426" t="s">
        <v>1403</v>
      </c>
      <c r="E426" s="11">
        <v>6</v>
      </c>
      <c r="F426" t="s">
        <v>805</v>
      </c>
      <c r="G426" t="s">
        <v>1195</v>
      </c>
      <c r="H426" s="12">
        <v>109000</v>
      </c>
      <c r="I426" s="9">
        <v>0</v>
      </c>
      <c r="J426" s="15">
        <v>0.15</v>
      </c>
      <c r="K426" s="12">
        <v>6890</v>
      </c>
      <c r="L426" s="12">
        <v>5000</v>
      </c>
      <c r="M426" s="9">
        <v>0</v>
      </c>
      <c r="N426" s="12">
        <v>0</v>
      </c>
      <c r="O426">
        <v>0</v>
      </c>
      <c r="P426">
        <v>1</v>
      </c>
      <c r="Q426" s="15">
        <f t="shared" si="18"/>
        <v>0.21321100917431193</v>
      </c>
      <c r="R426" s="9">
        <f t="shared" si="19"/>
        <v>16350</v>
      </c>
      <c r="S426" s="9">
        <f t="shared" si="20"/>
        <v>23240</v>
      </c>
    </row>
    <row r="427" spans="1:19" x14ac:dyDescent="0.25">
      <c r="A427" t="s">
        <v>1192</v>
      </c>
      <c r="B427">
        <v>30019</v>
      </c>
      <c r="C427" s="8">
        <v>45625</v>
      </c>
      <c r="D427" t="s">
        <v>1388</v>
      </c>
      <c r="E427" s="11">
        <v>6</v>
      </c>
      <c r="F427" t="s">
        <v>805</v>
      </c>
      <c r="H427" s="12">
        <v>113000</v>
      </c>
      <c r="I427" s="9">
        <v>0</v>
      </c>
      <c r="J427" s="15">
        <v>0.15</v>
      </c>
      <c r="K427" s="12">
        <v>6890</v>
      </c>
      <c r="L427" s="12">
        <v>5000</v>
      </c>
      <c r="M427" s="9">
        <v>0</v>
      </c>
      <c r="N427" s="12">
        <v>0</v>
      </c>
      <c r="O427">
        <v>0</v>
      </c>
      <c r="P427">
        <v>1</v>
      </c>
      <c r="Q427" s="15">
        <f t="shared" si="18"/>
        <v>0.21097345132743364</v>
      </c>
      <c r="R427" s="9">
        <f t="shared" si="19"/>
        <v>16950</v>
      </c>
      <c r="S427" s="9">
        <f t="shared" si="20"/>
        <v>23840</v>
      </c>
    </row>
    <row r="428" spans="1:19" x14ac:dyDescent="0.25">
      <c r="A428" t="s">
        <v>1192</v>
      </c>
      <c r="B428">
        <v>30019</v>
      </c>
      <c r="C428" s="8">
        <v>45594</v>
      </c>
      <c r="D428" t="s">
        <v>1306</v>
      </c>
      <c r="E428" s="11">
        <v>6</v>
      </c>
      <c r="F428" t="s">
        <v>805</v>
      </c>
      <c r="G428" t="s">
        <v>1195</v>
      </c>
      <c r="H428" s="12">
        <v>62000</v>
      </c>
      <c r="I428" s="9">
        <v>0</v>
      </c>
      <c r="J428" s="15">
        <v>0.15</v>
      </c>
      <c r="K428" s="12">
        <v>6890</v>
      </c>
      <c r="L428" s="12">
        <v>5000</v>
      </c>
      <c r="M428" s="9">
        <v>0</v>
      </c>
      <c r="N428" s="12">
        <v>0</v>
      </c>
      <c r="O428">
        <v>0</v>
      </c>
      <c r="P428">
        <v>1</v>
      </c>
      <c r="Q428" s="15">
        <f t="shared" si="18"/>
        <v>0.2611290322580645</v>
      </c>
      <c r="R428" s="9">
        <f t="shared" si="19"/>
        <v>9300</v>
      </c>
      <c r="S428" s="9">
        <f t="shared" si="20"/>
        <v>16189.999999999998</v>
      </c>
    </row>
    <row r="429" spans="1:19" x14ac:dyDescent="0.25">
      <c r="A429" t="s">
        <v>1192</v>
      </c>
      <c r="B429">
        <v>30019</v>
      </c>
      <c r="C429" s="8">
        <v>45574</v>
      </c>
      <c r="D429" t="s">
        <v>1243</v>
      </c>
      <c r="E429" s="11">
        <v>6</v>
      </c>
      <c r="F429" t="s">
        <v>805</v>
      </c>
      <c r="G429" t="s">
        <v>1198</v>
      </c>
      <c r="H429" s="12">
        <v>76000</v>
      </c>
      <c r="I429" s="9">
        <v>0</v>
      </c>
      <c r="J429" s="15">
        <v>0.15</v>
      </c>
      <c r="K429" s="12">
        <v>6890</v>
      </c>
      <c r="L429" s="12">
        <v>5000</v>
      </c>
      <c r="M429" s="9">
        <v>0</v>
      </c>
      <c r="N429" s="12">
        <v>0</v>
      </c>
      <c r="O429">
        <v>0</v>
      </c>
      <c r="P429">
        <v>1</v>
      </c>
      <c r="Q429" s="15">
        <f t="shared" si="18"/>
        <v>0.2406578947368421</v>
      </c>
      <c r="R429" s="9">
        <f t="shared" si="19"/>
        <v>11400</v>
      </c>
      <c r="S429" s="9">
        <f t="shared" si="20"/>
        <v>18290</v>
      </c>
    </row>
    <row r="430" spans="1:19" x14ac:dyDescent="0.25">
      <c r="A430" t="s">
        <v>29</v>
      </c>
      <c r="B430">
        <v>30012</v>
      </c>
      <c r="C430" s="8">
        <v>45597</v>
      </c>
      <c r="D430" t="s">
        <v>995</v>
      </c>
      <c r="E430" s="11">
        <v>6</v>
      </c>
      <c r="F430" t="s">
        <v>805</v>
      </c>
      <c r="H430" s="12">
        <v>50210</v>
      </c>
      <c r="I430" s="9">
        <v>50210</v>
      </c>
      <c r="J430" s="15">
        <v>0.15</v>
      </c>
      <c r="K430" s="12">
        <v>0</v>
      </c>
      <c r="L430" s="12">
        <v>0</v>
      </c>
      <c r="M430" s="9">
        <v>0</v>
      </c>
      <c r="N430" s="12">
        <v>1276.1708333333333</v>
      </c>
      <c r="O430">
        <v>61</v>
      </c>
      <c r="Q430" s="15">
        <f t="shared" si="18"/>
        <v>0.15</v>
      </c>
      <c r="R430" s="9">
        <f t="shared" si="19"/>
        <v>7531.5</v>
      </c>
      <c r="S430" s="9">
        <f t="shared" si="20"/>
        <v>7531.5</v>
      </c>
    </row>
    <row r="431" spans="1:19" x14ac:dyDescent="0.25">
      <c r="A431" t="s">
        <v>1192</v>
      </c>
      <c r="B431">
        <v>30019</v>
      </c>
      <c r="C431" s="8">
        <v>45602</v>
      </c>
      <c r="D431" t="s">
        <v>1317</v>
      </c>
      <c r="E431" s="11">
        <v>6</v>
      </c>
      <c r="F431" t="s">
        <v>805</v>
      </c>
      <c r="G431" t="s">
        <v>1194</v>
      </c>
      <c r="H431" s="12">
        <v>116000</v>
      </c>
      <c r="I431" s="9">
        <v>0</v>
      </c>
      <c r="J431" s="15">
        <v>0.15</v>
      </c>
      <c r="K431" s="12">
        <v>6890</v>
      </c>
      <c r="L431" s="12">
        <v>5000</v>
      </c>
      <c r="M431" s="9">
        <v>0</v>
      </c>
      <c r="N431" s="12">
        <v>0</v>
      </c>
      <c r="O431">
        <v>0</v>
      </c>
      <c r="P431">
        <v>1</v>
      </c>
      <c r="Q431" s="15">
        <f t="shared" si="18"/>
        <v>0.20939655172413793</v>
      </c>
      <c r="R431" s="9">
        <f t="shared" si="19"/>
        <v>17400</v>
      </c>
      <c r="S431" s="9">
        <f t="shared" si="20"/>
        <v>24290</v>
      </c>
    </row>
    <row r="432" spans="1:19" x14ac:dyDescent="0.25">
      <c r="A432" t="s">
        <v>1192</v>
      </c>
      <c r="B432">
        <v>30019</v>
      </c>
      <c r="C432" s="8">
        <v>45573</v>
      </c>
      <c r="D432" t="s">
        <v>1234</v>
      </c>
      <c r="E432" s="11">
        <v>6</v>
      </c>
      <c r="F432" t="s">
        <v>805</v>
      </c>
      <c r="G432" t="s">
        <v>1195</v>
      </c>
      <c r="H432" s="12">
        <v>85000</v>
      </c>
      <c r="I432" s="9">
        <v>0</v>
      </c>
      <c r="J432" s="15">
        <v>0.15</v>
      </c>
      <c r="K432" s="12">
        <v>6890</v>
      </c>
      <c r="L432" s="12">
        <v>5000</v>
      </c>
      <c r="M432" s="9">
        <v>0</v>
      </c>
      <c r="N432" s="12">
        <v>0</v>
      </c>
      <c r="O432">
        <v>0</v>
      </c>
      <c r="P432">
        <v>1</v>
      </c>
      <c r="Q432" s="15">
        <f t="shared" si="18"/>
        <v>0.23105882352941176</v>
      </c>
      <c r="R432" s="9">
        <f t="shared" si="19"/>
        <v>12750</v>
      </c>
      <c r="S432" s="9">
        <f t="shared" si="20"/>
        <v>19640</v>
      </c>
    </row>
    <row r="433" spans="1:19" x14ac:dyDescent="0.25">
      <c r="A433" t="s">
        <v>1192</v>
      </c>
      <c r="B433">
        <v>30019</v>
      </c>
      <c r="C433" s="8">
        <v>45632</v>
      </c>
      <c r="D433" t="s">
        <v>1414</v>
      </c>
      <c r="E433" s="11">
        <v>6</v>
      </c>
      <c r="F433" t="s">
        <v>805</v>
      </c>
      <c r="G433" t="s">
        <v>1195</v>
      </c>
      <c r="H433" s="12">
        <v>114000</v>
      </c>
      <c r="I433" s="9">
        <v>0</v>
      </c>
      <c r="J433" s="15">
        <v>0.15</v>
      </c>
      <c r="K433" s="12">
        <v>6890</v>
      </c>
      <c r="L433" s="12">
        <v>5000</v>
      </c>
      <c r="M433" s="9">
        <v>0</v>
      </c>
      <c r="N433" s="12">
        <v>0</v>
      </c>
      <c r="O433">
        <v>0</v>
      </c>
      <c r="P433">
        <v>1</v>
      </c>
      <c r="Q433" s="15">
        <f t="shared" si="18"/>
        <v>0.21043859649122806</v>
      </c>
      <c r="R433" s="9">
        <f t="shared" si="19"/>
        <v>17100</v>
      </c>
      <c r="S433" s="9">
        <f t="shared" si="20"/>
        <v>23990</v>
      </c>
    </row>
    <row r="434" spans="1:19" x14ac:dyDescent="0.25">
      <c r="A434" t="s">
        <v>1192</v>
      </c>
      <c r="B434">
        <v>30019</v>
      </c>
      <c r="C434" s="8">
        <v>45587</v>
      </c>
      <c r="D434" t="s">
        <v>1286</v>
      </c>
      <c r="E434" s="11">
        <v>6</v>
      </c>
      <c r="F434" t="s">
        <v>805</v>
      </c>
      <c r="G434" t="s">
        <v>1195</v>
      </c>
      <c r="H434" s="12">
        <v>75000</v>
      </c>
      <c r="I434" s="9">
        <v>0</v>
      </c>
      <c r="J434" s="15">
        <v>0.15</v>
      </c>
      <c r="K434" s="12">
        <v>6890</v>
      </c>
      <c r="L434" s="12">
        <v>5000</v>
      </c>
      <c r="M434" s="9">
        <v>0</v>
      </c>
      <c r="N434" s="12">
        <v>0</v>
      </c>
      <c r="O434">
        <v>0</v>
      </c>
      <c r="P434">
        <v>1</v>
      </c>
      <c r="Q434" s="15">
        <f t="shared" si="18"/>
        <v>0.24186666666666667</v>
      </c>
      <c r="R434" s="9">
        <f t="shared" si="19"/>
        <v>11250</v>
      </c>
      <c r="S434" s="9">
        <f t="shared" si="20"/>
        <v>18140</v>
      </c>
    </row>
    <row r="435" spans="1:19" x14ac:dyDescent="0.25">
      <c r="A435" t="s">
        <v>1192</v>
      </c>
      <c r="B435">
        <v>30019</v>
      </c>
      <c r="C435" s="8">
        <v>45575</v>
      </c>
      <c r="D435" t="s">
        <v>1246</v>
      </c>
      <c r="E435" s="11">
        <v>6</v>
      </c>
      <c r="F435" t="s">
        <v>805</v>
      </c>
      <c r="H435" s="12">
        <v>80000</v>
      </c>
      <c r="I435" s="9">
        <v>0</v>
      </c>
      <c r="J435" s="15">
        <v>0.15</v>
      </c>
      <c r="K435" s="12">
        <v>6890</v>
      </c>
      <c r="L435" s="12">
        <v>5000</v>
      </c>
      <c r="M435" s="9">
        <v>0</v>
      </c>
      <c r="N435" s="12">
        <v>0</v>
      </c>
      <c r="O435">
        <v>0</v>
      </c>
      <c r="P435">
        <v>1</v>
      </c>
      <c r="Q435" s="15">
        <f t="shared" si="18"/>
        <v>0.236125</v>
      </c>
      <c r="R435" s="9">
        <f t="shared" si="19"/>
        <v>12000</v>
      </c>
      <c r="S435" s="9">
        <f t="shared" si="20"/>
        <v>18890</v>
      </c>
    </row>
    <row r="436" spans="1:19" x14ac:dyDescent="0.25">
      <c r="A436" t="s">
        <v>1192</v>
      </c>
      <c r="B436">
        <v>30019</v>
      </c>
      <c r="C436" s="8">
        <v>45652</v>
      </c>
      <c r="D436" t="s">
        <v>1463</v>
      </c>
      <c r="E436" s="11">
        <v>6</v>
      </c>
      <c r="F436" t="s">
        <v>852</v>
      </c>
      <c r="G436" t="s">
        <v>1195</v>
      </c>
      <c r="H436" s="12">
        <v>68000</v>
      </c>
      <c r="I436" s="9">
        <v>0</v>
      </c>
      <c r="J436" s="15">
        <v>0.15</v>
      </c>
      <c r="K436" s="12">
        <v>6890</v>
      </c>
      <c r="L436" s="12">
        <v>5000</v>
      </c>
      <c r="M436" s="9">
        <v>0</v>
      </c>
      <c r="N436" s="12">
        <v>0</v>
      </c>
      <c r="O436">
        <v>0</v>
      </c>
      <c r="P436">
        <v>1</v>
      </c>
      <c r="Q436" s="15">
        <f t="shared" si="18"/>
        <v>0.25132352941176472</v>
      </c>
      <c r="R436" s="9">
        <f t="shared" si="19"/>
        <v>10200</v>
      </c>
      <c r="S436" s="9">
        <f t="shared" si="20"/>
        <v>17090</v>
      </c>
    </row>
    <row r="437" spans="1:19" x14ac:dyDescent="0.25">
      <c r="A437" t="s">
        <v>1192</v>
      </c>
      <c r="B437">
        <v>30019</v>
      </c>
      <c r="C437" s="8">
        <v>45590</v>
      </c>
      <c r="D437" t="s">
        <v>1298</v>
      </c>
      <c r="E437" s="11">
        <v>6</v>
      </c>
      <c r="F437" t="s">
        <v>805</v>
      </c>
      <c r="G437" t="s">
        <v>1195</v>
      </c>
      <c r="H437" s="12">
        <v>47000</v>
      </c>
      <c r="I437" s="9">
        <v>0</v>
      </c>
      <c r="J437" s="15">
        <v>0.15</v>
      </c>
      <c r="K437" s="12">
        <v>6890</v>
      </c>
      <c r="L437" s="12">
        <v>5000</v>
      </c>
      <c r="M437" s="9">
        <v>0</v>
      </c>
      <c r="N437" s="12">
        <v>0</v>
      </c>
      <c r="O437">
        <v>0</v>
      </c>
      <c r="P437">
        <v>1</v>
      </c>
      <c r="Q437" s="15">
        <f t="shared" si="18"/>
        <v>0.29659574468085104</v>
      </c>
      <c r="R437" s="9">
        <f t="shared" si="19"/>
        <v>7050</v>
      </c>
      <c r="S437" s="9">
        <f t="shared" si="20"/>
        <v>13939.999999999998</v>
      </c>
    </row>
    <row r="438" spans="1:19" x14ac:dyDescent="0.25">
      <c r="A438" t="s">
        <v>29</v>
      </c>
      <c r="B438">
        <v>30012</v>
      </c>
      <c r="C438" s="8">
        <v>45638</v>
      </c>
      <c r="D438" t="s">
        <v>878</v>
      </c>
      <c r="E438" s="11">
        <v>6</v>
      </c>
      <c r="F438" t="s">
        <v>822</v>
      </c>
      <c r="H438" s="12">
        <v>60000</v>
      </c>
      <c r="I438" s="9">
        <v>56333</v>
      </c>
      <c r="J438" s="15">
        <v>0.1</v>
      </c>
      <c r="K438" s="12">
        <v>0</v>
      </c>
      <c r="L438" s="12">
        <v>0</v>
      </c>
      <c r="M438" s="9">
        <v>0</v>
      </c>
      <c r="N438" s="12">
        <v>1392.6769444444444</v>
      </c>
      <c r="O438">
        <v>89</v>
      </c>
      <c r="Q438" s="15">
        <f t="shared" si="18"/>
        <v>0.1</v>
      </c>
      <c r="R438" s="9">
        <f t="shared" si="19"/>
        <v>6000</v>
      </c>
      <c r="S438" s="9">
        <f t="shared" si="20"/>
        <v>6000</v>
      </c>
    </row>
    <row r="439" spans="1:19" x14ac:dyDescent="0.25">
      <c r="A439" t="s">
        <v>1192</v>
      </c>
      <c r="B439">
        <v>30019</v>
      </c>
      <c r="C439" s="8">
        <v>45637</v>
      </c>
      <c r="D439" t="s">
        <v>1441</v>
      </c>
      <c r="E439" s="11">
        <v>6</v>
      </c>
      <c r="F439" t="s">
        <v>852</v>
      </c>
      <c r="H439" s="12">
        <v>81000</v>
      </c>
      <c r="I439" s="9">
        <v>0</v>
      </c>
      <c r="J439" s="15">
        <v>0.1</v>
      </c>
      <c r="K439" s="12">
        <v>6890</v>
      </c>
      <c r="L439" s="12">
        <v>5000</v>
      </c>
      <c r="M439" s="9">
        <v>0</v>
      </c>
      <c r="N439" s="12">
        <v>0</v>
      </c>
      <c r="O439">
        <v>0</v>
      </c>
      <c r="P439">
        <v>1</v>
      </c>
      <c r="Q439" s="15">
        <f t="shared" si="18"/>
        <v>0.18506172839506174</v>
      </c>
      <c r="R439" s="9">
        <f t="shared" si="19"/>
        <v>8100</v>
      </c>
      <c r="S439" s="9">
        <f t="shared" si="20"/>
        <v>14990.000000000002</v>
      </c>
    </row>
    <row r="440" spans="1:19" x14ac:dyDescent="0.25">
      <c r="A440" t="s">
        <v>29</v>
      </c>
      <c r="B440">
        <v>30012</v>
      </c>
      <c r="C440" s="8">
        <v>45597</v>
      </c>
      <c r="D440" t="s">
        <v>1009</v>
      </c>
      <c r="E440" s="11">
        <v>6</v>
      </c>
      <c r="F440" t="s">
        <v>805</v>
      </c>
      <c r="H440" s="12">
        <v>186395</v>
      </c>
      <c r="I440" s="9">
        <v>186395</v>
      </c>
      <c r="J440" s="15">
        <v>0.15</v>
      </c>
      <c r="K440" s="12">
        <v>0</v>
      </c>
      <c r="L440" s="12">
        <v>0</v>
      </c>
      <c r="M440" s="9">
        <v>0</v>
      </c>
      <c r="N440" s="12">
        <v>4737.5395833333332</v>
      </c>
      <c r="O440">
        <v>61</v>
      </c>
      <c r="Q440" s="15">
        <f t="shared" si="18"/>
        <v>0.15</v>
      </c>
      <c r="R440" s="9">
        <f t="shared" si="19"/>
        <v>27959.25</v>
      </c>
      <c r="S440" s="9">
        <f t="shared" si="20"/>
        <v>27959.25</v>
      </c>
    </row>
    <row r="441" spans="1:19" x14ac:dyDescent="0.25">
      <c r="A441" t="s">
        <v>29</v>
      </c>
      <c r="B441">
        <v>30012</v>
      </c>
      <c r="C441" s="8">
        <v>45604</v>
      </c>
      <c r="D441" t="s">
        <v>978</v>
      </c>
      <c r="E441" s="11">
        <v>6</v>
      </c>
      <c r="F441" t="s">
        <v>805</v>
      </c>
      <c r="H441" s="12">
        <v>195000</v>
      </c>
      <c r="I441" s="9">
        <v>197651</v>
      </c>
      <c r="J441" s="15">
        <v>0.1</v>
      </c>
      <c r="K441" s="12">
        <v>0</v>
      </c>
      <c r="L441" s="12">
        <v>0</v>
      </c>
      <c r="M441" s="9">
        <v>0</v>
      </c>
      <c r="N441" s="12">
        <v>4227.535277777778</v>
      </c>
      <c r="O441">
        <v>77</v>
      </c>
      <c r="Q441" s="15">
        <f t="shared" si="18"/>
        <v>0.1</v>
      </c>
      <c r="R441" s="9">
        <f t="shared" si="19"/>
        <v>19500</v>
      </c>
      <c r="S441" s="9">
        <f t="shared" si="20"/>
        <v>19500</v>
      </c>
    </row>
    <row r="442" spans="1:19" x14ac:dyDescent="0.25">
      <c r="A442" t="s">
        <v>29</v>
      </c>
      <c r="B442">
        <v>30012</v>
      </c>
      <c r="C442" s="8">
        <v>45576</v>
      </c>
      <c r="D442" t="s">
        <v>1075</v>
      </c>
      <c r="E442" s="11">
        <v>6</v>
      </c>
      <c r="F442" t="s">
        <v>805</v>
      </c>
      <c r="H442" s="12">
        <v>840000</v>
      </c>
      <c r="I442" s="9">
        <v>813590</v>
      </c>
      <c r="J442" s="15">
        <v>0.1</v>
      </c>
      <c r="K442" s="12">
        <v>0</v>
      </c>
      <c r="L442" s="12">
        <v>0</v>
      </c>
      <c r="M442" s="9">
        <v>0</v>
      </c>
      <c r="N442" s="12">
        <v>19209.763888888891</v>
      </c>
      <c r="O442">
        <v>85</v>
      </c>
      <c r="Q442" s="15">
        <f t="shared" si="18"/>
        <v>0.1</v>
      </c>
      <c r="R442" s="9">
        <f t="shared" si="19"/>
        <v>84000</v>
      </c>
      <c r="S442" s="9">
        <f t="shared" si="20"/>
        <v>84000</v>
      </c>
    </row>
    <row r="443" spans="1:19" x14ac:dyDescent="0.25">
      <c r="A443" t="s">
        <v>29</v>
      </c>
      <c r="B443">
        <v>30012</v>
      </c>
      <c r="C443" s="8">
        <v>45638</v>
      </c>
      <c r="D443" t="s">
        <v>881</v>
      </c>
      <c r="E443" s="11">
        <v>6</v>
      </c>
      <c r="F443" t="s">
        <v>819</v>
      </c>
      <c r="H443" s="12">
        <v>70000</v>
      </c>
      <c r="I443" s="9">
        <v>2559729</v>
      </c>
      <c r="J443" s="15">
        <v>0.1</v>
      </c>
      <c r="K443" s="12">
        <v>0</v>
      </c>
      <c r="L443" s="12">
        <v>0</v>
      </c>
      <c r="M443" s="9">
        <v>0</v>
      </c>
      <c r="N443" s="12">
        <v>57593.902500000004</v>
      </c>
      <c r="O443">
        <v>81</v>
      </c>
      <c r="Q443" s="15">
        <f t="shared" si="18"/>
        <v>0.1</v>
      </c>
      <c r="R443" s="9">
        <f t="shared" si="19"/>
        <v>7000</v>
      </c>
      <c r="S443" s="9">
        <f t="shared" si="20"/>
        <v>7000</v>
      </c>
    </row>
    <row r="444" spans="1:19" x14ac:dyDescent="0.25">
      <c r="A444" t="s">
        <v>1192</v>
      </c>
      <c r="B444">
        <v>30019</v>
      </c>
      <c r="C444" s="8">
        <v>45590</v>
      </c>
      <c r="D444" t="s">
        <v>1297</v>
      </c>
      <c r="E444" s="11">
        <v>6</v>
      </c>
      <c r="F444" t="s">
        <v>805</v>
      </c>
      <c r="G444" t="s">
        <v>1195</v>
      </c>
      <c r="H444" s="12">
        <v>113000</v>
      </c>
      <c r="I444" s="9">
        <v>0</v>
      </c>
      <c r="J444" s="15">
        <v>0.133333333333333</v>
      </c>
      <c r="K444" s="12">
        <v>6890</v>
      </c>
      <c r="L444" s="12">
        <v>5000</v>
      </c>
      <c r="M444" s="9">
        <v>0</v>
      </c>
      <c r="N444" s="12">
        <v>0</v>
      </c>
      <c r="O444">
        <v>0</v>
      </c>
      <c r="P444">
        <v>1</v>
      </c>
      <c r="Q444" s="15">
        <f t="shared" si="18"/>
        <v>0.19430678466076662</v>
      </c>
      <c r="R444" s="9">
        <f t="shared" si="19"/>
        <v>15066.66666666663</v>
      </c>
      <c r="S444" s="9">
        <f t="shared" si="20"/>
        <v>21956.666666666628</v>
      </c>
    </row>
    <row r="445" spans="1:19" x14ac:dyDescent="0.25">
      <c r="A445" t="s">
        <v>1192</v>
      </c>
      <c r="B445">
        <v>30019</v>
      </c>
      <c r="C445" s="8">
        <v>45632</v>
      </c>
      <c r="D445" t="s">
        <v>1413</v>
      </c>
      <c r="E445" s="11">
        <v>6</v>
      </c>
      <c r="F445" t="s">
        <v>805</v>
      </c>
      <c r="H445" s="12">
        <v>63000</v>
      </c>
      <c r="I445" s="9">
        <v>0</v>
      </c>
      <c r="J445" s="15">
        <v>8.7499999999999994E-2</v>
      </c>
      <c r="K445" s="12">
        <v>6890</v>
      </c>
      <c r="L445" s="12">
        <v>5000</v>
      </c>
      <c r="M445" s="9">
        <v>0</v>
      </c>
      <c r="N445" s="12">
        <v>0</v>
      </c>
      <c r="O445">
        <v>0</v>
      </c>
      <c r="P445">
        <v>1</v>
      </c>
      <c r="Q445" s="15">
        <f t="shared" si="18"/>
        <v>0.19686507936507935</v>
      </c>
      <c r="R445" s="9">
        <f t="shared" si="19"/>
        <v>5512.5</v>
      </c>
      <c r="S445" s="9">
        <f t="shared" si="20"/>
        <v>12402.5</v>
      </c>
    </row>
    <row r="446" spans="1:19" x14ac:dyDescent="0.25">
      <c r="A446" t="s">
        <v>1192</v>
      </c>
      <c r="B446">
        <v>30019</v>
      </c>
      <c r="C446" s="8">
        <v>45610</v>
      </c>
      <c r="D446" t="s">
        <v>1349</v>
      </c>
      <c r="E446" s="11">
        <v>6</v>
      </c>
      <c r="F446" t="s">
        <v>805</v>
      </c>
      <c r="G446" t="s">
        <v>1194</v>
      </c>
      <c r="H446" s="12">
        <v>83000</v>
      </c>
      <c r="I446" s="9">
        <v>0</v>
      </c>
      <c r="J446" s="15">
        <v>6.8181818181818205E-2</v>
      </c>
      <c r="K446" s="12">
        <v>6890</v>
      </c>
      <c r="L446" s="12">
        <v>5000</v>
      </c>
      <c r="M446" s="9">
        <v>0</v>
      </c>
      <c r="N446" s="12">
        <v>0</v>
      </c>
      <c r="O446">
        <v>0</v>
      </c>
      <c r="P446">
        <v>1</v>
      </c>
      <c r="Q446" s="15">
        <f t="shared" si="18"/>
        <v>0.15119386637458929</v>
      </c>
      <c r="R446" s="9">
        <f t="shared" si="19"/>
        <v>5659.0909090909108</v>
      </c>
      <c r="S446" s="9">
        <f t="shared" si="20"/>
        <v>12549.09090909091</v>
      </c>
    </row>
    <row r="447" spans="1:19" x14ac:dyDescent="0.25">
      <c r="A447" t="s">
        <v>1192</v>
      </c>
      <c r="B447">
        <v>30019</v>
      </c>
      <c r="C447" s="8">
        <v>45618</v>
      </c>
      <c r="D447" t="s">
        <v>1382</v>
      </c>
      <c r="E447" s="11">
        <v>6</v>
      </c>
      <c r="F447" t="s">
        <v>805</v>
      </c>
      <c r="G447" t="s">
        <v>1195</v>
      </c>
      <c r="H447" s="12">
        <v>53000</v>
      </c>
      <c r="I447" s="9">
        <v>0</v>
      </c>
      <c r="J447" s="15">
        <v>0.15</v>
      </c>
      <c r="K447" s="12">
        <v>6890</v>
      </c>
      <c r="L447" s="12">
        <v>5000</v>
      </c>
      <c r="M447" s="9">
        <v>0</v>
      </c>
      <c r="N447" s="12">
        <v>0</v>
      </c>
      <c r="O447">
        <v>0</v>
      </c>
      <c r="P447">
        <v>1</v>
      </c>
      <c r="Q447" s="15">
        <f t="shared" si="18"/>
        <v>0.28000000000000003</v>
      </c>
      <c r="R447" s="9">
        <f t="shared" si="19"/>
        <v>7950</v>
      </c>
      <c r="S447" s="9">
        <f t="shared" si="20"/>
        <v>14840.000000000002</v>
      </c>
    </row>
    <row r="448" spans="1:19" x14ac:dyDescent="0.25">
      <c r="A448" t="s">
        <v>29</v>
      </c>
      <c r="B448">
        <v>30012</v>
      </c>
      <c r="C448" s="8">
        <v>45579</v>
      </c>
      <c r="D448" t="s">
        <v>1069</v>
      </c>
      <c r="E448" s="11">
        <v>6</v>
      </c>
      <c r="F448" t="s">
        <v>805</v>
      </c>
      <c r="H448" s="12">
        <v>231800</v>
      </c>
      <c r="I448" s="9">
        <v>234353</v>
      </c>
      <c r="J448" s="15">
        <v>0.1</v>
      </c>
      <c r="K448" s="12">
        <v>0</v>
      </c>
      <c r="L448" s="12">
        <v>0</v>
      </c>
      <c r="M448" s="9">
        <v>0</v>
      </c>
      <c r="N448" s="12">
        <v>5663.5308333333342</v>
      </c>
      <c r="O448">
        <v>87</v>
      </c>
      <c r="Q448" s="15">
        <f t="shared" si="18"/>
        <v>0.1</v>
      </c>
      <c r="R448" s="9">
        <f t="shared" si="19"/>
        <v>23180</v>
      </c>
      <c r="S448" s="9">
        <f t="shared" si="20"/>
        <v>23180</v>
      </c>
    </row>
    <row r="449" spans="1:19" x14ac:dyDescent="0.25">
      <c r="A449" t="s">
        <v>1192</v>
      </c>
      <c r="B449">
        <v>30019</v>
      </c>
      <c r="C449" s="8">
        <v>45582</v>
      </c>
      <c r="D449" t="s">
        <v>1274</v>
      </c>
      <c r="E449" s="11">
        <v>6</v>
      </c>
      <c r="F449" t="s">
        <v>805</v>
      </c>
      <c r="G449" t="s">
        <v>1195</v>
      </c>
      <c r="H449" s="12">
        <v>75000</v>
      </c>
      <c r="I449" s="9">
        <v>0</v>
      </c>
      <c r="J449" s="15">
        <v>0.105</v>
      </c>
      <c r="K449" s="12">
        <v>6890</v>
      </c>
      <c r="L449" s="12">
        <v>5000</v>
      </c>
      <c r="M449" s="9">
        <v>0</v>
      </c>
      <c r="N449" s="12">
        <v>0</v>
      </c>
      <c r="O449">
        <v>0</v>
      </c>
      <c r="P449">
        <v>1</v>
      </c>
      <c r="Q449" s="15">
        <f t="shared" si="18"/>
        <v>0.19686666666666666</v>
      </c>
      <c r="R449" s="9">
        <f t="shared" si="19"/>
        <v>7875</v>
      </c>
      <c r="S449" s="9">
        <f t="shared" si="20"/>
        <v>14765</v>
      </c>
    </row>
    <row r="450" spans="1:19" x14ac:dyDescent="0.25">
      <c r="A450" t="s">
        <v>1192</v>
      </c>
      <c r="B450">
        <v>30019</v>
      </c>
      <c r="C450" s="8">
        <v>45629</v>
      </c>
      <c r="D450" t="s">
        <v>1397</v>
      </c>
      <c r="E450" s="11">
        <v>6</v>
      </c>
      <c r="F450" t="s">
        <v>805</v>
      </c>
      <c r="G450" t="s">
        <v>1195</v>
      </c>
      <c r="H450" s="12">
        <v>375000</v>
      </c>
      <c r="I450" s="9">
        <v>0</v>
      </c>
      <c r="J450" s="15">
        <v>0.15</v>
      </c>
      <c r="K450" s="12">
        <v>6890</v>
      </c>
      <c r="L450" s="12">
        <v>5000</v>
      </c>
      <c r="M450" s="9">
        <v>0</v>
      </c>
      <c r="N450" s="12">
        <v>0</v>
      </c>
      <c r="O450">
        <v>0</v>
      </c>
      <c r="P450">
        <v>1</v>
      </c>
      <c r="Q450" s="15">
        <f t="shared" ref="Q450:Q513" si="21">((H450*J450)+K450+M450)/H450</f>
        <v>0.16837333333333335</v>
      </c>
      <c r="R450" s="9">
        <f t="shared" ref="R450:R513" si="22">J450*H450</f>
        <v>56250</v>
      </c>
      <c r="S450" s="9">
        <f t="shared" ref="S450:S513" si="23">Q450*H450</f>
        <v>63140.000000000007</v>
      </c>
    </row>
    <row r="451" spans="1:19" x14ac:dyDescent="0.25">
      <c r="A451" t="s">
        <v>1192</v>
      </c>
      <c r="B451">
        <v>30019</v>
      </c>
      <c r="C451" s="8">
        <v>45588</v>
      </c>
      <c r="D451" t="s">
        <v>1289</v>
      </c>
      <c r="E451" s="11">
        <v>6</v>
      </c>
      <c r="F451" t="s">
        <v>1196</v>
      </c>
      <c r="G451" t="s">
        <v>1195</v>
      </c>
      <c r="H451" s="12">
        <v>103500</v>
      </c>
      <c r="I451" s="9">
        <v>0</v>
      </c>
      <c r="J451" s="15">
        <v>0.15</v>
      </c>
      <c r="K451" s="12">
        <v>6890</v>
      </c>
      <c r="L451" s="12">
        <v>5000</v>
      </c>
      <c r="M451" s="9">
        <v>0</v>
      </c>
      <c r="N451" s="12">
        <v>0</v>
      </c>
      <c r="O451">
        <v>0</v>
      </c>
      <c r="P451">
        <v>1</v>
      </c>
      <c r="Q451" s="15">
        <f t="shared" si="21"/>
        <v>0.21657004830917875</v>
      </c>
      <c r="R451" s="9">
        <f t="shared" si="22"/>
        <v>15525</v>
      </c>
      <c r="S451" s="9">
        <f t="shared" si="23"/>
        <v>22415</v>
      </c>
    </row>
    <row r="452" spans="1:19" x14ac:dyDescent="0.25">
      <c r="A452" t="s">
        <v>1192</v>
      </c>
      <c r="B452">
        <v>30019</v>
      </c>
      <c r="C452" s="8">
        <v>45631</v>
      </c>
      <c r="D452" t="s">
        <v>1410</v>
      </c>
      <c r="E452" s="11">
        <v>6</v>
      </c>
      <c r="F452" t="s">
        <v>805</v>
      </c>
      <c r="H452" s="12">
        <v>110000</v>
      </c>
      <c r="I452" s="9">
        <v>0</v>
      </c>
      <c r="J452" s="15">
        <v>0.1125</v>
      </c>
      <c r="K452" s="12">
        <v>6890</v>
      </c>
      <c r="L452" s="12">
        <v>5000</v>
      </c>
      <c r="M452" s="9">
        <v>0</v>
      </c>
      <c r="N452" s="12">
        <v>0</v>
      </c>
      <c r="O452">
        <v>0</v>
      </c>
      <c r="P452">
        <v>1</v>
      </c>
      <c r="Q452" s="15">
        <f t="shared" si="21"/>
        <v>0.17513636363636365</v>
      </c>
      <c r="R452" s="9">
        <f t="shared" si="22"/>
        <v>12375</v>
      </c>
      <c r="S452" s="9">
        <f t="shared" si="23"/>
        <v>19265</v>
      </c>
    </row>
    <row r="453" spans="1:19" x14ac:dyDescent="0.25">
      <c r="A453" t="s">
        <v>1192</v>
      </c>
      <c r="B453">
        <v>30019</v>
      </c>
      <c r="C453" s="8">
        <v>45616</v>
      </c>
      <c r="D453" t="s">
        <v>1363</v>
      </c>
      <c r="E453" s="11">
        <v>6</v>
      </c>
      <c r="F453" t="s">
        <v>805</v>
      </c>
      <c r="G453" t="s">
        <v>1195</v>
      </c>
      <c r="H453" s="12">
        <v>115000</v>
      </c>
      <c r="I453" s="9">
        <v>0</v>
      </c>
      <c r="J453" s="15">
        <v>8.1818181818181804E-2</v>
      </c>
      <c r="K453" s="12">
        <v>6890</v>
      </c>
      <c r="L453" s="12">
        <v>5000</v>
      </c>
      <c r="M453" s="9">
        <v>0</v>
      </c>
      <c r="N453" s="12">
        <v>0</v>
      </c>
      <c r="O453">
        <v>0</v>
      </c>
      <c r="P453">
        <v>1</v>
      </c>
      <c r="Q453" s="15">
        <f t="shared" si="21"/>
        <v>0.14173122529644269</v>
      </c>
      <c r="R453" s="9">
        <f t="shared" si="22"/>
        <v>9409.0909090909081</v>
      </c>
      <c r="S453" s="9">
        <f t="shared" si="23"/>
        <v>16299.09090909091</v>
      </c>
    </row>
    <row r="454" spans="1:19" x14ac:dyDescent="0.25">
      <c r="A454" t="s">
        <v>1192</v>
      </c>
      <c r="B454">
        <v>30019</v>
      </c>
      <c r="C454" s="8">
        <v>45614</v>
      </c>
      <c r="D454" t="s">
        <v>1356</v>
      </c>
      <c r="E454" s="11">
        <v>6</v>
      </c>
      <c r="F454" t="s">
        <v>805</v>
      </c>
      <c r="G454" t="s">
        <v>1195</v>
      </c>
      <c r="H454" s="12">
        <v>120000</v>
      </c>
      <c r="I454" s="9">
        <v>0</v>
      </c>
      <c r="J454" s="15">
        <v>0.13636363636363599</v>
      </c>
      <c r="K454" s="12">
        <v>6890</v>
      </c>
      <c r="L454" s="12">
        <v>5000</v>
      </c>
      <c r="M454" s="9">
        <v>0</v>
      </c>
      <c r="N454" s="12">
        <v>0</v>
      </c>
      <c r="O454">
        <v>0</v>
      </c>
      <c r="P454">
        <v>1</v>
      </c>
      <c r="Q454" s="15">
        <f t="shared" si="21"/>
        <v>0.19378030303030264</v>
      </c>
      <c r="R454" s="9">
        <f t="shared" si="22"/>
        <v>16363.636363636318</v>
      </c>
      <c r="S454" s="9">
        <f t="shared" si="23"/>
        <v>23253.636363636317</v>
      </c>
    </row>
    <row r="455" spans="1:19" x14ac:dyDescent="0.25">
      <c r="A455" t="s">
        <v>1192</v>
      </c>
      <c r="B455">
        <v>30019</v>
      </c>
      <c r="C455" s="8">
        <v>45587</v>
      </c>
      <c r="D455" t="s">
        <v>1285</v>
      </c>
      <c r="E455" s="11">
        <v>6</v>
      </c>
      <c r="F455" t="s">
        <v>805</v>
      </c>
      <c r="H455" s="12">
        <v>364000</v>
      </c>
      <c r="I455" s="9">
        <v>0</v>
      </c>
      <c r="J455" s="15">
        <v>0.12</v>
      </c>
      <c r="K455" s="12">
        <v>6890</v>
      </c>
      <c r="L455" s="12">
        <v>5000</v>
      </c>
      <c r="M455" s="9">
        <v>0</v>
      </c>
      <c r="N455" s="12">
        <v>0</v>
      </c>
      <c r="O455">
        <v>0</v>
      </c>
      <c r="P455">
        <v>1</v>
      </c>
      <c r="Q455" s="15">
        <f t="shared" si="21"/>
        <v>0.13892857142857143</v>
      </c>
      <c r="R455" s="9">
        <f t="shared" si="22"/>
        <v>43680</v>
      </c>
      <c r="S455" s="9">
        <f t="shared" si="23"/>
        <v>50570</v>
      </c>
    </row>
    <row r="456" spans="1:19" x14ac:dyDescent="0.25">
      <c r="A456" t="s">
        <v>29</v>
      </c>
      <c r="B456">
        <v>30012</v>
      </c>
      <c r="C456" s="8">
        <v>45586</v>
      </c>
      <c r="D456" t="s">
        <v>1050</v>
      </c>
      <c r="E456" s="11">
        <v>6</v>
      </c>
      <c r="F456" t="s">
        <v>805</v>
      </c>
      <c r="H456" s="12">
        <v>132000</v>
      </c>
      <c r="I456" s="9">
        <v>134093</v>
      </c>
      <c r="J456" s="15">
        <v>0.1</v>
      </c>
      <c r="K456" s="12">
        <v>0</v>
      </c>
      <c r="L456" s="12">
        <v>0</v>
      </c>
      <c r="M456" s="9">
        <v>0</v>
      </c>
      <c r="N456" s="12">
        <v>3315.076944444445</v>
      </c>
      <c r="O456">
        <v>89</v>
      </c>
      <c r="Q456" s="15">
        <f t="shared" si="21"/>
        <v>0.1</v>
      </c>
      <c r="R456" s="9">
        <f t="shared" si="22"/>
        <v>13200</v>
      </c>
      <c r="S456" s="9">
        <f t="shared" si="23"/>
        <v>13200</v>
      </c>
    </row>
    <row r="457" spans="1:19" x14ac:dyDescent="0.25">
      <c r="A457" t="s">
        <v>29</v>
      </c>
      <c r="B457">
        <v>30012</v>
      </c>
      <c r="C457" s="8">
        <v>45597</v>
      </c>
      <c r="D457" t="s">
        <v>1011</v>
      </c>
      <c r="E457" s="11">
        <v>6</v>
      </c>
      <c r="F457" t="s">
        <v>805</v>
      </c>
      <c r="H457" s="12">
        <v>200605</v>
      </c>
      <c r="I457" s="9">
        <v>200605</v>
      </c>
      <c r="J457" s="15">
        <v>0.15</v>
      </c>
      <c r="K457" s="12">
        <v>0</v>
      </c>
      <c r="L457" s="12">
        <v>0</v>
      </c>
      <c r="M457" s="9">
        <v>0</v>
      </c>
      <c r="N457" s="12">
        <v>5098.7104166666668</v>
      </c>
      <c r="O457">
        <v>61</v>
      </c>
      <c r="Q457" s="15">
        <f t="shared" si="21"/>
        <v>0.15</v>
      </c>
      <c r="R457" s="9">
        <f t="shared" si="22"/>
        <v>30090.75</v>
      </c>
      <c r="S457" s="9">
        <f t="shared" si="23"/>
        <v>30090.75</v>
      </c>
    </row>
    <row r="458" spans="1:19" x14ac:dyDescent="0.25">
      <c r="A458" t="s">
        <v>1192</v>
      </c>
      <c r="B458">
        <v>30019</v>
      </c>
      <c r="C458" s="8">
        <v>45650</v>
      </c>
      <c r="D458" t="s">
        <v>1461</v>
      </c>
      <c r="E458" s="11">
        <v>6</v>
      </c>
      <c r="F458" t="s">
        <v>805</v>
      </c>
      <c r="G458" t="s">
        <v>1194</v>
      </c>
      <c r="H458" s="12">
        <v>1240000</v>
      </c>
      <c r="I458" s="9">
        <v>0</v>
      </c>
      <c r="J458" s="15">
        <v>0.1</v>
      </c>
      <c r="K458" s="12">
        <v>6890</v>
      </c>
      <c r="L458" s="12">
        <v>5000</v>
      </c>
      <c r="M458" s="9">
        <v>0</v>
      </c>
      <c r="N458" s="12">
        <v>0</v>
      </c>
      <c r="O458">
        <v>0</v>
      </c>
      <c r="P458">
        <v>1</v>
      </c>
      <c r="Q458" s="15">
        <f t="shared" si="21"/>
        <v>0.10555645161290322</v>
      </c>
      <c r="R458" s="9">
        <f t="shared" si="22"/>
        <v>124000</v>
      </c>
      <c r="S458" s="9">
        <f t="shared" si="23"/>
        <v>130890</v>
      </c>
    </row>
    <row r="459" spans="1:19" x14ac:dyDescent="0.25">
      <c r="A459" t="s">
        <v>29</v>
      </c>
      <c r="B459">
        <v>30012</v>
      </c>
      <c r="C459" s="8">
        <v>45610</v>
      </c>
      <c r="D459" t="s">
        <v>965</v>
      </c>
      <c r="E459" s="11">
        <v>6</v>
      </c>
      <c r="F459" t="s">
        <v>852</v>
      </c>
      <c r="H459" s="12">
        <v>63971</v>
      </c>
      <c r="I459" s="9">
        <v>39739</v>
      </c>
      <c r="J459" s="15">
        <v>0.1</v>
      </c>
      <c r="K459" s="12">
        <v>0</v>
      </c>
      <c r="L459" s="12">
        <v>0</v>
      </c>
      <c r="M459" s="9">
        <v>0</v>
      </c>
      <c r="N459" s="12">
        <v>838.93444444444447</v>
      </c>
      <c r="O459">
        <v>76</v>
      </c>
      <c r="Q459" s="15">
        <f t="shared" si="21"/>
        <v>0.1</v>
      </c>
      <c r="R459" s="9">
        <f t="shared" si="22"/>
        <v>6397.1</v>
      </c>
      <c r="S459" s="9">
        <f t="shared" si="23"/>
        <v>6397.1</v>
      </c>
    </row>
    <row r="460" spans="1:19" x14ac:dyDescent="0.25">
      <c r="A460" t="s">
        <v>1192</v>
      </c>
      <c r="B460">
        <v>30019</v>
      </c>
      <c r="C460" s="8">
        <v>45582</v>
      </c>
      <c r="D460" t="s">
        <v>1273</v>
      </c>
      <c r="E460" s="11">
        <v>6</v>
      </c>
      <c r="F460" t="s">
        <v>805</v>
      </c>
      <c r="G460" t="s">
        <v>1195</v>
      </c>
      <c r="H460" s="12">
        <v>61000</v>
      </c>
      <c r="I460" s="9">
        <v>0</v>
      </c>
      <c r="J460" s="15">
        <v>0.15</v>
      </c>
      <c r="K460" s="12">
        <v>6890</v>
      </c>
      <c r="L460" s="12">
        <v>5000</v>
      </c>
      <c r="M460" s="9">
        <v>0</v>
      </c>
      <c r="N460" s="12">
        <v>0</v>
      </c>
      <c r="O460">
        <v>0</v>
      </c>
      <c r="P460">
        <v>1</v>
      </c>
      <c r="Q460" s="15">
        <f t="shared" si="21"/>
        <v>0.26295081967213113</v>
      </c>
      <c r="R460" s="9">
        <f t="shared" si="22"/>
        <v>9150</v>
      </c>
      <c r="S460" s="9">
        <f t="shared" si="23"/>
        <v>16039.999999999998</v>
      </c>
    </row>
    <row r="461" spans="1:19" x14ac:dyDescent="0.25">
      <c r="A461" t="s">
        <v>1192</v>
      </c>
      <c r="B461">
        <v>30019</v>
      </c>
      <c r="C461" s="8">
        <v>45581</v>
      </c>
      <c r="D461" t="s">
        <v>1267</v>
      </c>
      <c r="E461" s="11">
        <v>6</v>
      </c>
      <c r="F461" t="s">
        <v>805</v>
      </c>
      <c r="G461" t="s">
        <v>1194</v>
      </c>
      <c r="H461" s="12">
        <v>83000</v>
      </c>
      <c r="I461" s="9">
        <v>0</v>
      </c>
      <c r="J461" s="15">
        <v>0.15</v>
      </c>
      <c r="K461" s="12">
        <v>6890</v>
      </c>
      <c r="L461" s="12">
        <v>5000</v>
      </c>
      <c r="M461" s="9">
        <v>0</v>
      </c>
      <c r="N461" s="12">
        <v>0</v>
      </c>
      <c r="O461">
        <v>0</v>
      </c>
      <c r="P461">
        <v>1</v>
      </c>
      <c r="Q461" s="15">
        <f t="shared" si="21"/>
        <v>0.23301204819277108</v>
      </c>
      <c r="R461" s="9">
        <f t="shared" si="22"/>
        <v>12450</v>
      </c>
      <c r="S461" s="9">
        <f t="shared" si="23"/>
        <v>19340</v>
      </c>
    </row>
    <row r="462" spans="1:19" x14ac:dyDescent="0.25">
      <c r="A462" t="s">
        <v>210</v>
      </c>
      <c r="B462" t="s">
        <v>783</v>
      </c>
      <c r="C462" s="8">
        <v>45600</v>
      </c>
      <c r="D462" t="s">
        <v>1147</v>
      </c>
      <c r="E462" s="11">
        <v>6</v>
      </c>
      <c r="F462" t="s">
        <v>805</v>
      </c>
      <c r="G462" t="s">
        <v>213</v>
      </c>
      <c r="H462" s="12">
        <v>89000</v>
      </c>
      <c r="I462" s="9">
        <v>89000</v>
      </c>
      <c r="J462" s="15">
        <v>0.14000000000000001</v>
      </c>
      <c r="K462" s="12">
        <v>4628</v>
      </c>
      <c r="M462" s="9">
        <v>874.69200000000001</v>
      </c>
      <c r="P462">
        <v>1</v>
      </c>
      <c r="Q462" s="15">
        <f t="shared" si="21"/>
        <v>0.20182799999999998</v>
      </c>
      <c r="R462" s="9">
        <f t="shared" si="22"/>
        <v>12460.000000000002</v>
      </c>
      <c r="S462" s="9">
        <f t="shared" si="23"/>
        <v>17962.691999999999</v>
      </c>
    </row>
    <row r="463" spans="1:19" x14ac:dyDescent="0.25">
      <c r="A463" t="s">
        <v>29</v>
      </c>
      <c r="B463">
        <v>30012</v>
      </c>
      <c r="C463" s="8">
        <v>45587</v>
      </c>
      <c r="D463" t="s">
        <v>1046</v>
      </c>
      <c r="E463" s="11">
        <v>6</v>
      </c>
      <c r="F463" t="s">
        <v>805</v>
      </c>
      <c r="H463" s="12">
        <v>56500</v>
      </c>
      <c r="I463" s="9">
        <v>41672</v>
      </c>
      <c r="J463" s="15">
        <v>0.1</v>
      </c>
      <c r="K463" s="12">
        <v>0</v>
      </c>
      <c r="L463" s="12">
        <v>0</v>
      </c>
      <c r="M463" s="9">
        <v>0</v>
      </c>
      <c r="N463" s="12">
        <v>613.5044444444444</v>
      </c>
      <c r="O463">
        <v>53</v>
      </c>
      <c r="Q463" s="15">
        <f t="shared" si="21"/>
        <v>0.1</v>
      </c>
      <c r="R463" s="9">
        <f t="shared" si="22"/>
        <v>5650</v>
      </c>
      <c r="S463" s="9">
        <f t="shared" si="23"/>
        <v>5650</v>
      </c>
    </row>
    <row r="464" spans="1:19" x14ac:dyDescent="0.25">
      <c r="A464" t="s">
        <v>1192</v>
      </c>
      <c r="B464">
        <v>30019</v>
      </c>
      <c r="C464" s="8">
        <v>45646</v>
      </c>
      <c r="D464" t="s">
        <v>1455</v>
      </c>
      <c r="E464" s="11">
        <v>6</v>
      </c>
      <c r="F464" t="s">
        <v>805</v>
      </c>
      <c r="H464" s="12">
        <v>134000</v>
      </c>
      <c r="I464" s="9">
        <v>0</v>
      </c>
      <c r="J464" s="15">
        <v>0.15</v>
      </c>
      <c r="K464" s="12">
        <v>6890</v>
      </c>
      <c r="L464" s="12">
        <v>5000</v>
      </c>
      <c r="M464" s="9">
        <v>0</v>
      </c>
      <c r="N464" s="12">
        <v>0</v>
      </c>
      <c r="O464">
        <v>0</v>
      </c>
      <c r="P464">
        <v>1</v>
      </c>
      <c r="Q464" s="15">
        <f t="shared" si="21"/>
        <v>0.20141791044776119</v>
      </c>
      <c r="R464" s="9">
        <f t="shared" si="22"/>
        <v>20100</v>
      </c>
      <c r="S464" s="9">
        <f t="shared" si="23"/>
        <v>26990</v>
      </c>
    </row>
    <row r="465" spans="1:19" x14ac:dyDescent="0.25">
      <c r="A465" t="s">
        <v>1192</v>
      </c>
      <c r="B465">
        <v>30019</v>
      </c>
      <c r="C465" s="8">
        <v>45601</v>
      </c>
      <c r="D465" t="s">
        <v>1313</v>
      </c>
      <c r="E465" s="11">
        <v>6</v>
      </c>
      <c r="F465" t="s">
        <v>805</v>
      </c>
      <c r="G465" t="s">
        <v>1195</v>
      </c>
      <c r="H465" s="12">
        <v>115000</v>
      </c>
      <c r="I465" s="9">
        <v>0</v>
      </c>
      <c r="J465" s="15">
        <v>0.15</v>
      </c>
      <c r="K465" s="12">
        <v>6890</v>
      </c>
      <c r="L465" s="12">
        <v>5000</v>
      </c>
      <c r="M465" s="9">
        <v>0</v>
      </c>
      <c r="N465" s="12">
        <v>0</v>
      </c>
      <c r="O465">
        <v>0</v>
      </c>
      <c r="P465">
        <v>1</v>
      </c>
      <c r="Q465" s="15">
        <f t="shared" si="21"/>
        <v>0.20991304347826087</v>
      </c>
      <c r="R465" s="9">
        <f t="shared" si="22"/>
        <v>17250</v>
      </c>
      <c r="S465" s="9">
        <f t="shared" si="23"/>
        <v>24140</v>
      </c>
    </row>
    <row r="466" spans="1:19" x14ac:dyDescent="0.25">
      <c r="A466" t="s">
        <v>1192</v>
      </c>
      <c r="B466">
        <v>30019</v>
      </c>
      <c r="C466" s="8">
        <v>45567</v>
      </c>
      <c r="D466" t="s">
        <v>737</v>
      </c>
      <c r="E466" s="11">
        <v>6</v>
      </c>
      <c r="F466" t="s">
        <v>805</v>
      </c>
      <c r="G466" t="s">
        <v>1195</v>
      </c>
      <c r="H466" s="12">
        <v>96000</v>
      </c>
      <c r="I466" s="9">
        <v>0</v>
      </c>
      <c r="J466" s="15">
        <v>0.09</v>
      </c>
      <c r="K466" s="12">
        <v>6890</v>
      </c>
      <c r="L466" s="12">
        <v>5000</v>
      </c>
      <c r="M466" s="9">
        <v>0</v>
      </c>
      <c r="N466" s="12">
        <v>0</v>
      </c>
      <c r="O466">
        <v>0</v>
      </c>
      <c r="P466">
        <v>1</v>
      </c>
      <c r="Q466" s="15">
        <f t="shared" si="21"/>
        <v>0.16177083333333334</v>
      </c>
      <c r="R466" s="9">
        <f t="shared" si="22"/>
        <v>8640</v>
      </c>
      <c r="S466" s="9">
        <f t="shared" si="23"/>
        <v>15530</v>
      </c>
    </row>
    <row r="467" spans="1:19" x14ac:dyDescent="0.25">
      <c r="A467" t="s">
        <v>29</v>
      </c>
      <c r="B467">
        <v>30012</v>
      </c>
      <c r="C467" s="8">
        <v>45595</v>
      </c>
      <c r="D467" t="s">
        <v>1022</v>
      </c>
      <c r="E467" s="11">
        <v>6</v>
      </c>
      <c r="F467" t="s">
        <v>805</v>
      </c>
      <c r="H467" s="12">
        <v>100000</v>
      </c>
      <c r="I467" s="9">
        <v>56252</v>
      </c>
      <c r="J467" s="15">
        <v>0.1</v>
      </c>
      <c r="K467" s="12">
        <v>0</v>
      </c>
      <c r="L467" s="12">
        <v>0</v>
      </c>
      <c r="M467" s="9">
        <v>0</v>
      </c>
      <c r="N467" s="12">
        <v>1421.9255555555558</v>
      </c>
      <c r="O467">
        <v>91</v>
      </c>
      <c r="Q467" s="15">
        <f t="shared" si="21"/>
        <v>0.1</v>
      </c>
      <c r="R467" s="9">
        <f t="shared" si="22"/>
        <v>10000</v>
      </c>
      <c r="S467" s="9">
        <f t="shared" si="23"/>
        <v>10000</v>
      </c>
    </row>
    <row r="468" spans="1:19" x14ac:dyDescent="0.25">
      <c r="A468" t="s">
        <v>1192</v>
      </c>
      <c r="B468">
        <v>30019</v>
      </c>
      <c r="C468" s="8">
        <v>45656</v>
      </c>
      <c r="D468" t="s">
        <v>1472</v>
      </c>
      <c r="E468" s="11">
        <v>6</v>
      </c>
      <c r="F468" t="s">
        <v>852</v>
      </c>
      <c r="G468" t="s">
        <v>1195</v>
      </c>
      <c r="H468" s="12">
        <v>67000</v>
      </c>
      <c r="I468" s="9">
        <v>0</v>
      </c>
      <c r="J468" s="15">
        <v>0.15</v>
      </c>
      <c r="K468" s="12">
        <v>6890</v>
      </c>
      <c r="L468" s="12">
        <v>5000</v>
      </c>
      <c r="M468" s="9">
        <v>0</v>
      </c>
      <c r="N468" s="12">
        <v>0</v>
      </c>
      <c r="O468">
        <v>0</v>
      </c>
      <c r="P468">
        <v>1</v>
      </c>
      <c r="Q468" s="15">
        <f t="shared" si="21"/>
        <v>0.25283582089552237</v>
      </c>
      <c r="R468" s="9">
        <f t="shared" si="22"/>
        <v>10050</v>
      </c>
      <c r="S468" s="9">
        <f t="shared" si="23"/>
        <v>16940</v>
      </c>
    </row>
    <row r="469" spans="1:19" x14ac:dyDescent="0.25">
      <c r="A469" t="s">
        <v>1192</v>
      </c>
      <c r="B469">
        <v>30019</v>
      </c>
      <c r="C469" s="8">
        <v>45568</v>
      </c>
      <c r="D469" t="s">
        <v>1209</v>
      </c>
      <c r="E469" s="11">
        <v>6</v>
      </c>
      <c r="F469" t="s">
        <v>1196</v>
      </c>
      <c r="G469" t="s">
        <v>1210</v>
      </c>
      <c r="H469" s="12">
        <v>61000</v>
      </c>
      <c r="I469" s="9">
        <v>0</v>
      </c>
      <c r="J469" s="15">
        <v>0.13500000000000001</v>
      </c>
      <c r="K469" s="12">
        <v>6890</v>
      </c>
      <c r="L469" s="12">
        <v>5000</v>
      </c>
      <c r="M469" s="9">
        <v>0</v>
      </c>
      <c r="N469" s="12">
        <v>0</v>
      </c>
      <c r="O469">
        <v>0</v>
      </c>
      <c r="P469">
        <v>1</v>
      </c>
      <c r="Q469" s="15">
        <f t="shared" si="21"/>
        <v>0.24795081967213115</v>
      </c>
      <c r="R469" s="9">
        <f t="shared" si="22"/>
        <v>8235</v>
      </c>
      <c r="S469" s="9">
        <f t="shared" si="23"/>
        <v>15125</v>
      </c>
    </row>
    <row r="470" spans="1:19" x14ac:dyDescent="0.25">
      <c r="A470" t="s">
        <v>1192</v>
      </c>
      <c r="B470">
        <v>30019</v>
      </c>
      <c r="C470" s="8">
        <v>45586</v>
      </c>
      <c r="D470" t="s">
        <v>1280</v>
      </c>
      <c r="E470" s="11">
        <v>6</v>
      </c>
      <c r="F470" t="s">
        <v>1196</v>
      </c>
      <c r="G470" t="s">
        <v>1229</v>
      </c>
      <c r="H470" s="12">
        <v>115000</v>
      </c>
      <c r="I470" s="9">
        <v>0</v>
      </c>
      <c r="J470" s="15">
        <v>0.15</v>
      </c>
      <c r="K470" s="12">
        <v>6890</v>
      </c>
      <c r="L470" s="12">
        <v>5000</v>
      </c>
      <c r="M470" s="9">
        <v>0</v>
      </c>
      <c r="N470" s="12">
        <v>0</v>
      </c>
      <c r="O470">
        <v>0</v>
      </c>
      <c r="P470">
        <v>1</v>
      </c>
      <c r="Q470" s="15">
        <f t="shared" si="21"/>
        <v>0.20991304347826087</v>
      </c>
      <c r="R470" s="9">
        <f t="shared" si="22"/>
        <v>17250</v>
      </c>
      <c r="S470" s="9">
        <f t="shared" si="23"/>
        <v>24140</v>
      </c>
    </row>
    <row r="471" spans="1:19" x14ac:dyDescent="0.25">
      <c r="A471" t="s">
        <v>29</v>
      </c>
      <c r="B471">
        <v>30012</v>
      </c>
      <c r="C471" s="8">
        <v>45628</v>
      </c>
      <c r="D471" t="s">
        <v>930</v>
      </c>
      <c r="E471" s="11">
        <v>6</v>
      </c>
      <c r="F471" t="s">
        <v>805</v>
      </c>
      <c r="H471" s="12">
        <v>351358</v>
      </c>
      <c r="I471" s="9">
        <v>351358</v>
      </c>
      <c r="J471" s="15">
        <v>0.15</v>
      </c>
      <c r="K471" s="12">
        <v>0</v>
      </c>
      <c r="L471" s="12">
        <v>0</v>
      </c>
      <c r="M471" s="9">
        <v>0</v>
      </c>
      <c r="N471" s="12">
        <v>4391.9750000000004</v>
      </c>
      <c r="O471">
        <v>30</v>
      </c>
      <c r="Q471" s="15">
        <f t="shared" si="21"/>
        <v>0.15</v>
      </c>
      <c r="R471" s="9">
        <f t="shared" si="22"/>
        <v>52703.7</v>
      </c>
      <c r="S471" s="9">
        <f t="shared" si="23"/>
        <v>52703.7</v>
      </c>
    </row>
    <row r="472" spans="1:19" x14ac:dyDescent="0.25">
      <c r="A472" t="s">
        <v>210</v>
      </c>
      <c r="B472" t="s">
        <v>783</v>
      </c>
      <c r="C472" s="8">
        <v>45590</v>
      </c>
      <c r="D472" t="s">
        <v>1146</v>
      </c>
      <c r="E472" s="11">
        <v>6</v>
      </c>
      <c r="F472" t="s">
        <v>805</v>
      </c>
      <c r="G472" t="s">
        <v>213</v>
      </c>
      <c r="H472" s="12">
        <v>44960</v>
      </c>
      <c r="I472" s="9">
        <v>44960</v>
      </c>
      <c r="J472" s="15">
        <v>0.14000000000000001</v>
      </c>
      <c r="K472" s="12">
        <v>2337.92</v>
      </c>
      <c r="M472" s="9">
        <v>441.86688000000004</v>
      </c>
      <c r="P472">
        <v>1</v>
      </c>
      <c r="Q472" s="15">
        <f t="shared" si="21"/>
        <v>0.20182799999999998</v>
      </c>
      <c r="R472" s="9">
        <f t="shared" si="22"/>
        <v>6294.4000000000005</v>
      </c>
      <c r="S472" s="9">
        <f t="shared" si="23"/>
        <v>9074.1868799999993</v>
      </c>
    </row>
    <row r="473" spans="1:19" x14ac:dyDescent="0.25">
      <c r="A473" t="s">
        <v>1192</v>
      </c>
      <c r="B473">
        <v>30019</v>
      </c>
      <c r="C473" s="8">
        <v>45604</v>
      </c>
      <c r="D473" t="s">
        <v>1328</v>
      </c>
      <c r="E473" s="11">
        <v>6</v>
      </c>
      <c r="F473" t="s">
        <v>805</v>
      </c>
      <c r="G473" t="s">
        <v>1195</v>
      </c>
      <c r="H473" s="12">
        <v>129000</v>
      </c>
      <c r="I473" s="9">
        <v>0</v>
      </c>
      <c r="J473" s="15">
        <v>0.13636363636363599</v>
      </c>
      <c r="K473" s="12">
        <v>6890</v>
      </c>
      <c r="L473" s="12">
        <v>5000</v>
      </c>
      <c r="M473" s="9">
        <v>0</v>
      </c>
      <c r="N473" s="12">
        <v>0</v>
      </c>
      <c r="O473">
        <v>0</v>
      </c>
      <c r="P473">
        <v>1</v>
      </c>
      <c r="Q473" s="15">
        <f t="shared" si="21"/>
        <v>0.1897744890768143</v>
      </c>
      <c r="R473" s="9">
        <f t="shared" si="22"/>
        <v>17590.909090909045</v>
      </c>
      <c r="S473" s="9">
        <f t="shared" si="23"/>
        <v>24480.909090909045</v>
      </c>
    </row>
    <row r="474" spans="1:19" x14ac:dyDescent="0.25">
      <c r="A474" t="s">
        <v>1192</v>
      </c>
      <c r="B474">
        <v>30019</v>
      </c>
      <c r="C474" s="8">
        <v>45595</v>
      </c>
      <c r="D474" t="s">
        <v>1309</v>
      </c>
      <c r="E474" s="11">
        <v>6</v>
      </c>
      <c r="F474" t="s">
        <v>805</v>
      </c>
      <c r="G474" t="s">
        <v>1195</v>
      </c>
      <c r="H474" s="12">
        <v>386000</v>
      </c>
      <c r="I474" s="9">
        <v>0</v>
      </c>
      <c r="J474" s="15">
        <v>0.13500000000000001</v>
      </c>
      <c r="K474" s="12">
        <v>6890</v>
      </c>
      <c r="L474" s="12">
        <v>5000</v>
      </c>
      <c r="M474" s="9">
        <v>0</v>
      </c>
      <c r="N474" s="12">
        <v>0</v>
      </c>
      <c r="O474">
        <v>0</v>
      </c>
      <c r="P474">
        <v>1</v>
      </c>
      <c r="Q474" s="15">
        <f t="shared" si="21"/>
        <v>0.15284974093264247</v>
      </c>
      <c r="R474" s="9">
        <f t="shared" si="22"/>
        <v>52110</v>
      </c>
      <c r="S474" s="9">
        <f t="shared" si="23"/>
        <v>58999.999999999993</v>
      </c>
    </row>
    <row r="475" spans="1:19" x14ac:dyDescent="0.25">
      <c r="A475" t="s">
        <v>29</v>
      </c>
      <c r="B475">
        <v>30012</v>
      </c>
      <c r="C475" s="8">
        <v>45631</v>
      </c>
      <c r="D475" t="s">
        <v>898</v>
      </c>
      <c r="E475" s="11">
        <v>6</v>
      </c>
      <c r="F475" t="s">
        <v>805</v>
      </c>
      <c r="H475" s="12">
        <v>100000</v>
      </c>
      <c r="I475" s="9">
        <v>60366</v>
      </c>
      <c r="J475" s="15">
        <v>0.1</v>
      </c>
      <c r="K475" s="12">
        <v>0</v>
      </c>
      <c r="L475" s="12">
        <v>0</v>
      </c>
      <c r="M475" s="9">
        <v>0</v>
      </c>
      <c r="N475" s="12">
        <v>989.33166666666671</v>
      </c>
      <c r="O475">
        <v>59</v>
      </c>
      <c r="Q475" s="15">
        <f t="shared" si="21"/>
        <v>0.1</v>
      </c>
      <c r="R475" s="9">
        <f t="shared" si="22"/>
        <v>10000</v>
      </c>
      <c r="S475" s="9">
        <f t="shared" si="23"/>
        <v>10000</v>
      </c>
    </row>
    <row r="476" spans="1:19" x14ac:dyDescent="0.25">
      <c r="A476" t="s">
        <v>1192</v>
      </c>
      <c r="B476">
        <v>30019</v>
      </c>
      <c r="C476" s="8">
        <v>45600</v>
      </c>
      <c r="D476" t="s">
        <v>747</v>
      </c>
      <c r="E476" s="11">
        <v>6</v>
      </c>
      <c r="F476" t="s">
        <v>1196</v>
      </c>
      <c r="G476" t="s">
        <v>1195</v>
      </c>
      <c r="H476" s="12">
        <v>47000</v>
      </c>
      <c r="I476" s="9">
        <v>0</v>
      </c>
      <c r="J476" s="15">
        <v>0.15</v>
      </c>
      <c r="K476" s="12">
        <v>6890</v>
      </c>
      <c r="L476" s="12">
        <v>5000</v>
      </c>
      <c r="M476" s="9">
        <v>0</v>
      </c>
      <c r="N476" s="12">
        <v>0</v>
      </c>
      <c r="O476">
        <v>0</v>
      </c>
      <c r="P476">
        <v>1</v>
      </c>
      <c r="Q476" s="15">
        <f t="shared" si="21"/>
        <v>0.29659574468085104</v>
      </c>
      <c r="R476" s="9">
        <f t="shared" si="22"/>
        <v>7050</v>
      </c>
      <c r="S476" s="9">
        <f t="shared" si="23"/>
        <v>13939.999999999998</v>
      </c>
    </row>
    <row r="477" spans="1:19" x14ac:dyDescent="0.25">
      <c r="A477" t="s">
        <v>29</v>
      </c>
      <c r="B477">
        <v>30012</v>
      </c>
      <c r="C477" s="8">
        <v>45621</v>
      </c>
      <c r="D477" t="s">
        <v>945</v>
      </c>
      <c r="E477" s="11">
        <v>6</v>
      </c>
      <c r="F477" t="s">
        <v>805</v>
      </c>
      <c r="H477" s="12">
        <v>880000</v>
      </c>
      <c r="I477" s="9">
        <v>442868</v>
      </c>
      <c r="J477" s="15">
        <v>0.1</v>
      </c>
      <c r="K477" s="12">
        <v>0</v>
      </c>
      <c r="L477" s="12">
        <v>0</v>
      </c>
      <c r="M477" s="9">
        <v>0</v>
      </c>
      <c r="N477" s="12">
        <v>3075.4722222222222</v>
      </c>
      <c r="O477">
        <v>25</v>
      </c>
      <c r="Q477" s="15">
        <f t="shared" si="21"/>
        <v>0.1</v>
      </c>
      <c r="R477" s="9">
        <f t="shared" si="22"/>
        <v>88000</v>
      </c>
      <c r="S477" s="9">
        <f t="shared" si="23"/>
        <v>88000</v>
      </c>
    </row>
    <row r="478" spans="1:19" x14ac:dyDescent="0.25">
      <c r="A478" t="s">
        <v>29</v>
      </c>
      <c r="B478">
        <v>30012</v>
      </c>
      <c r="C478" s="8">
        <v>45631</v>
      </c>
      <c r="D478" t="s">
        <v>899</v>
      </c>
      <c r="E478" s="11">
        <v>6</v>
      </c>
      <c r="F478" t="s">
        <v>805</v>
      </c>
      <c r="H478" s="12">
        <v>190000</v>
      </c>
      <c r="I478" s="9">
        <v>187999</v>
      </c>
      <c r="J478" s="15">
        <v>0.1</v>
      </c>
      <c r="K478" s="12">
        <v>0</v>
      </c>
      <c r="L478" s="12">
        <v>0</v>
      </c>
      <c r="M478" s="9">
        <v>0</v>
      </c>
      <c r="N478" s="12">
        <v>4386.6433333333334</v>
      </c>
      <c r="O478">
        <v>84</v>
      </c>
      <c r="Q478" s="15">
        <f t="shared" si="21"/>
        <v>0.1</v>
      </c>
      <c r="R478" s="9">
        <f t="shared" si="22"/>
        <v>19000</v>
      </c>
      <c r="S478" s="9">
        <f t="shared" si="23"/>
        <v>19000</v>
      </c>
    </row>
    <row r="479" spans="1:19" x14ac:dyDescent="0.25">
      <c r="A479" t="s">
        <v>210</v>
      </c>
      <c r="B479" t="s">
        <v>783</v>
      </c>
      <c r="C479" s="8">
        <v>45573</v>
      </c>
      <c r="D479" t="s">
        <v>682</v>
      </c>
      <c r="E479" s="11">
        <v>6</v>
      </c>
      <c r="F479" t="s">
        <v>805</v>
      </c>
      <c r="G479" t="s">
        <v>213</v>
      </c>
      <c r="H479" s="12">
        <v>74069</v>
      </c>
      <c r="I479" s="9">
        <v>74069</v>
      </c>
      <c r="J479" s="15">
        <v>0.14000000000000001</v>
      </c>
      <c r="K479" s="12">
        <v>3851.5880000000002</v>
      </c>
      <c r="M479" s="9">
        <v>727.95013200000005</v>
      </c>
      <c r="P479">
        <v>1</v>
      </c>
      <c r="Q479" s="15">
        <f t="shared" si="21"/>
        <v>0.20182800000000001</v>
      </c>
      <c r="R479" s="9">
        <f t="shared" si="22"/>
        <v>10369.660000000002</v>
      </c>
      <c r="S479" s="9">
        <f t="shared" si="23"/>
        <v>14949.198132000001</v>
      </c>
    </row>
    <row r="480" spans="1:19" x14ac:dyDescent="0.25">
      <c r="A480" t="s">
        <v>29</v>
      </c>
      <c r="B480">
        <v>30012</v>
      </c>
      <c r="C480" s="8">
        <v>45652</v>
      </c>
      <c r="D480" t="s">
        <v>841</v>
      </c>
      <c r="E480" s="11">
        <v>6</v>
      </c>
      <c r="F480" t="s">
        <v>805</v>
      </c>
      <c r="H480" s="12">
        <v>2425290</v>
      </c>
      <c r="I480" s="9">
        <v>2425290</v>
      </c>
      <c r="J480" s="15">
        <v>0.15</v>
      </c>
      <c r="K480" s="12">
        <v>0</v>
      </c>
      <c r="L480" s="12">
        <v>0</v>
      </c>
      <c r="M480" s="9">
        <v>0</v>
      </c>
      <c r="N480" s="12">
        <v>6063.2250000000004</v>
      </c>
      <c r="O480">
        <v>6</v>
      </c>
      <c r="Q480" s="15">
        <f t="shared" si="21"/>
        <v>0.15</v>
      </c>
      <c r="R480" s="9">
        <f t="shared" si="22"/>
        <v>363793.5</v>
      </c>
      <c r="S480" s="9">
        <f t="shared" si="23"/>
        <v>363793.5</v>
      </c>
    </row>
    <row r="481" spans="1:19" x14ac:dyDescent="0.25">
      <c r="A481" t="s">
        <v>29</v>
      </c>
      <c r="B481">
        <v>30012</v>
      </c>
      <c r="C481" s="8">
        <v>45632</v>
      </c>
      <c r="D481" t="s">
        <v>894</v>
      </c>
      <c r="E481" s="11">
        <v>6</v>
      </c>
      <c r="F481" t="s">
        <v>819</v>
      </c>
      <c r="H481" s="12">
        <v>175000</v>
      </c>
      <c r="I481" s="9">
        <v>176344</v>
      </c>
      <c r="J481" s="15">
        <v>0.1</v>
      </c>
      <c r="K481" s="12">
        <v>0</v>
      </c>
      <c r="L481" s="12">
        <v>0</v>
      </c>
      <c r="M481" s="9">
        <v>0</v>
      </c>
      <c r="N481" s="12">
        <v>3575.8644444444449</v>
      </c>
      <c r="O481">
        <v>73</v>
      </c>
      <c r="Q481" s="15">
        <f t="shared" si="21"/>
        <v>0.1</v>
      </c>
      <c r="R481" s="9">
        <f t="shared" si="22"/>
        <v>17500</v>
      </c>
      <c r="S481" s="9">
        <f t="shared" si="23"/>
        <v>17500</v>
      </c>
    </row>
    <row r="482" spans="1:19" x14ac:dyDescent="0.25">
      <c r="A482" t="s">
        <v>1192</v>
      </c>
      <c r="B482">
        <v>30019</v>
      </c>
      <c r="C482" s="8">
        <v>45581</v>
      </c>
      <c r="D482" t="s">
        <v>1266</v>
      </c>
      <c r="E482" s="11">
        <v>6</v>
      </c>
      <c r="F482" t="s">
        <v>805</v>
      </c>
      <c r="G482" t="s">
        <v>1195</v>
      </c>
      <c r="H482" s="12">
        <v>87000</v>
      </c>
      <c r="I482" s="9">
        <v>0</v>
      </c>
      <c r="J482" s="15">
        <v>0.15</v>
      </c>
      <c r="K482" s="12">
        <v>6890</v>
      </c>
      <c r="L482" s="12">
        <v>5000</v>
      </c>
      <c r="M482" s="9">
        <v>0</v>
      </c>
      <c r="N482" s="12">
        <v>0</v>
      </c>
      <c r="O482">
        <v>0</v>
      </c>
      <c r="P482">
        <v>1</v>
      </c>
      <c r="Q482" s="15">
        <f t="shared" si="21"/>
        <v>0.22919540229885058</v>
      </c>
      <c r="R482" s="9">
        <f t="shared" si="22"/>
        <v>13050</v>
      </c>
      <c r="S482" s="9">
        <f t="shared" si="23"/>
        <v>19940</v>
      </c>
    </row>
    <row r="483" spans="1:19" x14ac:dyDescent="0.25">
      <c r="A483" t="s">
        <v>210</v>
      </c>
      <c r="B483" t="s">
        <v>783</v>
      </c>
      <c r="C483" s="8">
        <v>45572</v>
      </c>
      <c r="D483" t="s">
        <v>1145</v>
      </c>
      <c r="E483" s="11">
        <v>6</v>
      </c>
      <c r="F483" t="s">
        <v>805</v>
      </c>
      <c r="G483" t="s">
        <v>213</v>
      </c>
      <c r="H483" s="12">
        <v>69971</v>
      </c>
      <c r="I483" s="9">
        <v>69971</v>
      </c>
      <c r="J483" s="15">
        <v>0.14000000000000001</v>
      </c>
      <c r="K483" s="12">
        <v>3638.4920000000002</v>
      </c>
      <c r="M483" s="9">
        <v>687.6749880000001</v>
      </c>
      <c r="P483">
        <v>1</v>
      </c>
      <c r="Q483" s="15">
        <f t="shared" si="21"/>
        <v>0.20182800000000001</v>
      </c>
      <c r="R483" s="9">
        <f t="shared" si="22"/>
        <v>9795.94</v>
      </c>
      <c r="S483" s="9">
        <f t="shared" si="23"/>
        <v>14122.106988000001</v>
      </c>
    </row>
    <row r="484" spans="1:19" x14ac:dyDescent="0.25">
      <c r="A484" t="s">
        <v>29</v>
      </c>
      <c r="B484">
        <v>30012</v>
      </c>
      <c r="C484" s="8">
        <v>45639</v>
      </c>
      <c r="D484" t="s">
        <v>877</v>
      </c>
      <c r="E484" s="11">
        <v>6</v>
      </c>
      <c r="F484" t="s">
        <v>805</v>
      </c>
      <c r="H484" s="12">
        <v>450000</v>
      </c>
      <c r="I484" s="9">
        <v>400686</v>
      </c>
      <c r="J484" s="15">
        <v>0.1</v>
      </c>
      <c r="K484" s="12">
        <v>0</v>
      </c>
      <c r="L484" s="12">
        <v>0</v>
      </c>
      <c r="M484" s="9">
        <v>0</v>
      </c>
      <c r="N484" s="12">
        <v>6010.2900000000009</v>
      </c>
      <c r="O484">
        <v>54</v>
      </c>
      <c r="Q484" s="15">
        <f t="shared" si="21"/>
        <v>0.1</v>
      </c>
      <c r="R484" s="9">
        <f t="shared" si="22"/>
        <v>45000</v>
      </c>
      <c r="S484" s="9">
        <f t="shared" si="23"/>
        <v>45000</v>
      </c>
    </row>
    <row r="485" spans="1:19" x14ac:dyDescent="0.25">
      <c r="A485" t="s">
        <v>29</v>
      </c>
      <c r="B485">
        <v>30012</v>
      </c>
      <c r="C485" s="8">
        <v>45597</v>
      </c>
      <c r="D485" t="s">
        <v>1010</v>
      </c>
      <c r="E485" s="11">
        <v>6</v>
      </c>
      <c r="F485" t="s">
        <v>805</v>
      </c>
      <c r="H485" s="12">
        <v>200309</v>
      </c>
      <c r="I485" s="9">
        <v>200309</v>
      </c>
      <c r="J485" s="15">
        <v>0.15</v>
      </c>
      <c r="K485" s="12">
        <v>0</v>
      </c>
      <c r="L485" s="12">
        <v>0</v>
      </c>
      <c r="M485" s="9">
        <v>0</v>
      </c>
      <c r="N485" s="12">
        <v>5091.1870833333332</v>
      </c>
      <c r="O485">
        <v>61</v>
      </c>
      <c r="Q485" s="15">
        <f t="shared" si="21"/>
        <v>0.15</v>
      </c>
      <c r="R485" s="9">
        <f t="shared" si="22"/>
        <v>30046.35</v>
      </c>
      <c r="S485" s="9">
        <f t="shared" si="23"/>
        <v>30046.35</v>
      </c>
    </row>
    <row r="486" spans="1:19" x14ac:dyDescent="0.25">
      <c r="A486" t="s">
        <v>29</v>
      </c>
      <c r="B486">
        <v>30012</v>
      </c>
      <c r="C486" s="8">
        <v>45631</v>
      </c>
      <c r="D486" t="s">
        <v>897</v>
      </c>
      <c r="E486" s="11">
        <v>6</v>
      </c>
      <c r="F486" t="s">
        <v>805</v>
      </c>
      <c r="H486" s="12">
        <v>100000</v>
      </c>
      <c r="I486" s="9">
        <v>1321</v>
      </c>
      <c r="J486" s="15">
        <v>0.1</v>
      </c>
      <c r="K486" s="12">
        <v>0</v>
      </c>
      <c r="L486" s="12">
        <v>0</v>
      </c>
      <c r="M486" s="9">
        <v>0</v>
      </c>
      <c r="N486" s="12">
        <v>23.484444444444442</v>
      </c>
      <c r="O486">
        <v>64</v>
      </c>
      <c r="Q486" s="15">
        <f t="shared" si="21"/>
        <v>0.1</v>
      </c>
      <c r="R486" s="9">
        <f t="shared" si="22"/>
        <v>10000</v>
      </c>
      <c r="S486" s="9">
        <f t="shared" si="23"/>
        <v>10000</v>
      </c>
    </row>
    <row r="487" spans="1:19" x14ac:dyDescent="0.25">
      <c r="A487" t="s">
        <v>1192</v>
      </c>
      <c r="B487">
        <v>30019</v>
      </c>
      <c r="C487" s="8">
        <v>45568</v>
      </c>
      <c r="D487" t="s">
        <v>1208</v>
      </c>
      <c r="E487" s="11">
        <v>6</v>
      </c>
      <c r="F487" t="s">
        <v>805</v>
      </c>
      <c r="G487" t="s">
        <v>1195</v>
      </c>
      <c r="H487" s="12">
        <v>71000</v>
      </c>
      <c r="I487" s="9">
        <v>0</v>
      </c>
      <c r="J487" s="15">
        <v>0.15</v>
      </c>
      <c r="K487" s="12">
        <v>6890</v>
      </c>
      <c r="L487" s="12">
        <v>5000</v>
      </c>
      <c r="M487" s="9">
        <v>0</v>
      </c>
      <c r="N487" s="12">
        <v>0</v>
      </c>
      <c r="O487">
        <v>0</v>
      </c>
      <c r="P487">
        <v>1</v>
      </c>
      <c r="Q487" s="15">
        <f t="shared" si="21"/>
        <v>0.24704225352112677</v>
      </c>
      <c r="R487" s="9">
        <f t="shared" si="22"/>
        <v>10650</v>
      </c>
      <c r="S487" s="9">
        <f t="shared" si="23"/>
        <v>17540</v>
      </c>
    </row>
    <row r="488" spans="1:19" x14ac:dyDescent="0.25">
      <c r="A488" t="s">
        <v>29</v>
      </c>
      <c r="B488">
        <v>30012</v>
      </c>
      <c r="C488" s="8">
        <v>45629</v>
      </c>
      <c r="D488" t="s">
        <v>912</v>
      </c>
      <c r="E488" s="11">
        <v>6</v>
      </c>
      <c r="F488" t="s">
        <v>819</v>
      </c>
      <c r="H488" s="12">
        <v>108562</v>
      </c>
      <c r="I488" s="9">
        <v>108562</v>
      </c>
      <c r="J488" s="15">
        <v>0.15</v>
      </c>
      <c r="K488" s="12">
        <v>0</v>
      </c>
      <c r="L488" s="12">
        <v>0</v>
      </c>
      <c r="M488" s="9">
        <v>0</v>
      </c>
      <c r="N488" s="12">
        <v>1311.7908333333332</v>
      </c>
      <c r="O488">
        <v>29</v>
      </c>
      <c r="Q488" s="15">
        <f t="shared" si="21"/>
        <v>0.15</v>
      </c>
      <c r="R488" s="9">
        <f t="shared" si="22"/>
        <v>16284.3</v>
      </c>
      <c r="S488" s="9">
        <f t="shared" si="23"/>
        <v>16284.3</v>
      </c>
    </row>
    <row r="489" spans="1:19" x14ac:dyDescent="0.25">
      <c r="A489" t="s">
        <v>1192</v>
      </c>
      <c r="B489">
        <v>30019</v>
      </c>
      <c r="C489" s="8">
        <v>45650</v>
      </c>
      <c r="D489" t="s">
        <v>1460</v>
      </c>
      <c r="E489" s="11">
        <v>6</v>
      </c>
      <c r="F489" t="s">
        <v>819</v>
      </c>
      <c r="H489" s="12">
        <v>39500</v>
      </c>
      <c r="I489" s="9">
        <v>0</v>
      </c>
      <c r="J489" s="15">
        <v>0.1</v>
      </c>
      <c r="K489" s="12">
        <v>6890</v>
      </c>
      <c r="L489" s="12">
        <v>5000</v>
      </c>
      <c r="M489" s="9">
        <v>0</v>
      </c>
      <c r="N489" s="12">
        <v>0</v>
      </c>
      <c r="O489">
        <v>0</v>
      </c>
      <c r="P489">
        <v>1</v>
      </c>
      <c r="Q489" s="15">
        <f t="shared" si="21"/>
        <v>0.27443037974683543</v>
      </c>
      <c r="R489" s="9">
        <f t="shared" si="22"/>
        <v>3950</v>
      </c>
      <c r="S489" s="9">
        <f t="shared" si="23"/>
        <v>10840</v>
      </c>
    </row>
    <row r="490" spans="1:19" x14ac:dyDescent="0.25">
      <c r="A490" t="s">
        <v>29</v>
      </c>
      <c r="B490">
        <v>30012</v>
      </c>
      <c r="C490" s="8">
        <v>45623</v>
      </c>
      <c r="D490" t="s">
        <v>936</v>
      </c>
      <c r="E490" s="11">
        <v>6</v>
      </c>
      <c r="F490" t="s">
        <v>819</v>
      </c>
      <c r="H490" s="12">
        <v>150000</v>
      </c>
      <c r="I490" s="9">
        <v>156954</v>
      </c>
      <c r="J490" s="15">
        <v>0.1</v>
      </c>
      <c r="K490" s="12">
        <v>0</v>
      </c>
      <c r="L490" s="12">
        <v>0</v>
      </c>
      <c r="M490" s="9">
        <v>0</v>
      </c>
      <c r="N490" s="12">
        <v>3705.858333333334</v>
      </c>
      <c r="O490">
        <v>85</v>
      </c>
      <c r="Q490" s="15">
        <f t="shared" si="21"/>
        <v>0.1</v>
      </c>
      <c r="R490" s="9">
        <f t="shared" si="22"/>
        <v>15000</v>
      </c>
      <c r="S490" s="9">
        <f t="shared" si="23"/>
        <v>15000</v>
      </c>
    </row>
    <row r="491" spans="1:19" x14ac:dyDescent="0.25">
      <c r="A491" t="s">
        <v>29</v>
      </c>
      <c r="B491">
        <v>30012</v>
      </c>
      <c r="C491" s="8">
        <v>45590</v>
      </c>
      <c r="D491" t="s">
        <v>1035</v>
      </c>
      <c r="E491" s="11">
        <v>6</v>
      </c>
      <c r="F491" t="s">
        <v>805</v>
      </c>
      <c r="H491" s="12">
        <v>119083</v>
      </c>
      <c r="I491" s="9">
        <v>119083</v>
      </c>
      <c r="J491" s="15">
        <v>0.15</v>
      </c>
      <c r="K491" s="12">
        <v>0</v>
      </c>
      <c r="L491" s="12">
        <v>0</v>
      </c>
      <c r="M491" s="9">
        <v>0</v>
      </c>
      <c r="N491" s="12">
        <v>3374.0183333333334</v>
      </c>
      <c r="O491">
        <v>68</v>
      </c>
      <c r="Q491" s="15">
        <f t="shared" si="21"/>
        <v>0.15</v>
      </c>
      <c r="R491" s="9">
        <f t="shared" si="22"/>
        <v>17862.45</v>
      </c>
      <c r="S491" s="9">
        <f t="shared" si="23"/>
        <v>17862.45</v>
      </c>
    </row>
    <row r="492" spans="1:19" x14ac:dyDescent="0.25">
      <c r="A492" t="s">
        <v>29</v>
      </c>
      <c r="B492">
        <v>30012</v>
      </c>
      <c r="C492" s="8">
        <v>45629</v>
      </c>
      <c r="D492" t="s">
        <v>925</v>
      </c>
      <c r="E492" s="11">
        <v>6</v>
      </c>
      <c r="F492" t="s">
        <v>805</v>
      </c>
      <c r="H492" s="12">
        <v>498568</v>
      </c>
      <c r="I492" s="9">
        <v>498568</v>
      </c>
      <c r="J492" s="15">
        <v>0.15</v>
      </c>
      <c r="K492" s="12">
        <v>0</v>
      </c>
      <c r="L492" s="12">
        <v>0</v>
      </c>
      <c r="M492" s="9">
        <v>0</v>
      </c>
      <c r="N492" s="12">
        <v>6024.3633333333328</v>
      </c>
      <c r="O492">
        <v>29</v>
      </c>
      <c r="Q492" s="15">
        <f t="shared" si="21"/>
        <v>0.15</v>
      </c>
      <c r="R492" s="9">
        <f t="shared" si="22"/>
        <v>74785.2</v>
      </c>
      <c r="S492" s="9">
        <f t="shared" si="23"/>
        <v>74785.2</v>
      </c>
    </row>
    <row r="493" spans="1:19" x14ac:dyDescent="0.25">
      <c r="A493" t="s">
        <v>29</v>
      </c>
      <c r="B493">
        <v>30012</v>
      </c>
      <c r="C493" s="8">
        <v>45646</v>
      </c>
      <c r="D493" t="s">
        <v>858</v>
      </c>
      <c r="E493" s="11">
        <v>6</v>
      </c>
      <c r="F493" t="s">
        <v>805</v>
      </c>
      <c r="H493" s="12">
        <v>70000</v>
      </c>
      <c r="I493" s="9">
        <v>47627</v>
      </c>
      <c r="J493" s="15">
        <v>0.1</v>
      </c>
      <c r="K493" s="12">
        <v>0</v>
      </c>
      <c r="L493" s="12">
        <v>0</v>
      </c>
      <c r="M493" s="9">
        <v>0</v>
      </c>
      <c r="N493" s="12">
        <v>714.40499999999997</v>
      </c>
      <c r="O493">
        <v>54</v>
      </c>
      <c r="Q493" s="15">
        <f t="shared" si="21"/>
        <v>0.1</v>
      </c>
      <c r="R493" s="9">
        <f t="shared" si="22"/>
        <v>7000</v>
      </c>
      <c r="S493" s="9">
        <f t="shared" si="23"/>
        <v>7000</v>
      </c>
    </row>
    <row r="494" spans="1:19" x14ac:dyDescent="0.25">
      <c r="A494" t="s">
        <v>29</v>
      </c>
      <c r="B494">
        <v>30012</v>
      </c>
      <c r="C494" s="8">
        <v>45582</v>
      </c>
      <c r="D494" t="s">
        <v>1057</v>
      </c>
      <c r="E494" s="11">
        <v>6</v>
      </c>
      <c r="F494" t="s">
        <v>819</v>
      </c>
      <c r="H494" s="12">
        <v>700000</v>
      </c>
      <c r="I494" s="9">
        <v>524385</v>
      </c>
      <c r="J494" s="15">
        <v>0.1</v>
      </c>
      <c r="K494" s="12">
        <v>0</v>
      </c>
      <c r="L494" s="12">
        <v>0</v>
      </c>
      <c r="M494" s="9">
        <v>0</v>
      </c>
      <c r="N494" s="12">
        <v>291.32499999999999</v>
      </c>
      <c r="O494">
        <v>2</v>
      </c>
      <c r="Q494" s="15">
        <f t="shared" si="21"/>
        <v>0.1</v>
      </c>
      <c r="R494" s="9">
        <f t="shared" si="22"/>
        <v>70000</v>
      </c>
      <c r="S494" s="9">
        <f t="shared" si="23"/>
        <v>70000</v>
      </c>
    </row>
    <row r="495" spans="1:19" x14ac:dyDescent="0.25">
      <c r="A495" t="s">
        <v>1192</v>
      </c>
      <c r="B495">
        <v>30019</v>
      </c>
      <c r="C495" s="8">
        <v>45636</v>
      </c>
      <c r="D495" t="s">
        <v>1435</v>
      </c>
      <c r="E495" s="11">
        <v>6</v>
      </c>
      <c r="F495" t="s">
        <v>805</v>
      </c>
      <c r="H495" s="12">
        <v>381000</v>
      </c>
      <c r="I495" s="9">
        <v>0</v>
      </c>
      <c r="J495" s="15">
        <v>0.125</v>
      </c>
      <c r="K495" s="12">
        <v>6890</v>
      </c>
      <c r="L495" s="12">
        <v>5000</v>
      </c>
      <c r="M495" s="9">
        <v>0</v>
      </c>
      <c r="N495" s="12">
        <v>0</v>
      </c>
      <c r="O495">
        <v>0</v>
      </c>
      <c r="P495">
        <v>1</v>
      </c>
      <c r="Q495" s="15">
        <f t="shared" si="21"/>
        <v>0.14308398950131235</v>
      </c>
      <c r="R495" s="9">
        <f t="shared" si="22"/>
        <v>47625</v>
      </c>
      <c r="S495" s="9">
        <f t="shared" si="23"/>
        <v>54515.000000000007</v>
      </c>
    </row>
    <row r="496" spans="1:19" x14ac:dyDescent="0.25">
      <c r="A496" t="s">
        <v>29</v>
      </c>
      <c r="B496">
        <v>30012</v>
      </c>
      <c r="C496" s="8">
        <v>45610</v>
      </c>
      <c r="D496" t="s">
        <v>968</v>
      </c>
      <c r="E496" s="11">
        <v>6</v>
      </c>
      <c r="F496" t="s">
        <v>805</v>
      </c>
      <c r="H496" s="12">
        <v>122000</v>
      </c>
      <c r="I496" s="9">
        <v>131446</v>
      </c>
      <c r="J496" s="15">
        <v>0.1</v>
      </c>
      <c r="K496" s="12">
        <v>0</v>
      </c>
      <c r="L496" s="12">
        <v>0</v>
      </c>
      <c r="M496" s="9">
        <v>0</v>
      </c>
      <c r="N496" s="12">
        <v>1752.6133333333335</v>
      </c>
      <c r="O496">
        <v>48</v>
      </c>
      <c r="Q496" s="15">
        <f t="shared" si="21"/>
        <v>0.1</v>
      </c>
      <c r="R496" s="9">
        <f t="shared" si="22"/>
        <v>12200</v>
      </c>
      <c r="S496" s="9">
        <f t="shared" si="23"/>
        <v>12200</v>
      </c>
    </row>
    <row r="497" spans="1:19" x14ac:dyDescent="0.25">
      <c r="A497" t="s">
        <v>29</v>
      </c>
      <c r="B497">
        <v>30012</v>
      </c>
      <c r="C497" s="8">
        <v>45611</v>
      </c>
      <c r="D497" t="s">
        <v>959</v>
      </c>
      <c r="E497" s="11">
        <v>6</v>
      </c>
      <c r="F497" t="s">
        <v>819</v>
      </c>
      <c r="H497" s="12">
        <v>70000</v>
      </c>
      <c r="I497" s="9">
        <v>66050</v>
      </c>
      <c r="J497" s="15">
        <v>0.1</v>
      </c>
      <c r="K497" s="12">
        <v>0</v>
      </c>
      <c r="L497" s="12">
        <v>0</v>
      </c>
      <c r="M497" s="9">
        <v>0</v>
      </c>
      <c r="N497" s="12">
        <v>1651.25</v>
      </c>
      <c r="O497">
        <v>90</v>
      </c>
      <c r="Q497" s="15">
        <f t="shared" si="21"/>
        <v>0.1</v>
      </c>
      <c r="R497" s="9">
        <f t="shared" si="22"/>
        <v>7000</v>
      </c>
      <c r="S497" s="9">
        <f t="shared" si="23"/>
        <v>7000</v>
      </c>
    </row>
    <row r="498" spans="1:19" x14ac:dyDescent="0.25">
      <c r="A498" t="s">
        <v>1192</v>
      </c>
      <c r="B498">
        <v>30019</v>
      </c>
      <c r="C498" s="8">
        <v>45581</v>
      </c>
      <c r="D498" t="s">
        <v>1265</v>
      </c>
      <c r="E498" s="11">
        <v>6</v>
      </c>
      <c r="F498" t="s">
        <v>805</v>
      </c>
      <c r="G498" t="s">
        <v>1194</v>
      </c>
      <c r="H498" s="12">
        <v>72000</v>
      </c>
      <c r="I498" s="9">
        <v>0</v>
      </c>
      <c r="J498" s="15">
        <v>0.12</v>
      </c>
      <c r="K498" s="12">
        <v>6890</v>
      </c>
      <c r="L498" s="12">
        <v>5000</v>
      </c>
      <c r="M498" s="9">
        <v>0</v>
      </c>
      <c r="N498" s="12">
        <v>0</v>
      </c>
      <c r="O498">
        <v>0</v>
      </c>
      <c r="P498">
        <v>1</v>
      </c>
      <c r="Q498" s="15">
        <f t="shared" si="21"/>
        <v>0.21569444444444444</v>
      </c>
      <c r="R498" s="9">
        <f t="shared" si="22"/>
        <v>8640</v>
      </c>
      <c r="S498" s="9">
        <f t="shared" si="23"/>
        <v>15530</v>
      </c>
    </row>
    <row r="499" spans="1:19" x14ac:dyDescent="0.25">
      <c r="A499" t="s">
        <v>1192</v>
      </c>
      <c r="B499">
        <v>30019</v>
      </c>
      <c r="C499" s="8">
        <v>45656</v>
      </c>
      <c r="D499" t="s">
        <v>1471</v>
      </c>
      <c r="E499" s="11">
        <v>6</v>
      </c>
      <c r="F499" t="s">
        <v>805</v>
      </c>
      <c r="G499" t="s">
        <v>1195</v>
      </c>
      <c r="H499" s="12">
        <v>59000</v>
      </c>
      <c r="I499" s="9">
        <v>0</v>
      </c>
      <c r="J499" s="15">
        <v>0.125</v>
      </c>
      <c r="K499" s="12">
        <v>6890</v>
      </c>
      <c r="L499" s="12">
        <v>5000</v>
      </c>
      <c r="M499" s="9">
        <v>0</v>
      </c>
      <c r="N499" s="12">
        <v>0</v>
      </c>
      <c r="O499">
        <v>0</v>
      </c>
      <c r="P499">
        <v>1</v>
      </c>
      <c r="Q499" s="15">
        <f t="shared" si="21"/>
        <v>0.24177966101694914</v>
      </c>
      <c r="R499" s="9">
        <f t="shared" si="22"/>
        <v>7375</v>
      </c>
      <c r="S499" s="9">
        <f t="shared" si="23"/>
        <v>14265</v>
      </c>
    </row>
    <row r="500" spans="1:19" x14ac:dyDescent="0.25">
      <c r="A500" t="s">
        <v>29</v>
      </c>
      <c r="B500">
        <v>30012</v>
      </c>
      <c r="C500" s="8">
        <v>45635</v>
      </c>
      <c r="D500" t="s">
        <v>890</v>
      </c>
      <c r="E500" s="11">
        <v>6</v>
      </c>
      <c r="F500" t="s">
        <v>805</v>
      </c>
      <c r="H500" s="12">
        <v>100000</v>
      </c>
      <c r="I500" s="9">
        <v>92338</v>
      </c>
      <c r="J500" s="15">
        <v>0.1</v>
      </c>
      <c r="K500" s="12">
        <v>0</v>
      </c>
      <c r="L500" s="12">
        <v>0</v>
      </c>
      <c r="M500" s="9">
        <v>0</v>
      </c>
      <c r="N500" s="12">
        <v>487.3394444444445</v>
      </c>
      <c r="O500">
        <v>19</v>
      </c>
      <c r="Q500" s="15">
        <f t="shared" si="21"/>
        <v>0.1</v>
      </c>
      <c r="R500" s="9">
        <f t="shared" si="22"/>
        <v>10000</v>
      </c>
      <c r="S500" s="9">
        <f t="shared" si="23"/>
        <v>10000</v>
      </c>
    </row>
    <row r="501" spans="1:19" x14ac:dyDescent="0.25">
      <c r="A501" t="s">
        <v>29</v>
      </c>
      <c r="B501">
        <v>30012</v>
      </c>
      <c r="C501" s="8">
        <v>45608</v>
      </c>
      <c r="D501" t="s">
        <v>976</v>
      </c>
      <c r="E501" s="11">
        <v>6</v>
      </c>
      <c r="F501" t="s">
        <v>822</v>
      </c>
      <c r="H501" s="12">
        <v>80000</v>
      </c>
      <c r="I501" s="9">
        <v>81207</v>
      </c>
      <c r="J501" s="15">
        <v>0.1</v>
      </c>
      <c r="K501" s="12">
        <v>0</v>
      </c>
      <c r="L501" s="12">
        <v>0</v>
      </c>
      <c r="M501" s="9">
        <v>0</v>
      </c>
      <c r="N501" s="12">
        <v>1962.5025000000001</v>
      </c>
      <c r="O501">
        <v>87</v>
      </c>
      <c r="Q501" s="15">
        <f t="shared" si="21"/>
        <v>0.1</v>
      </c>
      <c r="R501" s="9">
        <f t="shared" si="22"/>
        <v>8000</v>
      </c>
      <c r="S501" s="9">
        <f t="shared" si="23"/>
        <v>8000</v>
      </c>
    </row>
    <row r="502" spans="1:19" x14ac:dyDescent="0.25">
      <c r="A502" t="s">
        <v>29</v>
      </c>
      <c r="B502">
        <v>30012</v>
      </c>
      <c r="C502" s="8">
        <v>45568</v>
      </c>
      <c r="D502" t="s">
        <v>1094</v>
      </c>
      <c r="E502" s="11">
        <v>6</v>
      </c>
      <c r="F502" t="s">
        <v>819</v>
      </c>
      <c r="H502" s="12">
        <v>100000</v>
      </c>
      <c r="I502" s="9">
        <v>101485</v>
      </c>
      <c r="J502" s="15">
        <v>0.1</v>
      </c>
      <c r="K502" s="12">
        <v>0</v>
      </c>
      <c r="L502" s="12">
        <v>0</v>
      </c>
      <c r="M502" s="9">
        <v>0</v>
      </c>
      <c r="N502" s="12">
        <v>2480.7444444444445</v>
      </c>
      <c r="O502">
        <v>88</v>
      </c>
      <c r="Q502" s="15">
        <f t="shared" si="21"/>
        <v>0.1</v>
      </c>
      <c r="R502" s="9">
        <f t="shared" si="22"/>
        <v>10000</v>
      </c>
      <c r="S502" s="9">
        <f t="shared" si="23"/>
        <v>10000</v>
      </c>
    </row>
    <row r="503" spans="1:19" x14ac:dyDescent="0.25">
      <c r="A503" t="s">
        <v>29</v>
      </c>
      <c r="B503">
        <v>30012</v>
      </c>
      <c r="C503" s="8">
        <v>45566</v>
      </c>
      <c r="D503" t="s">
        <v>1114</v>
      </c>
      <c r="E503" s="11">
        <v>6</v>
      </c>
      <c r="F503" t="s">
        <v>819</v>
      </c>
      <c r="H503" s="12">
        <v>72382</v>
      </c>
      <c r="I503" s="9">
        <v>72382</v>
      </c>
      <c r="J503" s="15">
        <v>0.15</v>
      </c>
      <c r="K503" s="12">
        <v>0</v>
      </c>
      <c r="L503" s="12">
        <v>0</v>
      </c>
      <c r="M503" s="9">
        <v>0</v>
      </c>
      <c r="N503" s="12">
        <v>2774.6433333333334</v>
      </c>
      <c r="O503">
        <v>92</v>
      </c>
      <c r="Q503" s="15">
        <f t="shared" si="21"/>
        <v>0.15</v>
      </c>
      <c r="R503" s="9">
        <f t="shared" si="22"/>
        <v>10857.3</v>
      </c>
      <c r="S503" s="9">
        <f t="shared" si="23"/>
        <v>10857.3</v>
      </c>
    </row>
    <row r="504" spans="1:19" x14ac:dyDescent="0.25">
      <c r="A504" t="s">
        <v>29</v>
      </c>
      <c r="B504">
        <v>30012</v>
      </c>
      <c r="C504" s="8">
        <v>45576</v>
      </c>
      <c r="D504" t="s">
        <v>1074</v>
      </c>
      <c r="E504" s="11">
        <v>6</v>
      </c>
      <c r="F504" t="s">
        <v>819</v>
      </c>
      <c r="H504" s="12">
        <v>215000</v>
      </c>
      <c r="I504" s="9">
        <v>172593</v>
      </c>
      <c r="J504" s="15">
        <v>0.1</v>
      </c>
      <c r="K504" s="12">
        <v>0</v>
      </c>
      <c r="L504" s="12">
        <v>0</v>
      </c>
      <c r="M504" s="9">
        <v>0</v>
      </c>
      <c r="N504" s="12">
        <v>2972.4349999999995</v>
      </c>
      <c r="O504">
        <v>62</v>
      </c>
      <c r="Q504" s="15">
        <f t="shared" si="21"/>
        <v>0.1</v>
      </c>
      <c r="R504" s="9">
        <f t="shared" si="22"/>
        <v>21500</v>
      </c>
      <c r="S504" s="9">
        <f t="shared" si="23"/>
        <v>21500</v>
      </c>
    </row>
    <row r="505" spans="1:19" x14ac:dyDescent="0.25">
      <c r="A505" t="s">
        <v>1192</v>
      </c>
      <c r="B505">
        <v>30019</v>
      </c>
      <c r="C505" s="8">
        <v>45621</v>
      </c>
      <c r="D505" t="s">
        <v>1385</v>
      </c>
      <c r="E505" s="11">
        <v>6</v>
      </c>
      <c r="F505" t="s">
        <v>805</v>
      </c>
      <c r="G505" t="s">
        <v>1194</v>
      </c>
      <c r="H505" s="12">
        <v>45000</v>
      </c>
      <c r="I505" s="9">
        <v>0</v>
      </c>
      <c r="J505" s="15">
        <v>9.54545454545455E-2</v>
      </c>
      <c r="K505" s="12">
        <v>6890</v>
      </c>
      <c r="L505" s="12">
        <v>5000</v>
      </c>
      <c r="M505" s="9">
        <v>0</v>
      </c>
      <c r="N505" s="12">
        <v>0</v>
      </c>
      <c r="O505">
        <v>0</v>
      </c>
      <c r="P505">
        <v>1</v>
      </c>
      <c r="Q505" s="15">
        <f t="shared" si="21"/>
        <v>0.24856565656565663</v>
      </c>
      <c r="R505" s="9">
        <f t="shared" si="22"/>
        <v>4295.4545454545478</v>
      </c>
      <c r="S505" s="9">
        <f t="shared" si="23"/>
        <v>11185.454545454548</v>
      </c>
    </row>
    <row r="506" spans="1:19" x14ac:dyDescent="0.25">
      <c r="A506" t="s">
        <v>210</v>
      </c>
      <c r="B506" t="s">
        <v>783</v>
      </c>
      <c r="C506" s="8">
        <v>45582</v>
      </c>
      <c r="D506" t="s">
        <v>1144</v>
      </c>
      <c r="E506" s="11">
        <v>6</v>
      </c>
      <c r="F506" t="s">
        <v>805</v>
      </c>
      <c r="G506" t="s">
        <v>213</v>
      </c>
      <c r="H506" s="12">
        <v>43154</v>
      </c>
      <c r="I506" s="9">
        <v>43154</v>
      </c>
      <c r="J506" s="15">
        <v>0.14000000000000001</v>
      </c>
      <c r="K506" s="12">
        <v>2244.0080000000003</v>
      </c>
      <c r="M506" s="9">
        <v>424.11751200000003</v>
      </c>
      <c r="P506">
        <v>1</v>
      </c>
      <c r="Q506" s="15">
        <f t="shared" si="21"/>
        <v>0.20182800000000004</v>
      </c>
      <c r="R506" s="9">
        <f t="shared" si="22"/>
        <v>6041.56</v>
      </c>
      <c r="S506" s="9">
        <f t="shared" si="23"/>
        <v>8709.6855120000018</v>
      </c>
    </row>
    <row r="507" spans="1:19" x14ac:dyDescent="0.25">
      <c r="A507" t="s">
        <v>29</v>
      </c>
      <c r="B507">
        <v>30012</v>
      </c>
      <c r="C507" s="8">
        <v>45567</v>
      </c>
      <c r="D507" t="s">
        <v>1108</v>
      </c>
      <c r="E507" s="11">
        <v>6</v>
      </c>
      <c r="F507" t="s">
        <v>805</v>
      </c>
      <c r="H507" s="12">
        <v>159914</v>
      </c>
      <c r="I507" s="9">
        <v>159914</v>
      </c>
      <c r="J507" s="15">
        <v>0.15</v>
      </c>
      <c r="K507" s="12">
        <v>0</v>
      </c>
      <c r="L507" s="12">
        <v>0</v>
      </c>
      <c r="M507" s="9">
        <v>0</v>
      </c>
      <c r="N507" s="12">
        <v>6063.4058333333332</v>
      </c>
      <c r="O507">
        <v>91</v>
      </c>
      <c r="Q507" s="15">
        <f t="shared" si="21"/>
        <v>0.15</v>
      </c>
      <c r="R507" s="9">
        <f t="shared" si="22"/>
        <v>23987.1</v>
      </c>
      <c r="S507" s="9">
        <f t="shared" si="23"/>
        <v>23987.1</v>
      </c>
    </row>
    <row r="508" spans="1:19" x14ac:dyDescent="0.25">
      <c r="A508" t="s">
        <v>1192</v>
      </c>
      <c r="B508">
        <v>30019</v>
      </c>
      <c r="C508" s="8">
        <v>45642</v>
      </c>
      <c r="D508" t="s">
        <v>1450</v>
      </c>
      <c r="E508" s="11">
        <v>6</v>
      </c>
      <c r="F508" t="s">
        <v>819</v>
      </c>
      <c r="G508" t="s">
        <v>1229</v>
      </c>
      <c r="H508" s="12">
        <v>124000</v>
      </c>
      <c r="I508" s="9">
        <v>0</v>
      </c>
      <c r="J508" s="15">
        <v>0.15</v>
      </c>
      <c r="K508" s="12">
        <v>6890</v>
      </c>
      <c r="L508" s="12">
        <v>5000</v>
      </c>
      <c r="M508" s="9">
        <v>0</v>
      </c>
      <c r="N508" s="12">
        <v>0</v>
      </c>
      <c r="O508">
        <v>0</v>
      </c>
      <c r="P508">
        <v>1</v>
      </c>
      <c r="Q508" s="15">
        <f t="shared" si="21"/>
        <v>0.20556451612903226</v>
      </c>
      <c r="R508" s="9">
        <f t="shared" si="22"/>
        <v>18600</v>
      </c>
      <c r="S508" s="9">
        <f t="shared" si="23"/>
        <v>25490</v>
      </c>
    </row>
    <row r="509" spans="1:19" x14ac:dyDescent="0.25">
      <c r="A509" t="s">
        <v>1192</v>
      </c>
      <c r="B509">
        <v>30019</v>
      </c>
      <c r="C509" s="8">
        <v>45636</v>
      </c>
      <c r="D509" t="s">
        <v>1434</v>
      </c>
      <c r="E509" s="11">
        <v>6</v>
      </c>
      <c r="F509" t="s">
        <v>805</v>
      </c>
      <c r="G509" t="s">
        <v>1194</v>
      </c>
      <c r="H509" s="12">
        <v>118000</v>
      </c>
      <c r="I509" s="9">
        <v>0</v>
      </c>
      <c r="J509" s="15">
        <v>0.13636363636363599</v>
      </c>
      <c r="K509" s="12">
        <v>6890</v>
      </c>
      <c r="L509" s="12">
        <v>5000</v>
      </c>
      <c r="M509" s="9">
        <v>0</v>
      </c>
      <c r="N509" s="12">
        <v>0</v>
      </c>
      <c r="O509">
        <v>0</v>
      </c>
      <c r="P509">
        <v>1</v>
      </c>
      <c r="Q509" s="15">
        <f t="shared" si="21"/>
        <v>0.19475346687211054</v>
      </c>
      <c r="R509" s="9">
        <f t="shared" si="22"/>
        <v>16090.909090909046</v>
      </c>
      <c r="S509" s="9">
        <f t="shared" si="23"/>
        <v>22980.909090909045</v>
      </c>
    </row>
    <row r="510" spans="1:19" x14ac:dyDescent="0.25">
      <c r="A510" t="s">
        <v>29</v>
      </c>
      <c r="B510">
        <v>30012</v>
      </c>
      <c r="C510" s="8">
        <v>45567</v>
      </c>
      <c r="D510" t="s">
        <v>661</v>
      </c>
      <c r="E510" s="11">
        <v>6</v>
      </c>
      <c r="F510" t="s">
        <v>805</v>
      </c>
      <c r="H510" s="12">
        <v>129559</v>
      </c>
      <c r="I510" s="9">
        <v>129559</v>
      </c>
      <c r="J510" s="15">
        <v>0.15</v>
      </c>
      <c r="K510" s="12">
        <v>0</v>
      </c>
      <c r="L510" s="12">
        <v>0</v>
      </c>
      <c r="M510" s="9">
        <v>0</v>
      </c>
      <c r="N510" s="12">
        <v>4912.4454166666665</v>
      </c>
      <c r="O510">
        <v>91</v>
      </c>
      <c r="Q510" s="15">
        <f t="shared" si="21"/>
        <v>0.15</v>
      </c>
      <c r="R510" s="9">
        <f t="shared" si="22"/>
        <v>19433.849999999999</v>
      </c>
      <c r="S510" s="9">
        <f t="shared" si="23"/>
        <v>19433.849999999999</v>
      </c>
    </row>
    <row r="511" spans="1:19" x14ac:dyDescent="0.25">
      <c r="A511" t="s">
        <v>1496</v>
      </c>
      <c r="B511" t="s">
        <v>764</v>
      </c>
      <c r="C511" s="8">
        <v>45632</v>
      </c>
      <c r="D511" t="s">
        <v>1498</v>
      </c>
      <c r="E511" s="11">
        <v>6</v>
      </c>
      <c r="F511" t="s">
        <v>805</v>
      </c>
      <c r="G511" t="s">
        <v>768</v>
      </c>
      <c r="H511" s="12">
        <v>1000000</v>
      </c>
      <c r="I511" s="9">
        <v>1001263</v>
      </c>
      <c r="J511" s="15">
        <v>0.15</v>
      </c>
      <c r="K511" s="12">
        <v>0</v>
      </c>
      <c r="L511" s="12">
        <v>7500</v>
      </c>
      <c r="M511" s="9">
        <v>0</v>
      </c>
      <c r="N511" s="12">
        <v>76073</v>
      </c>
      <c r="O511">
        <v>3</v>
      </c>
      <c r="P511">
        <v>1</v>
      </c>
      <c r="Q511" s="15">
        <f t="shared" si="21"/>
        <v>0.15</v>
      </c>
      <c r="R511" s="9">
        <f t="shared" si="22"/>
        <v>150000</v>
      </c>
      <c r="S511" s="9">
        <f t="shared" si="23"/>
        <v>150000</v>
      </c>
    </row>
    <row r="512" spans="1:19" x14ac:dyDescent="0.25">
      <c r="A512" t="s">
        <v>1192</v>
      </c>
      <c r="B512">
        <v>30019</v>
      </c>
      <c r="C512" s="8">
        <v>45642</v>
      </c>
      <c r="D512" t="s">
        <v>1449</v>
      </c>
      <c r="E512" s="11">
        <v>6</v>
      </c>
      <c r="F512" t="s">
        <v>805</v>
      </c>
      <c r="G512" t="s">
        <v>1198</v>
      </c>
      <c r="H512" s="12">
        <v>102000</v>
      </c>
      <c r="I512" s="9">
        <v>0</v>
      </c>
      <c r="J512" s="15">
        <v>0.13636363636363599</v>
      </c>
      <c r="K512" s="12">
        <v>6890</v>
      </c>
      <c r="L512" s="12">
        <v>5000</v>
      </c>
      <c r="M512" s="9">
        <v>0</v>
      </c>
      <c r="N512" s="12">
        <v>0</v>
      </c>
      <c r="O512">
        <v>0</v>
      </c>
      <c r="P512">
        <v>1</v>
      </c>
      <c r="Q512" s="15">
        <f t="shared" si="21"/>
        <v>0.20391265597147915</v>
      </c>
      <c r="R512" s="9">
        <f t="shared" si="22"/>
        <v>13909.090909090872</v>
      </c>
      <c r="S512" s="9">
        <f t="shared" si="23"/>
        <v>20799.090909090872</v>
      </c>
    </row>
    <row r="513" spans="1:19" x14ac:dyDescent="0.25">
      <c r="A513" t="s">
        <v>29</v>
      </c>
      <c r="B513">
        <v>30012</v>
      </c>
      <c r="C513" s="8">
        <v>45610</v>
      </c>
      <c r="D513" t="s">
        <v>966</v>
      </c>
      <c r="E513" s="11">
        <v>6</v>
      </c>
      <c r="F513" t="s">
        <v>805</v>
      </c>
      <c r="H513" s="12">
        <v>86000</v>
      </c>
      <c r="I513" s="9">
        <v>66877</v>
      </c>
      <c r="J513" s="15">
        <v>0.1</v>
      </c>
      <c r="K513" s="12">
        <v>0</v>
      </c>
      <c r="L513" s="12">
        <v>0</v>
      </c>
      <c r="M513" s="9">
        <v>0</v>
      </c>
      <c r="N513" s="12">
        <v>1504.7325000000003</v>
      </c>
      <c r="O513">
        <v>81</v>
      </c>
      <c r="Q513" s="15">
        <f t="shared" si="21"/>
        <v>0.1</v>
      </c>
      <c r="R513" s="9">
        <f t="shared" si="22"/>
        <v>8600</v>
      </c>
      <c r="S513" s="9">
        <f t="shared" si="23"/>
        <v>8600</v>
      </c>
    </row>
    <row r="514" spans="1:19" x14ac:dyDescent="0.25">
      <c r="A514" t="s">
        <v>1192</v>
      </c>
      <c r="B514">
        <v>30019</v>
      </c>
      <c r="C514" s="8">
        <v>45635</v>
      </c>
      <c r="D514" t="s">
        <v>1424</v>
      </c>
      <c r="E514" s="11">
        <v>6</v>
      </c>
      <c r="F514" t="s">
        <v>1425</v>
      </c>
      <c r="H514" s="12">
        <v>79000</v>
      </c>
      <c r="I514" s="9">
        <v>0</v>
      </c>
      <c r="J514" s="15">
        <v>0.15</v>
      </c>
      <c r="K514" s="12">
        <v>6890</v>
      </c>
      <c r="L514" s="12">
        <v>5000</v>
      </c>
      <c r="M514" s="9">
        <v>0</v>
      </c>
      <c r="N514" s="12">
        <v>0</v>
      </c>
      <c r="O514">
        <v>0</v>
      </c>
      <c r="P514">
        <v>1</v>
      </c>
      <c r="Q514" s="15">
        <f t="shared" ref="Q514:Q577" si="24">((H514*J514)+K514+M514)/H514</f>
        <v>0.23721518987341772</v>
      </c>
      <c r="R514" s="9">
        <f t="shared" ref="R514:R577" si="25">J514*H514</f>
        <v>11850</v>
      </c>
      <c r="S514" s="9">
        <f t="shared" ref="S514:S577" si="26">Q514*H514</f>
        <v>18740</v>
      </c>
    </row>
    <row r="515" spans="1:19" x14ac:dyDescent="0.25">
      <c r="A515" t="s">
        <v>29</v>
      </c>
      <c r="B515">
        <v>30012</v>
      </c>
      <c r="C515" s="8">
        <v>45630</v>
      </c>
      <c r="D515" t="s">
        <v>901</v>
      </c>
      <c r="E515" s="11">
        <v>6</v>
      </c>
      <c r="F515" t="s">
        <v>819</v>
      </c>
      <c r="H515" s="12">
        <v>56509</v>
      </c>
      <c r="I515" s="9">
        <v>56509</v>
      </c>
      <c r="J515" s="15">
        <v>0.15</v>
      </c>
      <c r="K515" s="12">
        <v>0</v>
      </c>
      <c r="L515" s="12">
        <v>0</v>
      </c>
      <c r="M515" s="9">
        <v>0</v>
      </c>
      <c r="N515" s="12">
        <v>659.27166666666676</v>
      </c>
      <c r="O515">
        <v>28</v>
      </c>
      <c r="Q515" s="15">
        <f t="shared" si="24"/>
        <v>0.15</v>
      </c>
      <c r="R515" s="9">
        <f t="shared" si="25"/>
        <v>8476.35</v>
      </c>
      <c r="S515" s="9">
        <f t="shared" si="26"/>
        <v>8476.35</v>
      </c>
    </row>
    <row r="516" spans="1:19" x14ac:dyDescent="0.25">
      <c r="A516" t="s">
        <v>1192</v>
      </c>
      <c r="B516">
        <v>30019</v>
      </c>
      <c r="C516" s="8">
        <v>45656</v>
      </c>
      <c r="D516" t="s">
        <v>1470</v>
      </c>
      <c r="E516" s="11">
        <v>6</v>
      </c>
      <c r="F516" t="s">
        <v>805</v>
      </c>
      <c r="G516" t="s">
        <v>1195</v>
      </c>
      <c r="H516" s="12">
        <v>149000</v>
      </c>
      <c r="I516" s="9">
        <v>0</v>
      </c>
      <c r="J516" s="15">
        <v>0.15</v>
      </c>
      <c r="K516" s="12">
        <v>6890</v>
      </c>
      <c r="L516" s="12">
        <v>5000</v>
      </c>
      <c r="M516" s="9">
        <v>0</v>
      </c>
      <c r="N516" s="12">
        <v>0</v>
      </c>
      <c r="O516">
        <v>0</v>
      </c>
      <c r="P516">
        <v>1</v>
      </c>
      <c r="Q516" s="15">
        <f t="shared" si="24"/>
        <v>0.19624161073825502</v>
      </c>
      <c r="R516" s="9">
        <f t="shared" si="25"/>
        <v>22350</v>
      </c>
      <c r="S516" s="9">
        <f t="shared" si="26"/>
        <v>29240</v>
      </c>
    </row>
    <row r="517" spans="1:19" x14ac:dyDescent="0.25">
      <c r="A517" t="s">
        <v>1192</v>
      </c>
      <c r="B517">
        <v>30019</v>
      </c>
      <c r="C517" s="8">
        <v>45657</v>
      </c>
      <c r="D517" t="s">
        <v>1478</v>
      </c>
      <c r="E517" s="11">
        <v>6</v>
      </c>
      <c r="F517" t="s">
        <v>805</v>
      </c>
      <c r="G517" t="s">
        <v>1195</v>
      </c>
      <c r="H517" s="12">
        <v>56000</v>
      </c>
      <c r="I517" s="9">
        <v>0</v>
      </c>
      <c r="J517" s="15">
        <v>0.15</v>
      </c>
      <c r="K517" s="12">
        <v>6890</v>
      </c>
      <c r="L517" s="12">
        <v>5000</v>
      </c>
      <c r="M517" s="9">
        <v>0</v>
      </c>
      <c r="N517" s="12">
        <v>0</v>
      </c>
      <c r="O517">
        <v>0</v>
      </c>
      <c r="P517">
        <v>1</v>
      </c>
      <c r="Q517" s="15">
        <f t="shared" si="24"/>
        <v>0.27303571428571427</v>
      </c>
      <c r="R517" s="9">
        <f t="shared" si="25"/>
        <v>8400</v>
      </c>
      <c r="S517" s="9">
        <f t="shared" si="26"/>
        <v>15290</v>
      </c>
    </row>
    <row r="518" spans="1:19" x14ac:dyDescent="0.25">
      <c r="A518" t="s">
        <v>210</v>
      </c>
      <c r="B518" t="s">
        <v>783</v>
      </c>
      <c r="C518" s="8">
        <v>45595</v>
      </c>
      <c r="D518" t="s">
        <v>681</v>
      </c>
      <c r="E518" s="11">
        <v>6</v>
      </c>
      <c r="F518" t="s">
        <v>805</v>
      </c>
      <c r="G518" t="s">
        <v>213</v>
      </c>
      <c r="H518" s="12">
        <v>71000</v>
      </c>
      <c r="I518" s="9">
        <v>71000</v>
      </c>
      <c r="J518" s="15">
        <v>0.14000000000000001</v>
      </c>
      <c r="K518" s="12">
        <v>3692.0000000000005</v>
      </c>
      <c r="M518" s="9">
        <v>697.78800000000001</v>
      </c>
      <c r="P518">
        <v>1</v>
      </c>
      <c r="Q518" s="15">
        <f t="shared" si="24"/>
        <v>0.20182800000000004</v>
      </c>
      <c r="R518" s="9">
        <f t="shared" si="25"/>
        <v>9940.0000000000018</v>
      </c>
      <c r="S518" s="9">
        <f t="shared" si="26"/>
        <v>14329.788000000002</v>
      </c>
    </row>
    <row r="519" spans="1:19" x14ac:dyDescent="0.25">
      <c r="A519" t="s">
        <v>1192</v>
      </c>
      <c r="B519">
        <v>30019</v>
      </c>
      <c r="C519" s="8">
        <v>45567</v>
      </c>
      <c r="D519" t="s">
        <v>1204</v>
      </c>
      <c r="E519" s="11">
        <v>6</v>
      </c>
      <c r="F519" t="s">
        <v>1196</v>
      </c>
      <c r="G519" t="s">
        <v>1195</v>
      </c>
      <c r="H519" s="12">
        <v>77000</v>
      </c>
      <c r="I519" s="9">
        <v>0</v>
      </c>
      <c r="J519" s="15">
        <v>0.15</v>
      </c>
      <c r="K519" s="12">
        <v>6890</v>
      </c>
      <c r="L519" s="12">
        <v>5000</v>
      </c>
      <c r="M519" s="9">
        <v>0</v>
      </c>
      <c r="N519" s="12">
        <v>0</v>
      </c>
      <c r="O519">
        <v>0</v>
      </c>
      <c r="P519">
        <v>1</v>
      </c>
      <c r="Q519" s="15">
        <f t="shared" si="24"/>
        <v>0.23948051948051949</v>
      </c>
      <c r="R519" s="9">
        <f t="shared" si="25"/>
        <v>11550</v>
      </c>
      <c r="S519" s="9">
        <f t="shared" si="26"/>
        <v>18440</v>
      </c>
    </row>
    <row r="520" spans="1:19" x14ac:dyDescent="0.25">
      <c r="A520" t="s">
        <v>29</v>
      </c>
      <c r="B520">
        <v>30012</v>
      </c>
      <c r="C520" s="8">
        <v>45621</v>
      </c>
      <c r="D520" t="s">
        <v>941</v>
      </c>
      <c r="E520" s="11" t="s">
        <v>205</v>
      </c>
      <c r="F520" t="s">
        <v>805</v>
      </c>
      <c r="G520" t="s">
        <v>202</v>
      </c>
      <c r="H520" s="12">
        <v>110755</v>
      </c>
      <c r="I520" s="9">
        <v>110755</v>
      </c>
      <c r="J520" s="15">
        <v>0.15</v>
      </c>
      <c r="K520" s="12">
        <v>0</v>
      </c>
      <c r="L520" s="12">
        <v>0</v>
      </c>
      <c r="M520" s="9">
        <v>0</v>
      </c>
      <c r="N520" s="12">
        <v>1707.4729166666666</v>
      </c>
      <c r="O520">
        <v>37</v>
      </c>
      <c r="Q520" s="15">
        <f t="shared" si="24"/>
        <v>0.15</v>
      </c>
      <c r="R520" s="9">
        <f t="shared" si="25"/>
        <v>16613.25</v>
      </c>
      <c r="S520" s="9">
        <f t="shared" si="26"/>
        <v>16613.25</v>
      </c>
    </row>
    <row r="521" spans="1:19" x14ac:dyDescent="0.25">
      <c r="A521" t="s">
        <v>1192</v>
      </c>
      <c r="B521">
        <v>30019</v>
      </c>
      <c r="C521" s="8">
        <v>45587</v>
      </c>
      <c r="D521" t="s">
        <v>1284</v>
      </c>
      <c r="E521" s="11">
        <v>6</v>
      </c>
      <c r="F521" t="s">
        <v>805</v>
      </c>
      <c r="G521" t="s">
        <v>1198</v>
      </c>
      <c r="H521" s="12">
        <v>41000</v>
      </c>
      <c r="I521" s="9">
        <v>0</v>
      </c>
      <c r="J521" s="15">
        <v>0.105</v>
      </c>
      <c r="K521" s="12">
        <v>6890</v>
      </c>
      <c r="L521" s="12">
        <v>5000</v>
      </c>
      <c r="M521" s="9">
        <v>0</v>
      </c>
      <c r="N521" s="12">
        <v>0</v>
      </c>
      <c r="O521">
        <v>0</v>
      </c>
      <c r="P521">
        <v>1</v>
      </c>
      <c r="Q521" s="15">
        <f t="shared" si="24"/>
        <v>0.2730487804878049</v>
      </c>
      <c r="R521" s="9">
        <f t="shared" si="25"/>
        <v>4305</v>
      </c>
      <c r="S521" s="9">
        <f t="shared" si="26"/>
        <v>11195</v>
      </c>
    </row>
    <row r="522" spans="1:19" x14ac:dyDescent="0.25">
      <c r="A522" t="s">
        <v>210</v>
      </c>
      <c r="B522" t="s">
        <v>783</v>
      </c>
      <c r="C522" s="8">
        <v>45573</v>
      </c>
      <c r="D522" t="s">
        <v>1143</v>
      </c>
      <c r="E522" s="11">
        <v>6</v>
      </c>
      <c r="F522" t="s">
        <v>805</v>
      </c>
      <c r="G522" t="s">
        <v>1141</v>
      </c>
      <c r="H522" s="12">
        <v>79500</v>
      </c>
      <c r="I522" s="9">
        <v>79500</v>
      </c>
      <c r="J522" s="15">
        <v>0.14000000000000001</v>
      </c>
      <c r="K522" s="12">
        <v>4134</v>
      </c>
      <c r="M522" s="9">
        <v>781.32600000000002</v>
      </c>
      <c r="P522">
        <v>1</v>
      </c>
      <c r="Q522" s="15">
        <f t="shared" si="24"/>
        <v>0.20182800000000001</v>
      </c>
      <c r="R522" s="9">
        <f t="shared" si="25"/>
        <v>11130.000000000002</v>
      </c>
      <c r="S522" s="9">
        <f t="shared" si="26"/>
        <v>16045.326000000001</v>
      </c>
    </row>
    <row r="523" spans="1:19" x14ac:dyDescent="0.25">
      <c r="A523" t="s">
        <v>1192</v>
      </c>
      <c r="B523">
        <v>30019</v>
      </c>
      <c r="C523" s="8">
        <v>45635</v>
      </c>
      <c r="D523" t="s">
        <v>1423</v>
      </c>
      <c r="E523" s="11">
        <v>6</v>
      </c>
      <c r="F523" t="s">
        <v>805</v>
      </c>
      <c r="G523" t="s">
        <v>1195</v>
      </c>
      <c r="H523" s="12">
        <v>100000</v>
      </c>
      <c r="I523" s="9">
        <v>0</v>
      </c>
      <c r="J523" s="15">
        <v>0.15</v>
      </c>
      <c r="K523" s="12">
        <v>6890</v>
      </c>
      <c r="L523" s="12">
        <v>5000</v>
      </c>
      <c r="M523" s="9">
        <v>0</v>
      </c>
      <c r="N523" s="12">
        <v>0</v>
      </c>
      <c r="O523">
        <v>0</v>
      </c>
      <c r="P523">
        <v>1</v>
      </c>
      <c r="Q523" s="15">
        <f t="shared" si="24"/>
        <v>0.21890000000000001</v>
      </c>
      <c r="R523" s="9">
        <f t="shared" si="25"/>
        <v>15000</v>
      </c>
      <c r="S523" s="9">
        <f t="shared" si="26"/>
        <v>21890</v>
      </c>
    </row>
    <row r="524" spans="1:19" x14ac:dyDescent="0.25">
      <c r="A524" t="s">
        <v>1192</v>
      </c>
      <c r="B524">
        <v>30019</v>
      </c>
      <c r="C524" s="8">
        <v>45618</v>
      </c>
      <c r="D524" t="s">
        <v>1380</v>
      </c>
      <c r="E524" s="11">
        <v>6</v>
      </c>
      <c r="F524" t="s">
        <v>805</v>
      </c>
      <c r="G524" t="s">
        <v>1195</v>
      </c>
      <c r="H524" s="12">
        <v>62500</v>
      </c>
      <c r="I524" s="9">
        <v>0</v>
      </c>
      <c r="J524" s="15">
        <v>0.15</v>
      </c>
      <c r="K524" s="12">
        <v>6890</v>
      </c>
      <c r="L524" s="12">
        <v>5000</v>
      </c>
      <c r="M524" s="9">
        <v>0</v>
      </c>
      <c r="N524" s="12">
        <v>0</v>
      </c>
      <c r="O524">
        <v>0</v>
      </c>
      <c r="P524">
        <v>1</v>
      </c>
      <c r="Q524" s="15">
        <f t="shared" si="24"/>
        <v>0.26024000000000003</v>
      </c>
      <c r="R524" s="9">
        <f t="shared" si="25"/>
        <v>9375</v>
      </c>
      <c r="S524" s="9">
        <f t="shared" si="26"/>
        <v>16265.000000000002</v>
      </c>
    </row>
    <row r="525" spans="1:19" x14ac:dyDescent="0.25">
      <c r="A525" t="s">
        <v>29</v>
      </c>
      <c r="B525">
        <v>30012</v>
      </c>
      <c r="C525" s="8">
        <v>45629</v>
      </c>
      <c r="D525" t="s">
        <v>909</v>
      </c>
      <c r="E525" s="11">
        <v>6</v>
      </c>
      <c r="F525" t="s">
        <v>805</v>
      </c>
      <c r="H525" s="12">
        <v>103592</v>
      </c>
      <c r="I525" s="9">
        <v>103592</v>
      </c>
      <c r="J525" s="15">
        <v>0.15</v>
      </c>
      <c r="K525" s="12">
        <v>0</v>
      </c>
      <c r="L525" s="12">
        <v>0</v>
      </c>
      <c r="M525" s="9">
        <v>0</v>
      </c>
      <c r="N525" s="12">
        <v>1251.7366666666665</v>
      </c>
      <c r="O525">
        <v>29</v>
      </c>
      <c r="Q525" s="15">
        <f t="shared" si="24"/>
        <v>0.15</v>
      </c>
      <c r="R525" s="9">
        <f t="shared" si="25"/>
        <v>15538.8</v>
      </c>
      <c r="S525" s="9">
        <f t="shared" si="26"/>
        <v>15538.8</v>
      </c>
    </row>
    <row r="526" spans="1:19" x14ac:dyDescent="0.25">
      <c r="A526" t="s">
        <v>1192</v>
      </c>
      <c r="B526">
        <v>30019</v>
      </c>
      <c r="C526" s="8">
        <v>45572</v>
      </c>
      <c r="D526" t="s">
        <v>1225</v>
      </c>
      <c r="E526" s="11">
        <v>6</v>
      </c>
      <c r="F526" t="s">
        <v>805</v>
      </c>
      <c r="G526" t="s">
        <v>1195</v>
      </c>
      <c r="H526" s="12">
        <v>71000</v>
      </c>
      <c r="I526" s="9">
        <v>0</v>
      </c>
      <c r="J526" s="15">
        <v>0.15</v>
      </c>
      <c r="K526" s="12">
        <v>6890</v>
      </c>
      <c r="L526" s="12">
        <v>5000</v>
      </c>
      <c r="M526" s="9">
        <v>0</v>
      </c>
      <c r="N526" s="12">
        <v>0</v>
      </c>
      <c r="O526">
        <v>0</v>
      </c>
      <c r="P526">
        <v>1</v>
      </c>
      <c r="Q526" s="15">
        <f t="shared" si="24"/>
        <v>0.24704225352112677</v>
      </c>
      <c r="R526" s="9">
        <f t="shared" si="25"/>
        <v>10650</v>
      </c>
      <c r="S526" s="9">
        <f t="shared" si="26"/>
        <v>17540</v>
      </c>
    </row>
    <row r="527" spans="1:19" x14ac:dyDescent="0.25">
      <c r="A527" t="s">
        <v>1192</v>
      </c>
      <c r="B527">
        <v>30019</v>
      </c>
      <c r="C527" s="8">
        <v>45573</v>
      </c>
      <c r="D527" t="s">
        <v>1233</v>
      </c>
      <c r="E527" s="11">
        <v>6</v>
      </c>
      <c r="F527" t="s">
        <v>805</v>
      </c>
      <c r="G527" t="s">
        <v>1195</v>
      </c>
      <c r="H527" s="12">
        <v>89000</v>
      </c>
      <c r="I527" s="9">
        <v>0</v>
      </c>
      <c r="J527" s="15">
        <v>0.15</v>
      </c>
      <c r="K527" s="12">
        <v>6890</v>
      </c>
      <c r="L527" s="12">
        <v>5000</v>
      </c>
      <c r="M527" s="9">
        <v>0</v>
      </c>
      <c r="N527" s="12">
        <v>0</v>
      </c>
      <c r="O527">
        <v>0</v>
      </c>
      <c r="P527">
        <v>1</v>
      </c>
      <c r="Q527" s="15">
        <f t="shared" si="24"/>
        <v>0.22741573033707865</v>
      </c>
      <c r="R527" s="9">
        <f t="shared" si="25"/>
        <v>13350</v>
      </c>
      <c r="S527" s="9">
        <f t="shared" si="26"/>
        <v>20240</v>
      </c>
    </row>
    <row r="528" spans="1:19" x14ac:dyDescent="0.25">
      <c r="A528" t="s">
        <v>1192</v>
      </c>
      <c r="B528">
        <v>30019</v>
      </c>
      <c r="C528" s="8">
        <v>45607</v>
      </c>
      <c r="D528" t="s">
        <v>1340</v>
      </c>
      <c r="E528" s="11">
        <v>6</v>
      </c>
      <c r="F528" t="s">
        <v>805</v>
      </c>
      <c r="G528" t="s">
        <v>1195</v>
      </c>
      <c r="H528" s="12">
        <v>60000</v>
      </c>
      <c r="I528" s="9">
        <v>0</v>
      </c>
      <c r="J528" s="15">
        <v>0.10909090909090899</v>
      </c>
      <c r="K528" s="12">
        <v>6890</v>
      </c>
      <c r="L528" s="12">
        <v>5000</v>
      </c>
      <c r="M528" s="9">
        <v>0</v>
      </c>
      <c r="N528" s="12">
        <v>0</v>
      </c>
      <c r="O528">
        <v>0</v>
      </c>
      <c r="P528">
        <v>1</v>
      </c>
      <c r="Q528" s="15">
        <f t="shared" si="24"/>
        <v>0.22392424242424233</v>
      </c>
      <c r="R528" s="9">
        <f t="shared" si="25"/>
        <v>6545.4545454545396</v>
      </c>
      <c r="S528" s="9">
        <f t="shared" si="26"/>
        <v>13435.45454545454</v>
      </c>
    </row>
    <row r="529" spans="1:19" x14ac:dyDescent="0.25">
      <c r="A529" t="s">
        <v>29</v>
      </c>
      <c r="B529">
        <v>30012</v>
      </c>
      <c r="C529" s="8">
        <v>45569</v>
      </c>
      <c r="D529" t="s">
        <v>1087</v>
      </c>
      <c r="E529" s="11">
        <v>6</v>
      </c>
      <c r="F529" t="s">
        <v>805</v>
      </c>
      <c r="H529" s="12">
        <v>238000</v>
      </c>
      <c r="I529" s="9">
        <v>61324</v>
      </c>
      <c r="J529" s="15">
        <v>0.1</v>
      </c>
      <c r="K529" s="12">
        <v>0</v>
      </c>
      <c r="L529" s="12">
        <v>0</v>
      </c>
      <c r="M529" s="9">
        <v>0</v>
      </c>
      <c r="N529" s="12">
        <v>1499.0311111111114</v>
      </c>
      <c r="O529">
        <v>88</v>
      </c>
      <c r="Q529" s="15">
        <f t="shared" si="24"/>
        <v>0.1</v>
      </c>
      <c r="R529" s="9">
        <f t="shared" si="25"/>
        <v>23800</v>
      </c>
      <c r="S529" s="9">
        <f t="shared" si="26"/>
        <v>23800</v>
      </c>
    </row>
    <row r="530" spans="1:19" x14ac:dyDescent="0.25">
      <c r="A530" t="s">
        <v>29</v>
      </c>
      <c r="B530">
        <v>30012</v>
      </c>
      <c r="C530" s="8">
        <v>45622</v>
      </c>
      <c r="D530" t="s">
        <v>938</v>
      </c>
      <c r="E530" s="11" t="s">
        <v>205</v>
      </c>
      <c r="F530" t="s">
        <v>805</v>
      </c>
      <c r="G530" t="s">
        <v>202</v>
      </c>
      <c r="H530" s="12">
        <v>149036</v>
      </c>
      <c r="I530" s="9">
        <v>149036</v>
      </c>
      <c r="J530" s="15">
        <v>0.15</v>
      </c>
      <c r="K530" s="12">
        <v>0</v>
      </c>
      <c r="L530" s="12">
        <v>0</v>
      </c>
      <c r="M530" s="9">
        <v>0</v>
      </c>
      <c r="N530" s="12">
        <v>2235.54</v>
      </c>
      <c r="O530">
        <v>36</v>
      </c>
      <c r="Q530" s="15">
        <f t="shared" si="24"/>
        <v>0.15</v>
      </c>
      <c r="R530" s="9">
        <f t="shared" si="25"/>
        <v>22355.399999999998</v>
      </c>
      <c r="S530" s="9">
        <f t="shared" si="26"/>
        <v>22355.399999999998</v>
      </c>
    </row>
    <row r="531" spans="1:19" x14ac:dyDescent="0.25">
      <c r="A531" t="s">
        <v>29</v>
      </c>
      <c r="B531">
        <v>30012</v>
      </c>
      <c r="C531" s="8">
        <v>45629</v>
      </c>
      <c r="D531" t="s">
        <v>922</v>
      </c>
      <c r="E531" s="11">
        <v>6</v>
      </c>
      <c r="F531" t="s">
        <v>819</v>
      </c>
      <c r="H531" s="12">
        <v>232320</v>
      </c>
      <c r="I531" s="9">
        <v>232320</v>
      </c>
      <c r="J531" s="15">
        <v>0.15</v>
      </c>
      <c r="K531" s="12">
        <v>0</v>
      </c>
      <c r="L531" s="12">
        <v>0</v>
      </c>
      <c r="M531" s="9">
        <v>0</v>
      </c>
      <c r="N531" s="12">
        <v>2807.2</v>
      </c>
      <c r="O531">
        <v>29</v>
      </c>
      <c r="Q531" s="15">
        <f t="shared" si="24"/>
        <v>0.15</v>
      </c>
      <c r="R531" s="9">
        <f t="shared" si="25"/>
        <v>34848</v>
      </c>
      <c r="S531" s="9">
        <f t="shared" si="26"/>
        <v>34848</v>
      </c>
    </row>
    <row r="532" spans="1:19" x14ac:dyDescent="0.25">
      <c r="A532" t="s">
        <v>1192</v>
      </c>
      <c r="B532">
        <v>30019</v>
      </c>
      <c r="C532" s="8">
        <v>45576</v>
      </c>
      <c r="D532" t="s">
        <v>1252</v>
      </c>
      <c r="E532" s="11">
        <v>6</v>
      </c>
      <c r="F532" t="s">
        <v>805</v>
      </c>
      <c r="G532" t="s">
        <v>1195</v>
      </c>
      <c r="H532" s="12">
        <v>63000</v>
      </c>
      <c r="I532" s="9">
        <v>0</v>
      </c>
      <c r="J532" s="15">
        <v>0.105</v>
      </c>
      <c r="K532" s="12">
        <v>6890</v>
      </c>
      <c r="L532" s="12">
        <v>5000</v>
      </c>
      <c r="M532" s="9">
        <v>0</v>
      </c>
      <c r="N532" s="12">
        <v>0</v>
      </c>
      <c r="O532">
        <v>0</v>
      </c>
      <c r="P532">
        <v>1</v>
      </c>
      <c r="Q532" s="15">
        <f t="shared" si="24"/>
        <v>0.21436507936507937</v>
      </c>
      <c r="R532" s="9">
        <f t="shared" si="25"/>
        <v>6615</v>
      </c>
      <c r="S532" s="9">
        <f t="shared" si="26"/>
        <v>13505</v>
      </c>
    </row>
    <row r="533" spans="1:19" x14ac:dyDescent="0.25">
      <c r="A533" t="s">
        <v>29</v>
      </c>
      <c r="B533">
        <v>30012</v>
      </c>
      <c r="C533" s="8">
        <v>45609</v>
      </c>
      <c r="D533" t="s">
        <v>972</v>
      </c>
      <c r="E533" s="11">
        <v>6</v>
      </c>
      <c r="F533" t="s">
        <v>805</v>
      </c>
      <c r="H533" s="12">
        <v>60000</v>
      </c>
      <c r="I533" s="9">
        <v>49115</v>
      </c>
      <c r="J533" s="15">
        <v>0.1</v>
      </c>
      <c r="K533" s="12">
        <v>0</v>
      </c>
      <c r="L533" s="12">
        <v>0</v>
      </c>
      <c r="M533" s="9">
        <v>0</v>
      </c>
      <c r="N533" s="12">
        <v>1159.6597222222222</v>
      </c>
      <c r="O533">
        <v>85</v>
      </c>
      <c r="Q533" s="15">
        <f t="shared" si="24"/>
        <v>0.1</v>
      </c>
      <c r="R533" s="9">
        <f t="shared" si="25"/>
        <v>6000</v>
      </c>
      <c r="S533" s="9">
        <f t="shared" si="26"/>
        <v>6000</v>
      </c>
    </row>
    <row r="534" spans="1:19" x14ac:dyDescent="0.25">
      <c r="A534" t="s">
        <v>29</v>
      </c>
      <c r="B534">
        <v>30012</v>
      </c>
      <c r="C534" s="8">
        <v>45616</v>
      </c>
      <c r="D534" t="s">
        <v>949</v>
      </c>
      <c r="E534" s="11">
        <v>6</v>
      </c>
      <c r="F534" t="s">
        <v>837</v>
      </c>
      <c r="H534" s="12">
        <v>80000</v>
      </c>
      <c r="I534" s="9">
        <v>72679</v>
      </c>
      <c r="J534" s="15">
        <v>0.1</v>
      </c>
      <c r="K534" s="12">
        <v>0</v>
      </c>
      <c r="L534" s="12">
        <v>0</v>
      </c>
      <c r="M534" s="9">
        <v>0</v>
      </c>
      <c r="N534" s="12">
        <v>1594.900277777778</v>
      </c>
      <c r="O534">
        <v>79</v>
      </c>
      <c r="Q534" s="15">
        <f t="shared" si="24"/>
        <v>0.1</v>
      </c>
      <c r="R534" s="9">
        <f t="shared" si="25"/>
        <v>8000</v>
      </c>
      <c r="S534" s="9">
        <f t="shared" si="26"/>
        <v>8000</v>
      </c>
    </row>
    <row r="535" spans="1:19" x14ac:dyDescent="0.25">
      <c r="A535" t="s">
        <v>29</v>
      </c>
      <c r="B535">
        <v>30012</v>
      </c>
      <c r="C535" s="8">
        <v>45628</v>
      </c>
      <c r="D535" t="s">
        <v>932</v>
      </c>
      <c r="E535" s="11">
        <v>6</v>
      </c>
      <c r="F535" t="s">
        <v>805</v>
      </c>
      <c r="H535" s="12">
        <v>108000</v>
      </c>
      <c r="I535" s="9">
        <v>108196</v>
      </c>
      <c r="J535" s="15">
        <v>0.1</v>
      </c>
      <c r="K535" s="12">
        <v>0</v>
      </c>
      <c r="L535" s="12">
        <v>0</v>
      </c>
      <c r="M535" s="9">
        <v>0</v>
      </c>
      <c r="N535" s="12">
        <v>2584.6822222222222</v>
      </c>
      <c r="O535">
        <v>86</v>
      </c>
      <c r="Q535" s="15">
        <f t="shared" si="24"/>
        <v>0.1</v>
      </c>
      <c r="R535" s="9">
        <f t="shared" si="25"/>
        <v>10800</v>
      </c>
      <c r="S535" s="9">
        <f t="shared" si="26"/>
        <v>10800</v>
      </c>
    </row>
    <row r="536" spans="1:19" x14ac:dyDescent="0.25">
      <c r="A536" t="s">
        <v>670</v>
      </c>
      <c r="B536">
        <v>30018</v>
      </c>
      <c r="C536" s="8">
        <v>45642</v>
      </c>
      <c r="D536" t="s">
        <v>1136</v>
      </c>
      <c r="E536" s="11">
        <v>6</v>
      </c>
      <c r="F536" t="s">
        <v>819</v>
      </c>
      <c r="G536" t="s">
        <v>1137</v>
      </c>
      <c r="H536" s="12">
        <v>160000</v>
      </c>
      <c r="I536" s="9">
        <v>0</v>
      </c>
      <c r="J536" s="15">
        <v>0.15</v>
      </c>
      <c r="K536" s="12">
        <v>4600</v>
      </c>
      <c r="L536" s="12">
        <v>5813</v>
      </c>
      <c r="M536" s="9">
        <v>33600</v>
      </c>
      <c r="N536" s="12">
        <v>3126</v>
      </c>
      <c r="O536">
        <v>12</v>
      </c>
      <c r="P536">
        <v>1</v>
      </c>
      <c r="Q536" s="15">
        <f t="shared" si="24"/>
        <v>0.38874999999999998</v>
      </c>
      <c r="R536" s="9">
        <f t="shared" si="25"/>
        <v>24000</v>
      </c>
      <c r="S536" s="9">
        <f t="shared" si="26"/>
        <v>62200</v>
      </c>
    </row>
    <row r="537" spans="1:19" x14ac:dyDescent="0.25">
      <c r="A537" t="s">
        <v>1496</v>
      </c>
      <c r="B537" t="s">
        <v>764</v>
      </c>
      <c r="C537" s="8">
        <v>45649</v>
      </c>
      <c r="D537" t="s">
        <v>1500</v>
      </c>
      <c r="E537" s="11">
        <v>6</v>
      </c>
      <c r="F537" t="s">
        <v>822</v>
      </c>
      <c r="G537" t="s">
        <v>768</v>
      </c>
      <c r="H537" s="12">
        <v>1000000</v>
      </c>
      <c r="I537" s="9">
        <v>999050</v>
      </c>
      <c r="J537" s="15">
        <v>0.15</v>
      </c>
      <c r="K537" s="12">
        <v>0</v>
      </c>
      <c r="L537" s="12">
        <v>0</v>
      </c>
      <c r="M537" s="9">
        <v>0</v>
      </c>
      <c r="N537" s="12">
        <v>56443</v>
      </c>
      <c r="O537">
        <v>0</v>
      </c>
      <c r="P537">
        <v>1</v>
      </c>
      <c r="Q537" s="15">
        <f t="shared" si="24"/>
        <v>0.15</v>
      </c>
      <c r="R537" s="9">
        <f t="shared" si="25"/>
        <v>150000</v>
      </c>
      <c r="S537" s="9">
        <f t="shared" si="26"/>
        <v>150000</v>
      </c>
    </row>
    <row r="538" spans="1:19" x14ac:dyDescent="0.25">
      <c r="A538" t="s">
        <v>1192</v>
      </c>
      <c r="B538">
        <v>30019</v>
      </c>
      <c r="C538" s="8">
        <v>45614</v>
      </c>
      <c r="D538" t="s">
        <v>1357</v>
      </c>
      <c r="E538" s="11">
        <v>6</v>
      </c>
      <c r="F538" t="s">
        <v>805</v>
      </c>
      <c r="G538" t="s">
        <v>1195</v>
      </c>
      <c r="H538" s="12">
        <v>88000</v>
      </c>
      <c r="I538" s="9">
        <v>0</v>
      </c>
      <c r="J538" s="15">
        <v>0.15</v>
      </c>
      <c r="K538" s="12">
        <v>6890</v>
      </c>
      <c r="L538" s="12">
        <v>5000</v>
      </c>
      <c r="M538" s="9">
        <v>0</v>
      </c>
      <c r="N538" s="12">
        <v>0</v>
      </c>
      <c r="O538">
        <v>0</v>
      </c>
      <c r="P538">
        <v>1</v>
      </c>
      <c r="Q538" s="15">
        <f t="shared" si="24"/>
        <v>0.22829545454545455</v>
      </c>
      <c r="R538" s="9">
        <f t="shared" si="25"/>
        <v>13200</v>
      </c>
      <c r="S538" s="9">
        <f t="shared" si="26"/>
        <v>20090</v>
      </c>
    </row>
    <row r="539" spans="1:19" x14ac:dyDescent="0.25">
      <c r="A539" t="s">
        <v>1192</v>
      </c>
      <c r="B539">
        <v>30019</v>
      </c>
      <c r="C539" s="8">
        <v>45603</v>
      </c>
      <c r="D539" t="s">
        <v>1327</v>
      </c>
      <c r="E539" s="11">
        <v>6</v>
      </c>
      <c r="F539" t="s">
        <v>805</v>
      </c>
      <c r="H539" s="12">
        <v>65000</v>
      </c>
      <c r="I539" s="9">
        <v>0</v>
      </c>
      <c r="J539" s="15">
        <v>0.15</v>
      </c>
      <c r="K539" s="12">
        <v>6890</v>
      </c>
      <c r="L539" s="12">
        <v>5000</v>
      </c>
      <c r="M539" s="9">
        <v>0</v>
      </c>
      <c r="N539" s="12">
        <v>0</v>
      </c>
      <c r="O539">
        <v>0</v>
      </c>
      <c r="P539">
        <v>1</v>
      </c>
      <c r="Q539" s="15">
        <f t="shared" si="24"/>
        <v>0.25600000000000001</v>
      </c>
      <c r="R539" s="9">
        <f t="shared" si="25"/>
        <v>9750</v>
      </c>
      <c r="S539" s="9">
        <f t="shared" si="26"/>
        <v>16640</v>
      </c>
    </row>
    <row r="540" spans="1:19" x14ac:dyDescent="0.25">
      <c r="A540" t="s">
        <v>1192</v>
      </c>
      <c r="B540">
        <v>30019</v>
      </c>
      <c r="C540" s="8">
        <v>45573</v>
      </c>
      <c r="D540" t="s">
        <v>1232</v>
      </c>
      <c r="E540" s="11">
        <v>6</v>
      </c>
      <c r="F540" t="s">
        <v>805</v>
      </c>
      <c r="G540" t="s">
        <v>1195</v>
      </c>
      <c r="H540" s="12">
        <v>70000</v>
      </c>
      <c r="I540" s="9">
        <v>0</v>
      </c>
      <c r="J540" s="15">
        <v>0.12</v>
      </c>
      <c r="K540" s="12">
        <v>6890</v>
      </c>
      <c r="L540" s="12">
        <v>5000</v>
      </c>
      <c r="M540" s="9">
        <v>0</v>
      </c>
      <c r="N540" s="12">
        <v>0</v>
      </c>
      <c r="O540">
        <v>0</v>
      </c>
      <c r="P540">
        <v>1</v>
      </c>
      <c r="Q540" s="15">
        <f t="shared" si="24"/>
        <v>0.21842857142857142</v>
      </c>
      <c r="R540" s="9">
        <f t="shared" si="25"/>
        <v>8400</v>
      </c>
      <c r="S540" s="9">
        <f t="shared" si="26"/>
        <v>15290</v>
      </c>
    </row>
    <row r="541" spans="1:19" x14ac:dyDescent="0.25">
      <c r="A541" t="s">
        <v>29</v>
      </c>
      <c r="B541">
        <v>30012</v>
      </c>
      <c r="C541" s="8">
        <v>45588</v>
      </c>
      <c r="D541" t="s">
        <v>1042</v>
      </c>
      <c r="E541" s="11">
        <v>6</v>
      </c>
      <c r="F541" t="s">
        <v>805</v>
      </c>
      <c r="H541" s="12">
        <v>98000</v>
      </c>
      <c r="I541" s="9">
        <v>134259</v>
      </c>
      <c r="J541" s="15">
        <v>0.1</v>
      </c>
      <c r="K541" s="12">
        <v>0</v>
      </c>
      <c r="L541" s="12">
        <v>0</v>
      </c>
      <c r="M541" s="9">
        <v>0</v>
      </c>
      <c r="N541" s="12">
        <v>3058.1216666666669</v>
      </c>
      <c r="O541">
        <v>82</v>
      </c>
      <c r="Q541" s="15">
        <f t="shared" si="24"/>
        <v>0.1</v>
      </c>
      <c r="R541" s="9">
        <f t="shared" si="25"/>
        <v>9800</v>
      </c>
      <c r="S541" s="9">
        <f t="shared" si="26"/>
        <v>9800</v>
      </c>
    </row>
    <row r="542" spans="1:19" x14ac:dyDescent="0.25">
      <c r="A542" t="s">
        <v>1192</v>
      </c>
      <c r="B542">
        <v>30019</v>
      </c>
      <c r="C542" s="8">
        <v>45632</v>
      </c>
      <c r="D542" t="s">
        <v>1412</v>
      </c>
      <c r="E542" s="11">
        <v>6</v>
      </c>
      <c r="F542" t="s">
        <v>805</v>
      </c>
      <c r="G542" t="s">
        <v>1195</v>
      </c>
      <c r="H542" s="12">
        <v>104000</v>
      </c>
      <c r="I542" s="9">
        <v>0</v>
      </c>
      <c r="J542" s="15">
        <v>0.13636363636363599</v>
      </c>
      <c r="K542" s="12">
        <v>6890</v>
      </c>
      <c r="L542" s="12">
        <v>5000</v>
      </c>
      <c r="M542" s="9">
        <v>0</v>
      </c>
      <c r="N542" s="12">
        <v>0</v>
      </c>
      <c r="O542">
        <v>0</v>
      </c>
      <c r="P542">
        <v>1</v>
      </c>
      <c r="Q542" s="15">
        <f t="shared" si="24"/>
        <v>0.202613636363636</v>
      </c>
      <c r="R542" s="9">
        <f t="shared" si="25"/>
        <v>14181.818181818144</v>
      </c>
      <c r="S542" s="9">
        <f t="shared" si="26"/>
        <v>21071.818181818144</v>
      </c>
    </row>
    <row r="543" spans="1:19" x14ac:dyDescent="0.25">
      <c r="A543" t="s">
        <v>1192</v>
      </c>
      <c r="B543">
        <v>30019</v>
      </c>
      <c r="C543" s="8">
        <v>45603</v>
      </c>
      <c r="D543" t="s">
        <v>1325</v>
      </c>
      <c r="E543" s="11">
        <v>6</v>
      </c>
      <c r="F543" t="s">
        <v>805</v>
      </c>
      <c r="G543" t="s">
        <v>1195</v>
      </c>
      <c r="H543" s="12">
        <v>70000</v>
      </c>
      <c r="I543" s="9">
        <v>0</v>
      </c>
      <c r="J543" s="15">
        <v>0.15</v>
      </c>
      <c r="K543" s="12">
        <v>6890</v>
      </c>
      <c r="L543" s="12">
        <v>5000</v>
      </c>
      <c r="M543" s="9">
        <v>0</v>
      </c>
      <c r="N543" s="12">
        <v>0</v>
      </c>
      <c r="O543">
        <v>0</v>
      </c>
      <c r="P543">
        <v>1</v>
      </c>
      <c r="Q543" s="15">
        <f t="shared" si="24"/>
        <v>0.24842857142857142</v>
      </c>
      <c r="R543" s="9">
        <f t="shared" si="25"/>
        <v>10500</v>
      </c>
      <c r="S543" s="9">
        <f t="shared" si="26"/>
        <v>17390</v>
      </c>
    </row>
    <row r="544" spans="1:19" x14ac:dyDescent="0.25">
      <c r="A544" t="s">
        <v>1192</v>
      </c>
      <c r="B544">
        <v>30019</v>
      </c>
      <c r="C544" s="8">
        <v>45616</v>
      </c>
      <c r="D544" t="s">
        <v>1365</v>
      </c>
      <c r="E544" s="11">
        <v>6</v>
      </c>
      <c r="F544" t="s">
        <v>1366</v>
      </c>
      <c r="H544" s="12">
        <v>90000</v>
      </c>
      <c r="I544" s="9">
        <v>0</v>
      </c>
      <c r="J544" s="15">
        <v>0.122727272727273</v>
      </c>
      <c r="K544" s="12">
        <v>6890</v>
      </c>
      <c r="L544" s="12">
        <v>5000</v>
      </c>
      <c r="M544" s="9">
        <v>0</v>
      </c>
      <c r="N544" s="12">
        <v>0</v>
      </c>
      <c r="O544">
        <v>0</v>
      </c>
      <c r="P544">
        <v>1</v>
      </c>
      <c r="Q544" s="15">
        <f t="shared" si="24"/>
        <v>0.19928282828282856</v>
      </c>
      <c r="R544" s="9">
        <f t="shared" si="25"/>
        <v>11045.45454545457</v>
      </c>
      <c r="S544" s="9">
        <f t="shared" si="26"/>
        <v>17935.45454545457</v>
      </c>
    </row>
    <row r="545" spans="1:19" x14ac:dyDescent="0.25">
      <c r="A545" t="s">
        <v>1192</v>
      </c>
      <c r="B545">
        <v>30019</v>
      </c>
      <c r="C545" s="8">
        <v>45650</v>
      </c>
      <c r="D545" t="s">
        <v>1459</v>
      </c>
      <c r="E545" s="11">
        <v>6</v>
      </c>
      <c r="F545" t="s">
        <v>852</v>
      </c>
      <c r="H545" s="12">
        <v>90000</v>
      </c>
      <c r="I545" s="9">
        <v>0</v>
      </c>
      <c r="J545" s="15">
        <v>0.15</v>
      </c>
      <c r="K545" s="12">
        <v>6890</v>
      </c>
      <c r="L545" s="12">
        <v>5000</v>
      </c>
      <c r="M545" s="9">
        <v>0</v>
      </c>
      <c r="N545" s="12">
        <v>0</v>
      </c>
      <c r="O545">
        <v>0</v>
      </c>
      <c r="P545">
        <v>1</v>
      </c>
      <c r="Q545" s="15">
        <f t="shared" si="24"/>
        <v>0.22655555555555557</v>
      </c>
      <c r="R545" s="9">
        <f t="shared" si="25"/>
        <v>13500</v>
      </c>
      <c r="S545" s="9">
        <f t="shared" si="26"/>
        <v>20390</v>
      </c>
    </row>
    <row r="546" spans="1:19" x14ac:dyDescent="0.25">
      <c r="A546" t="s">
        <v>210</v>
      </c>
      <c r="B546" t="s">
        <v>783</v>
      </c>
      <c r="C546" s="8">
        <v>45579</v>
      </c>
      <c r="D546" t="s">
        <v>1142</v>
      </c>
      <c r="E546" s="11">
        <v>6</v>
      </c>
      <c r="F546" t="s">
        <v>805</v>
      </c>
      <c r="G546" t="s">
        <v>213</v>
      </c>
      <c r="H546" s="12">
        <v>84500</v>
      </c>
      <c r="I546" s="9">
        <v>84500</v>
      </c>
      <c r="J546" s="15">
        <v>0.14000000000000001</v>
      </c>
      <c r="K546" s="12">
        <v>4394</v>
      </c>
      <c r="M546" s="9">
        <v>830.46600000000001</v>
      </c>
      <c r="P546">
        <v>1</v>
      </c>
      <c r="Q546" s="15">
        <f t="shared" si="24"/>
        <v>0.20182800000000001</v>
      </c>
      <c r="R546" s="9">
        <f t="shared" si="25"/>
        <v>11830.000000000002</v>
      </c>
      <c r="S546" s="9">
        <f t="shared" si="26"/>
        <v>17054.466</v>
      </c>
    </row>
    <row r="547" spans="1:19" x14ac:dyDescent="0.25">
      <c r="A547" t="s">
        <v>29</v>
      </c>
      <c r="B547">
        <v>30012</v>
      </c>
      <c r="C547" s="8">
        <v>45603</v>
      </c>
      <c r="D547" t="s">
        <v>981</v>
      </c>
      <c r="E547" s="11">
        <v>6</v>
      </c>
      <c r="F547" t="s">
        <v>805</v>
      </c>
      <c r="H547" s="12">
        <v>200000</v>
      </c>
      <c r="I547" s="9">
        <v>202950</v>
      </c>
      <c r="J547" s="15">
        <v>0.1</v>
      </c>
      <c r="K547" s="12">
        <v>0</v>
      </c>
      <c r="L547" s="12">
        <v>0</v>
      </c>
      <c r="M547" s="9">
        <v>0</v>
      </c>
      <c r="N547" s="12">
        <v>4397.25</v>
      </c>
      <c r="O547">
        <v>78</v>
      </c>
      <c r="Q547" s="15">
        <f t="shared" si="24"/>
        <v>0.1</v>
      </c>
      <c r="R547" s="9">
        <f t="shared" si="25"/>
        <v>20000</v>
      </c>
      <c r="S547" s="9">
        <f t="shared" si="26"/>
        <v>20000</v>
      </c>
    </row>
    <row r="548" spans="1:19" x14ac:dyDescent="0.25">
      <c r="A548" t="s">
        <v>29</v>
      </c>
      <c r="B548">
        <v>30012</v>
      </c>
      <c r="C548" s="8">
        <v>45572</v>
      </c>
      <c r="D548" t="s">
        <v>1083</v>
      </c>
      <c r="E548" s="11">
        <v>6</v>
      </c>
      <c r="F548" t="s">
        <v>805</v>
      </c>
      <c r="H548" s="12">
        <v>200000</v>
      </c>
      <c r="I548" s="9">
        <v>207012</v>
      </c>
      <c r="J548" s="15">
        <v>0.1</v>
      </c>
      <c r="K548" s="12">
        <v>0</v>
      </c>
      <c r="L548" s="12">
        <v>0</v>
      </c>
      <c r="M548" s="9">
        <v>0</v>
      </c>
      <c r="N548" s="12">
        <v>4600.2666666666664</v>
      </c>
      <c r="O548">
        <v>80</v>
      </c>
      <c r="Q548" s="15">
        <f t="shared" si="24"/>
        <v>0.1</v>
      </c>
      <c r="R548" s="9">
        <f t="shared" si="25"/>
        <v>20000</v>
      </c>
      <c r="S548" s="9">
        <f t="shared" si="26"/>
        <v>20000</v>
      </c>
    </row>
    <row r="549" spans="1:19" x14ac:dyDescent="0.25">
      <c r="A549" t="s">
        <v>1192</v>
      </c>
      <c r="B549">
        <v>30019</v>
      </c>
      <c r="C549" s="8">
        <v>45579</v>
      </c>
      <c r="D549" t="s">
        <v>1258</v>
      </c>
      <c r="E549" s="11">
        <v>6</v>
      </c>
      <c r="F549" t="s">
        <v>1203</v>
      </c>
      <c r="G549" t="s">
        <v>1194</v>
      </c>
      <c r="H549" s="12">
        <v>96000</v>
      </c>
      <c r="I549" s="9">
        <v>0</v>
      </c>
      <c r="J549" s="15">
        <v>0.15</v>
      </c>
      <c r="K549" s="12">
        <v>6890</v>
      </c>
      <c r="L549" s="12">
        <v>5000</v>
      </c>
      <c r="M549" s="9">
        <v>0</v>
      </c>
      <c r="N549" s="12">
        <v>0</v>
      </c>
      <c r="O549">
        <v>0</v>
      </c>
      <c r="P549">
        <v>1</v>
      </c>
      <c r="Q549" s="15">
        <f t="shared" si="24"/>
        <v>0.22177083333333333</v>
      </c>
      <c r="R549" s="9">
        <f t="shared" si="25"/>
        <v>14400</v>
      </c>
      <c r="S549" s="9">
        <f t="shared" si="26"/>
        <v>21290</v>
      </c>
    </row>
    <row r="550" spans="1:19" x14ac:dyDescent="0.25">
      <c r="A550" t="s">
        <v>1192</v>
      </c>
      <c r="B550">
        <v>30019</v>
      </c>
      <c r="C550" s="8">
        <v>45579</v>
      </c>
      <c r="D550" t="s">
        <v>1258</v>
      </c>
      <c r="E550" s="11">
        <v>6</v>
      </c>
      <c r="F550" t="s">
        <v>1196</v>
      </c>
      <c r="G550" t="s">
        <v>1194</v>
      </c>
      <c r="H550" s="12">
        <v>96000</v>
      </c>
      <c r="I550" s="9">
        <v>0</v>
      </c>
      <c r="J550" s="15">
        <v>0.15</v>
      </c>
      <c r="K550" s="12">
        <v>6890</v>
      </c>
      <c r="L550" s="12">
        <v>5000</v>
      </c>
      <c r="M550" s="9">
        <v>0</v>
      </c>
      <c r="N550" s="12">
        <v>0</v>
      </c>
      <c r="O550">
        <v>0</v>
      </c>
      <c r="P550">
        <v>1</v>
      </c>
      <c r="Q550" s="15">
        <f t="shared" si="24"/>
        <v>0.22177083333333333</v>
      </c>
      <c r="R550" s="9">
        <f t="shared" si="25"/>
        <v>14400</v>
      </c>
      <c r="S550" s="9">
        <f t="shared" si="26"/>
        <v>21290</v>
      </c>
    </row>
    <row r="551" spans="1:19" x14ac:dyDescent="0.25">
      <c r="A551" t="s">
        <v>1192</v>
      </c>
      <c r="B551">
        <v>30019</v>
      </c>
      <c r="C551" s="8">
        <v>45566</v>
      </c>
      <c r="D551" t="s">
        <v>1197</v>
      </c>
      <c r="E551" s="11">
        <v>6</v>
      </c>
      <c r="F551" t="s">
        <v>819</v>
      </c>
      <c r="G551" t="s">
        <v>1198</v>
      </c>
      <c r="H551" s="12">
        <v>80000</v>
      </c>
      <c r="I551" s="9">
        <v>0</v>
      </c>
      <c r="J551" s="15">
        <v>0.15</v>
      </c>
      <c r="K551" s="12">
        <v>6890</v>
      </c>
      <c r="L551" s="12">
        <v>5000</v>
      </c>
      <c r="M551" s="9">
        <v>0</v>
      </c>
      <c r="N551" s="12">
        <v>0</v>
      </c>
      <c r="O551">
        <v>0</v>
      </c>
      <c r="P551">
        <v>1</v>
      </c>
      <c r="Q551" s="15">
        <f t="shared" si="24"/>
        <v>0.236125</v>
      </c>
      <c r="R551" s="9">
        <f t="shared" si="25"/>
        <v>12000</v>
      </c>
      <c r="S551" s="9">
        <f t="shared" si="26"/>
        <v>18890</v>
      </c>
    </row>
    <row r="552" spans="1:19" x14ac:dyDescent="0.25">
      <c r="A552" t="s">
        <v>1192</v>
      </c>
      <c r="B552">
        <v>30019</v>
      </c>
      <c r="C552" s="8">
        <v>45631</v>
      </c>
      <c r="D552" t="s">
        <v>1409</v>
      </c>
      <c r="E552" s="11">
        <v>6</v>
      </c>
      <c r="F552" t="s">
        <v>805</v>
      </c>
      <c r="G552" t="s">
        <v>1194</v>
      </c>
      <c r="H552" s="12">
        <v>354000</v>
      </c>
      <c r="I552" s="9">
        <v>0</v>
      </c>
      <c r="J552" s="15">
        <v>0.13750000000000001</v>
      </c>
      <c r="K552" s="12">
        <v>6890</v>
      </c>
      <c r="L552" s="12">
        <v>5000</v>
      </c>
      <c r="M552" s="9">
        <v>0</v>
      </c>
      <c r="N552" s="12">
        <v>0</v>
      </c>
      <c r="O552">
        <v>0</v>
      </c>
      <c r="P552">
        <v>1</v>
      </c>
      <c r="Q552" s="15">
        <f t="shared" si="24"/>
        <v>0.15696327683615821</v>
      </c>
      <c r="R552" s="9">
        <f t="shared" si="25"/>
        <v>48675.000000000007</v>
      </c>
      <c r="S552" s="9">
        <f t="shared" si="26"/>
        <v>55565.000000000007</v>
      </c>
    </row>
    <row r="553" spans="1:19" x14ac:dyDescent="0.25">
      <c r="A553" t="s">
        <v>1192</v>
      </c>
      <c r="B553">
        <v>30019</v>
      </c>
      <c r="C553" s="8">
        <v>45638</v>
      </c>
      <c r="D553" t="s">
        <v>757</v>
      </c>
      <c r="E553" s="11">
        <v>6</v>
      </c>
      <c r="F553" t="s">
        <v>805</v>
      </c>
      <c r="G553" t="s">
        <v>1195</v>
      </c>
      <c r="H553" s="12">
        <v>46000</v>
      </c>
      <c r="I553" s="9">
        <v>0</v>
      </c>
      <c r="J553" s="15">
        <v>0.15</v>
      </c>
      <c r="K553" s="12">
        <v>6890</v>
      </c>
      <c r="L553" s="12">
        <v>5000</v>
      </c>
      <c r="M553" s="9">
        <v>0</v>
      </c>
      <c r="N553" s="12">
        <v>0</v>
      </c>
      <c r="O553">
        <v>0</v>
      </c>
      <c r="P553">
        <v>1</v>
      </c>
      <c r="Q553" s="15">
        <f t="shared" si="24"/>
        <v>0.29978260869565215</v>
      </c>
      <c r="R553" s="9">
        <f t="shared" si="25"/>
        <v>6900</v>
      </c>
      <c r="S553" s="9">
        <f t="shared" si="26"/>
        <v>13789.999999999998</v>
      </c>
    </row>
    <row r="554" spans="1:19" x14ac:dyDescent="0.25">
      <c r="A554" t="s">
        <v>29</v>
      </c>
      <c r="B554">
        <v>30012</v>
      </c>
      <c r="C554" s="8">
        <v>45568</v>
      </c>
      <c r="D554" t="s">
        <v>1098</v>
      </c>
      <c r="E554" s="11">
        <v>6</v>
      </c>
      <c r="F554" t="s">
        <v>805</v>
      </c>
      <c r="H554" s="12">
        <v>350000</v>
      </c>
      <c r="I554" s="9">
        <v>355082</v>
      </c>
      <c r="J554" s="15">
        <v>0.1</v>
      </c>
      <c r="K554" s="12">
        <v>0</v>
      </c>
      <c r="L554" s="12">
        <v>0</v>
      </c>
      <c r="M554" s="9">
        <v>0</v>
      </c>
      <c r="N554" s="12">
        <v>7693.4433333333345</v>
      </c>
      <c r="O554">
        <v>78</v>
      </c>
      <c r="Q554" s="15">
        <f t="shared" si="24"/>
        <v>0.1</v>
      </c>
      <c r="R554" s="9">
        <f t="shared" si="25"/>
        <v>35000</v>
      </c>
      <c r="S554" s="9">
        <f t="shared" si="26"/>
        <v>35000</v>
      </c>
    </row>
    <row r="555" spans="1:19" x14ac:dyDescent="0.25">
      <c r="A555" t="s">
        <v>1192</v>
      </c>
      <c r="B555">
        <v>30019</v>
      </c>
      <c r="C555" s="8">
        <v>45608</v>
      </c>
      <c r="D555" t="s">
        <v>1342</v>
      </c>
      <c r="E555" s="11">
        <v>6</v>
      </c>
      <c r="F555" t="s">
        <v>805</v>
      </c>
      <c r="G555" t="s">
        <v>1195</v>
      </c>
      <c r="H555" s="12">
        <v>47000</v>
      </c>
      <c r="I555" s="9">
        <v>0</v>
      </c>
      <c r="J555" s="15">
        <v>0.15</v>
      </c>
      <c r="K555" s="12">
        <v>6890</v>
      </c>
      <c r="L555" s="12">
        <v>5000</v>
      </c>
      <c r="M555" s="9">
        <v>0</v>
      </c>
      <c r="N555" s="12">
        <v>0</v>
      </c>
      <c r="O555">
        <v>0</v>
      </c>
      <c r="P555">
        <v>1</v>
      </c>
      <c r="Q555" s="15">
        <f t="shared" si="24"/>
        <v>0.29659574468085104</v>
      </c>
      <c r="R555" s="9">
        <f t="shared" si="25"/>
        <v>7050</v>
      </c>
      <c r="S555" s="9">
        <f t="shared" si="26"/>
        <v>13939.999999999998</v>
      </c>
    </row>
    <row r="556" spans="1:19" x14ac:dyDescent="0.25">
      <c r="A556" t="s">
        <v>1192</v>
      </c>
      <c r="B556">
        <v>30019</v>
      </c>
      <c r="C556" s="8">
        <v>45610</v>
      </c>
      <c r="D556" t="s">
        <v>1352</v>
      </c>
      <c r="E556" s="11">
        <v>6</v>
      </c>
      <c r="F556" t="s">
        <v>805</v>
      </c>
      <c r="G556" t="s">
        <v>1195</v>
      </c>
      <c r="H556" s="12">
        <v>45000</v>
      </c>
      <c r="I556" s="9">
        <v>0</v>
      </c>
      <c r="J556" s="15">
        <v>0.15</v>
      </c>
      <c r="K556" s="12">
        <v>6890</v>
      </c>
      <c r="L556" s="12">
        <v>5000</v>
      </c>
      <c r="M556" s="9">
        <v>0</v>
      </c>
      <c r="N556" s="12">
        <v>0</v>
      </c>
      <c r="O556">
        <v>0</v>
      </c>
      <c r="P556">
        <v>1</v>
      </c>
      <c r="Q556" s="15">
        <f t="shared" si="24"/>
        <v>0.30311111111111111</v>
      </c>
      <c r="R556" s="9">
        <f t="shared" si="25"/>
        <v>6750</v>
      </c>
      <c r="S556" s="9">
        <f t="shared" si="26"/>
        <v>13640</v>
      </c>
    </row>
    <row r="557" spans="1:19" x14ac:dyDescent="0.25">
      <c r="A557" t="s">
        <v>29</v>
      </c>
      <c r="B557">
        <v>30012</v>
      </c>
      <c r="C557" s="8">
        <v>45639</v>
      </c>
      <c r="D557" t="s">
        <v>873</v>
      </c>
      <c r="E557" s="11">
        <v>6</v>
      </c>
      <c r="F557" t="s">
        <v>805</v>
      </c>
      <c r="H557" s="12">
        <v>100000</v>
      </c>
      <c r="I557" s="9">
        <v>106605</v>
      </c>
      <c r="J557" s="15">
        <v>0.1</v>
      </c>
      <c r="K557" s="12">
        <v>0</v>
      </c>
      <c r="L557" s="12">
        <v>0</v>
      </c>
      <c r="M557" s="9">
        <v>0</v>
      </c>
      <c r="N557" s="12">
        <v>1628.6875</v>
      </c>
      <c r="O557">
        <v>55</v>
      </c>
      <c r="Q557" s="15">
        <f t="shared" si="24"/>
        <v>0.1</v>
      </c>
      <c r="R557" s="9">
        <f t="shared" si="25"/>
        <v>10000</v>
      </c>
      <c r="S557" s="9">
        <f t="shared" si="26"/>
        <v>10000</v>
      </c>
    </row>
    <row r="558" spans="1:19" x14ac:dyDescent="0.25">
      <c r="A558" t="s">
        <v>29</v>
      </c>
      <c r="B558">
        <v>30012</v>
      </c>
      <c r="C558" s="8">
        <v>45657</v>
      </c>
      <c r="D558" t="s">
        <v>824</v>
      </c>
      <c r="E558" s="11">
        <v>6</v>
      </c>
      <c r="F558" t="s">
        <v>805</v>
      </c>
      <c r="H558" s="12">
        <v>1278594</v>
      </c>
      <c r="I558" s="9">
        <v>1278594</v>
      </c>
      <c r="J558" s="15">
        <v>0.15</v>
      </c>
      <c r="K558" s="12">
        <v>0</v>
      </c>
      <c r="L558" s="12">
        <v>0</v>
      </c>
      <c r="M558" s="9">
        <v>0</v>
      </c>
      <c r="N558" s="12">
        <v>532.74750000000006</v>
      </c>
      <c r="O558">
        <v>1</v>
      </c>
      <c r="Q558" s="15">
        <f t="shared" si="24"/>
        <v>0.15</v>
      </c>
      <c r="R558" s="9">
        <f t="shared" si="25"/>
        <v>191789.1</v>
      </c>
      <c r="S558" s="9">
        <f t="shared" si="26"/>
        <v>191789.1</v>
      </c>
    </row>
    <row r="559" spans="1:19" x14ac:dyDescent="0.25">
      <c r="A559" t="s">
        <v>29</v>
      </c>
      <c r="B559">
        <v>30012</v>
      </c>
      <c r="C559" s="8">
        <v>45597</v>
      </c>
      <c r="D559" t="s">
        <v>996</v>
      </c>
      <c r="E559" s="11">
        <v>6</v>
      </c>
      <c r="F559" t="s">
        <v>805</v>
      </c>
      <c r="H559" s="12">
        <v>64388</v>
      </c>
      <c r="I559" s="9">
        <v>64388</v>
      </c>
      <c r="J559" s="15">
        <v>0.15</v>
      </c>
      <c r="K559" s="12">
        <v>0</v>
      </c>
      <c r="L559" s="12">
        <v>0</v>
      </c>
      <c r="M559" s="9">
        <v>0</v>
      </c>
      <c r="N559" s="12">
        <v>1636.5283333333332</v>
      </c>
      <c r="O559">
        <v>61</v>
      </c>
      <c r="Q559" s="15">
        <f t="shared" si="24"/>
        <v>0.15</v>
      </c>
      <c r="R559" s="9">
        <f t="shared" si="25"/>
        <v>9658.1999999999989</v>
      </c>
      <c r="S559" s="9">
        <f t="shared" si="26"/>
        <v>9658.1999999999989</v>
      </c>
    </row>
    <row r="560" spans="1:19" x14ac:dyDescent="0.25">
      <c r="A560" t="s">
        <v>1192</v>
      </c>
      <c r="B560">
        <v>30019</v>
      </c>
      <c r="C560" s="8">
        <v>45573</v>
      </c>
      <c r="D560" t="s">
        <v>1231</v>
      </c>
      <c r="E560" s="11">
        <v>6</v>
      </c>
      <c r="F560" t="s">
        <v>805</v>
      </c>
      <c r="G560" t="s">
        <v>1194</v>
      </c>
      <c r="H560" s="12">
        <v>350000</v>
      </c>
      <c r="I560" s="9">
        <v>0</v>
      </c>
      <c r="J560" s="15">
        <v>0.15</v>
      </c>
      <c r="K560" s="12">
        <v>6890</v>
      </c>
      <c r="L560" s="12">
        <v>5000</v>
      </c>
      <c r="M560" s="9">
        <v>0</v>
      </c>
      <c r="N560" s="12">
        <v>0</v>
      </c>
      <c r="O560">
        <v>0</v>
      </c>
      <c r="P560">
        <v>1</v>
      </c>
      <c r="Q560" s="15">
        <f t="shared" si="24"/>
        <v>0.16968571428571427</v>
      </c>
      <c r="R560" s="9">
        <f t="shared" si="25"/>
        <v>52500</v>
      </c>
      <c r="S560" s="9">
        <f t="shared" si="26"/>
        <v>59389.999999999993</v>
      </c>
    </row>
    <row r="561" spans="1:19" x14ac:dyDescent="0.25">
      <c r="A561" t="s">
        <v>1192</v>
      </c>
      <c r="B561">
        <v>30019</v>
      </c>
      <c r="C561" s="8">
        <v>45576</v>
      </c>
      <c r="D561" t="s">
        <v>1251</v>
      </c>
      <c r="E561" s="11">
        <v>6</v>
      </c>
      <c r="F561" t="s">
        <v>805</v>
      </c>
      <c r="G561" t="s">
        <v>1194</v>
      </c>
      <c r="H561" s="12">
        <v>98000</v>
      </c>
      <c r="I561" s="9">
        <v>0</v>
      </c>
      <c r="J561" s="15">
        <v>0.15</v>
      </c>
      <c r="K561" s="12">
        <v>6890</v>
      </c>
      <c r="L561" s="12">
        <v>5000</v>
      </c>
      <c r="M561" s="9">
        <v>0</v>
      </c>
      <c r="N561" s="12">
        <v>0</v>
      </c>
      <c r="O561">
        <v>0</v>
      </c>
      <c r="P561">
        <v>1</v>
      </c>
      <c r="Q561" s="15">
        <f t="shared" si="24"/>
        <v>0.2203061224489796</v>
      </c>
      <c r="R561" s="9">
        <f t="shared" si="25"/>
        <v>14700</v>
      </c>
      <c r="S561" s="9">
        <f t="shared" si="26"/>
        <v>21590</v>
      </c>
    </row>
    <row r="562" spans="1:19" x14ac:dyDescent="0.25">
      <c r="A562" t="s">
        <v>29</v>
      </c>
      <c r="B562">
        <v>30012</v>
      </c>
      <c r="C562" s="8">
        <v>45653</v>
      </c>
      <c r="D562" t="s">
        <v>838</v>
      </c>
      <c r="E562" s="11">
        <v>6</v>
      </c>
      <c r="F562" t="s">
        <v>819</v>
      </c>
      <c r="H562" s="12">
        <v>300000</v>
      </c>
      <c r="I562" s="9">
        <v>464943</v>
      </c>
      <c r="J562" s="15">
        <v>0.1</v>
      </c>
      <c r="K562" s="12">
        <v>0</v>
      </c>
      <c r="L562" s="12">
        <v>0</v>
      </c>
      <c r="M562" s="9">
        <v>0</v>
      </c>
      <c r="N562" s="12">
        <v>6715.8433333333332</v>
      </c>
      <c r="O562">
        <v>52</v>
      </c>
      <c r="Q562" s="15">
        <f t="shared" si="24"/>
        <v>0.1</v>
      </c>
      <c r="R562" s="9">
        <f t="shared" si="25"/>
        <v>30000</v>
      </c>
      <c r="S562" s="9">
        <f t="shared" si="26"/>
        <v>30000</v>
      </c>
    </row>
    <row r="563" spans="1:19" x14ac:dyDescent="0.25">
      <c r="A563" t="s">
        <v>1192</v>
      </c>
      <c r="B563">
        <v>30019</v>
      </c>
      <c r="C563" s="8">
        <v>45650</v>
      </c>
      <c r="D563" t="s">
        <v>1458</v>
      </c>
      <c r="E563" s="11">
        <v>6</v>
      </c>
      <c r="F563" t="s">
        <v>805</v>
      </c>
      <c r="G563" t="s">
        <v>1194</v>
      </c>
      <c r="H563" s="12">
        <v>76000</v>
      </c>
      <c r="I563" s="9">
        <v>0</v>
      </c>
      <c r="J563" s="15">
        <v>0.15</v>
      </c>
      <c r="K563" s="12">
        <v>6890</v>
      </c>
      <c r="L563" s="12">
        <v>5000</v>
      </c>
      <c r="M563" s="9">
        <v>0</v>
      </c>
      <c r="N563" s="12">
        <v>0</v>
      </c>
      <c r="O563">
        <v>0</v>
      </c>
      <c r="P563">
        <v>1</v>
      </c>
      <c r="Q563" s="15">
        <f t="shared" si="24"/>
        <v>0.2406578947368421</v>
      </c>
      <c r="R563" s="9">
        <f t="shared" si="25"/>
        <v>11400</v>
      </c>
      <c r="S563" s="9">
        <f t="shared" si="26"/>
        <v>18290</v>
      </c>
    </row>
    <row r="564" spans="1:19" x14ac:dyDescent="0.25">
      <c r="A564" t="s">
        <v>1192</v>
      </c>
      <c r="B564">
        <v>30019</v>
      </c>
      <c r="C564" s="8">
        <v>45611</v>
      </c>
      <c r="D564" t="s">
        <v>1354</v>
      </c>
      <c r="E564" s="11">
        <v>6</v>
      </c>
      <c r="F564" t="s">
        <v>805</v>
      </c>
      <c r="H564" s="12">
        <v>50000</v>
      </c>
      <c r="I564" s="9">
        <v>0</v>
      </c>
      <c r="J564" s="15">
        <v>0.122727272727273</v>
      </c>
      <c r="K564" s="12">
        <v>6890</v>
      </c>
      <c r="L564" s="12">
        <v>5000</v>
      </c>
      <c r="M564" s="9">
        <v>0</v>
      </c>
      <c r="N564" s="12">
        <v>0</v>
      </c>
      <c r="O564">
        <v>0</v>
      </c>
      <c r="P564">
        <v>1</v>
      </c>
      <c r="Q564" s="15">
        <f t="shared" si="24"/>
        <v>0.260527272727273</v>
      </c>
      <c r="R564" s="9">
        <f t="shared" si="25"/>
        <v>6136.3636363636506</v>
      </c>
      <c r="S564" s="9">
        <f t="shared" si="26"/>
        <v>13026.363636363651</v>
      </c>
    </row>
    <row r="565" spans="1:19" x14ac:dyDescent="0.25">
      <c r="A565" t="s">
        <v>1192</v>
      </c>
      <c r="B565">
        <v>30019</v>
      </c>
      <c r="C565" s="8">
        <v>45617</v>
      </c>
      <c r="D565" t="s">
        <v>1371</v>
      </c>
      <c r="E565" s="11">
        <v>6</v>
      </c>
      <c r="F565" t="s">
        <v>805</v>
      </c>
      <c r="G565" t="s">
        <v>1195</v>
      </c>
      <c r="H565" s="12">
        <v>105000</v>
      </c>
      <c r="I565" s="9">
        <v>0</v>
      </c>
      <c r="J565" s="15">
        <v>0.15</v>
      </c>
      <c r="K565" s="12">
        <v>6890</v>
      </c>
      <c r="L565" s="12">
        <v>5000</v>
      </c>
      <c r="M565" s="9">
        <v>0</v>
      </c>
      <c r="N565" s="12">
        <v>0</v>
      </c>
      <c r="O565">
        <v>0</v>
      </c>
      <c r="P565">
        <v>1</v>
      </c>
      <c r="Q565" s="15">
        <f t="shared" si="24"/>
        <v>0.21561904761904763</v>
      </c>
      <c r="R565" s="9">
        <f t="shared" si="25"/>
        <v>15750</v>
      </c>
      <c r="S565" s="9">
        <f t="shared" si="26"/>
        <v>22640</v>
      </c>
    </row>
    <row r="566" spans="1:19" x14ac:dyDescent="0.25">
      <c r="A566" t="s">
        <v>1192</v>
      </c>
      <c r="B566">
        <v>30019</v>
      </c>
      <c r="C566" s="8">
        <v>45631</v>
      </c>
      <c r="D566" t="s">
        <v>1408</v>
      </c>
      <c r="E566" s="11">
        <v>6</v>
      </c>
      <c r="F566" t="s">
        <v>1373</v>
      </c>
      <c r="H566" s="12">
        <v>118000</v>
      </c>
      <c r="I566" s="9">
        <v>0</v>
      </c>
      <c r="J566" s="15">
        <v>0.15</v>
      </c>
      <c r="K566" s="12">
        <v>6890</v>
      </c>
      <c r="L566" s="12">
        <v>5000</v>
      </c>
      <c r="M566" s="9">
        <v>0</v>
      </c>
      <c r="N566" s="12">
        <v>0</v>
      </c>
      <c r="O566">
        <v>0</v>
      </c>
      <c r="P566">
        <v>1</v>
      </c>
      <c r="Q566" s="15">
        <f t="shared" si="24"/>
        <v>0.20838983050847457</v>
      </c>
      <c r="R566" s="9">
        <f t="shared" si="25"/>
        <v>17700</v>
      </c>
      <c r="S566" s="9">
        <f t="shared" si="26"/>
        <v>24590</v>
      </c>
    </row>
    <row r="567" spans="1:19" x14ac:dyDescent="0.25">
      <c r="A567" t="s">
        <v>29</v>
      </c>
      <c r="B567">
        <v>30012</v>
      </c>
      <c r="C567" s="8">
        <v>45645</v>
      </c>
      <c r="D567" t="s">
        <v>861</v>
      </c>
      <c r="E567" s="11">
        <v>6</v>
      </c>
      <c r="F567" t="s">
        <v>822</v>
      </c>
      <c r="H567" s="12">
        <v>100000</v>
      </c>
      <c r="I567" s="9">
        <v>1115</v>
      </c>
      <c r="J567" s="15">
        <v>0.1</v>
      </c>
      <c r="K567" s="12">
        <v>0</v>
      </c>
      <c r="L567" s="12">
        <v>0</v>
      </c>
      <c r="M567" s="9">
        <v>0</v>
      </c>
      <c r="N567" s="12">
        <v>23.538888888888888</v>
      </c>
      <c r="O567">
        <v>76</v>
      </c>
      <c r="Q567" s="15">
        <f t="shared" si="24"/>
        <v>0.1</v>
      </c>
      <c r="R567" s="9">
        <f t="shared" si="25"/>
        <v>10000</v>
      </c>
      <c r="S567" s="9">
        <f t="shared" si="26"/>
        <v>10000</v>
      </c>
    </row>
    <row r="568" spans="1:19" x14ac:dyDescent="0.25">
      <c r="A568" t="s">
        <v>29</v>
      </c>
      <c r="B568">
        <v>30012</v>
      </c>
      <c r="C568" s="8">
        <v>45593</v>
      </c>
      <c r="D568" t="s">
        <v>1032</v>
      </c>
      <c r="E568" s="11">
        <v>6</v>
      </c>
      <c r="F568" t="s">
        <v>819</v>
      </c>
      <c r="H568" s="12">
        <v>116000</v>
      </c>
      <c r="I568" s="9">
        <v>116323</v>
      </c>
      <c r="J568" s="15">
        <v>0.1</v>
      </c>
      <c r="K568" s="12">
        <v>0</v>
      </c>
      <c r="L568" s="12">
        <v>0</v>
      </c>
      <c r="M568" s="9">
        <v>0</v>
      </c>
      <c r="N568" s="12">
        <v>2294.1480555555559</v>
      </c>
      <c r="O568">
        <v>71</v>
      </c>
      <c r="Q568" s="15">
        <f t="shared" si="24"/>
        <v>0.1</v>
      </c>
      <c r="R568" s="9">
        <f t="shared" si="25"/>
        <v>11600</v>
      </c>
      <c r="S568" s="9">
        <f t="shared" si="26"/>
        <v>11600</v>
      </c>
    </row>
    <row r="569" spans="1:19" x14ac:dyDescent="0.25">
      <c r="A569" t="s">
        <v>1192</v>
      </c>
      <c r="B569">
        <v>30019</v>
      </c>
      <c r="C569" s="8">
        <v>45581</v>
      </c>
      <c r="D569" t="s">
        <v>1264</v>
      </c>
      <c r="E569" s="11">
        <v>6</v>
      </c>
      <c r="F569" t="s">
        <v>805</v>
      </c>
      <c r="G569" t="s">
        <v>1195</v>
      </c>
      <c r="H569" s="12">
        <v>91000</v>
      </c>
      <c r="I569" s="9">
        <v>0</v>
      </c>
      <c r="J569" s="15">
        <v>0.13500000000000001</v>
      </c>
      <c r="K569" s="12">
        <v>6890</v>
      </c>
      <c r="L569" s="12">
        <v>5000</v>
      </c>
      <c r="M569" s="9">
        <v>0</v>
      </c>
      <c r="N569" s="12">
        <v>0</v>
      </c>
      <c r="O569">
        <v>0</v>
      </c>
      <c r="P569">
        <v>1</v>
      </c>
      <c r="Q569" s="15">
        <f t="shared" si="24"/>
        <v>0.21071428571428572</v>
      </c>
      <c r="R569" s="9">
        <f t="shared" si="25"/>
        <v>12285</v>
      </c>
      <c r="S569" s="9">
        <f t="shared" si="26"/>
        <v>19175</v>
      </c>
    </row>
    <row r="570" spans="1:19" x14ac:dyDescent="0.25">
      <c r="A570" t="s">
        <v>29</v>
      </c>
      <c r="B570">
        <v>30012</v>
      </c>
      <c r="C570" s="8">
        <v>45574</v>
      </c>
      <c r="D570" t="s">
        <v>1081</v>
      </c>
      <c r="E570" s="11">
        <v>6</v>
      </c>
      <c r="F570" t="s">
        <v>805</v>
      </c>
      <c r="H570" s="12">
        <v>500000</v>
      </c>
      <c r="I570" s="9">
        <v>503664</v>
      </c>
      <c r="J570" s="15">
        <v>0.1</v>
      </c>
      <c r="K570" s="12">
        <v>0</v>
      </c>
      <c r="L570" s="12">
        <v>0</v>
      </c>
      <c r="M570" s="9">
        <v>0</v>
      </c>
      <c r="N570" s="12">
        <v>11752.160000000002</v>
      </c>
      <c r="O570">
        <v>84</v>
      </c>
      <c r="Q570" s="15">
        <f t="shared" si="24"/>
        <v>0.1</v>
      </c>
      <c r="R570" s="9">
        <f t="shared" si="25"/>
        <v>50000</v>
      </c>
      <c r="S570" s="9">
        <f t="shared" si="26"/>
        <v>50000</v>
      </c>
    </row>
    <row r="571" spans="1:19" x14ac:dyDescent="0.25">
      <c r="A571" t="s">
        <v>29</v>
      </c>
      <c r="B571">
        <v>30012</v>
      </c>
      <c r="C571" s="8">
        <v>45587</v>
      </c>
      <c r="D571" t="s">
        <v>1048</v>
      </c>
      <c r="E571" s="11">
        <v>6</v>
      </c>
      <c r="F571" t="s">
        <v>805</v>
      </c>
      <c r="H571" s="12">
        <v>70000</v>
      </c>
      <c r="I571" s="9">
        <v>5642846</v>
      </c>
      <c r="J571" s="15">
        <v>0.1</v>
      </c>
      <c r="K571" s="12">
        <v>0</v>
      </c>
      <c r="L571" s="12">
        <v>0</v>
      </c>
      <c r="M571" s="9">
        <v>0</v>
      </c>
      <c r="N571" s="12">
        <v>0</v>
      </c>
      <c r="O571">
        <v>0</v>
      </c>
      <c r="Q571" s="15">
        <f t="shared" si="24"/>
        <v>0.1</v>
      </c>
      <c r="R571" s="9">
        <f t="shared" si="25"/>
        <v>7000</v>
      </c>
      <c r="S571" s="9">
        <f t="shared" si="26"/>
        <v>7000</v>
      </c>
    </row>
    <row r="572" spans="1:19" x14ac:dyDescent="0.25">
      <c r="A572" t="s">
        <v>29</v>
      </c>
      <c r="B572">
        <v>30012</v>
      </c>
      <c r="C572" s="8">
        <v>45597</v>
      </c>
      <c r="D572" t="s">
        <v>1013</v>
      </c>
      <c r="E572" s="11">
        <v>6</v>
      </c>
      <c r="F572" t="s">
        <v>805</v>
      </c>
      <c r="H572" s="12">
        <v>239794</v>
      </c>
      <c r="I572" s="9">
        <v>239794</v>
      </c>
      <c r="J572" s="15">
        <v>0.15</v>
      </c>
      <c r="K572" s="12">
        <v>0</v>
      </c>
      <c r="L572" s="12">
        <v>0</v>
      </c>
      <c r="M572" s="9">
        <v>0</v>
      </c>
      <c r="N572" s="12">
        <v>6094.7641666666668</v>
      </c>
      <c r="O572">
        <v>61</v>
      </c>
      <c r="Q572" s="15">
        <f t="shared" si="24"/>
        <v>0.15</v>
      </c>
      <c r="R572" s="9">
        <f t="shared" si="25"/>
        <v>35969.1</v>
      </c>
      <c r="S572" s="9">
        <f t="shared" si="26"/>
        <v>35969.1</v>
      </c>
    </row>
    <row r="573" spans="1:19" x14ac:dyDescent="0.25">
      <c r="A573" t="s">
        <v>29</v>
      </c>
      <c r="B573">
        <v>30012</v>
      </c>
      <c r="C573" s="8">
        <v>45568</v>
      </c>
      <c r="D573" t="s">
        <v>1089</v>
      </c>
      <c r="E573" s="11">
        <v>6</v>
      </c>
      <c r="F573" t="s">
        <v>805</v>
      </c>
      <c r="H573" s="12">
        <v>51127</v>
      </c>
      <c r="I573" s="9">
        <v>51127</v>
      </c>
      <c r="J573" s="15">
        <v>0.15</v>
      </c>
      <c r="K573" s="12">
        <v>0</v>
      </c>
      <c r="L573" s="12">
        <v>0</v>
      </c>
      <c r="M573" s="9">
        <v>0</v>
      </c>
      <c r="N573" s="12">
        <v>1917.2624999999996</v>
      </c>
      <c r="O573">
        <v>90</v>
      </c>
      <c r="Q573" s="15">
        <f t="shared" si="24"/>
        <v>0.15</v>
      </c>
      <c r="R573" s="9">
        <f t="shared" si="25"/>
        <v>7669.0499999999993</v>
      </c>
      <c r="S573" s="9">
        <f t="shared" si="26"/>
        <v>7669.0499999999993</v>
      </c>
    </row>
    <row r="574" spans="1:19" x14ac:dyDescent="0.25">
      <c r="A574" t="s">
        <v>29</v>
      </c>
      <c r="B574">
        <v>30012</v>
      </c>
      <c r="C574" s="8">
        <v>45629</v>
      </c>
      <c r="D574" t="s">
        <v>915</v>
      </c>
      <c r="E574" s="11">
        <v>6</v>
      </c>
      <c r="F574" t="s">
        <v>819</v>
      </c>
      <c r="H574" s="12">
        <v>125240</v>
      </c>
      <c r="I574" s="9">
        <v>125240</v>
      </c>
      <c r="J574" s="15">
        <v>0.15</v>
      </c>
      <c r="K574" s="12">
        <v>0</v>
      </c>
      <c r="L574" s="12">
        <v>0</v>
      </c>
      <c r="M574" s="9">
        <v>0</v>
      </c>
      <c r="N574" s="12">
        <v>1513.3166666666666</v>
      </c>
      <c r="O574">
        <v>29</v>
      </c>
      <c r="Q574" s="15">
        <f t="shared" si="24"/>
        <v>0.15</v>
      </c>
      <c r="R574" s="9">
        <f t="shared" si="25"/>
        <v>18786</v>
      </c>
      <c r="S574" s="9">
        <f t="shared" si="26"/>
        <v>18786</v>
      </c>
    </row>
    <row r="575" spans="1:19" x14ac:dyDescent="0.25">
      <c r="A575" t="s">
        <v>1192</v>
      </c>
      <c r="B575">
        <v>30019</v>
      </c>
      <c r="C575" s="8">
        <v>45587</v>
      </c>
      <c r="D575" t="s">
        <v>1283</v>
      </c>
      <c r="E575" s="11">
        <v>6</v>
      </c>
      <c r="F575" t="s">
        <v>805</v>
      </c>
      <c r="H575" s="12">
        <v>75000</v>
      </c>
      <c r="I575" s="9">
        <v>0</v>
      </c>
      <c r="J575" s="15">
        <v>0.1</v>
      </c>
      <c r="K575" s="12">
        <v>6890</v>
      </c>
      <c r="L575" s="12">
        <v>5000</v>
      </c>
      <c r="M575" s="9">
        <v>0</v>
      </c>
      <c r="N575" s="12">
        <v>0</v>
      </c>
      <c r="O575">
        <v>0</v>
      </c>
      <c r="P575">
        <v>1</v>
      </c>
      <c r="Q575" s="15">
        <f t="shared" si="24"/>
        <v>0.19186666666666666</v>
      </c>
      <c r="R575" s="9">
        <f t="shared" si="25"/>
        <v>7500</v>
      </c>
      <c r="S575" s="9">
        <f t="shared" si="26"/>
        <v>14390</v>
      </c>
    </row>
    <row r="576" spans="1:19" x14ac:dyDescent="0.25">
      <c r="A576" t="s">
        <v>29</v>
      </c>
      <c r="B576">
        <v>30012</v>
      </c>
      <c r="C576" s="8">
        <v>45639</v>
      </c>
      <c r="D576" t="s">
        <v>876</v>
      </c>
      <c r="E576" s="11">
        <v>6</v>
      </c>
      <c r="F576" t="s">
        <v>805</v>
      </c>
      <c r="H576" s="12">
        <v>73000</v>
      </c>
      <c r="I576" s="9">
        <v>73562</v>
      </c>
      <c r="J576" s="15">
        <v>0.1</v>
      </c>
      <c r="K576" s="12">
        <v>0</v>
      </c>
      <c r="L576" s="12">
        <v>0</v>
      </c>
      <c r="M576" s="9">
        <v>0</v>
      </c>
      <c r="N576" s="12">
        <v>388.24388888888893</v>
      </c>
      <c r="O576">
        <v>19</v>
      </c>
      <c r="Q576" s="15">
        <f t="shared" si="24"/>
        <v>0.1</v>
      </c>
      <c r="R576" s="9">
        <f t="shared" si="25"/>
        <v>7300</v>
      </c>
      <c r="S576" s="9">
        <f t="shared" si="26"/>
        <v>7300</v>
      </c>
    </row>
    <row r="577" spans="1:19" x14ac:dyDescent="0.25">
      <c r="A577" t="s">
        <v>1192</v>
      </c>
      <c r="B577">
        <v>30019</v>
      </c>
      <c r="C577" s="8">
        <v>45642</v>
      </c>
      <c r="D577" t="s">
        <v>1448</v>
      </c>
      <c r="E577" s="11">
        <v>6</v>
      </c>
      <c r="F577" t="s">
        <v>805</v>
      </c>
      <c r="H577" s="12">
        <v>110000</v>
      </c>
      <c r="I577" s="9">
        <v>0</v>
      </c>
      <c r="J577" s="15">
        <v>0.125</v>
      </c>
      <c r="K577" s="12">
        <v>6890</v>
      </c>
      <c r="L577" s="12">
        <v>5000</v>
      </c>
      <c r="M577" s="9">
        <v>0</v>
      </c>
      <c r="N577" s="12">
        <v>0</v>
      </c>
      <c r="O577">
        <v>0</v>
      </c>
      <c r="P577">
        <v>1</v>
      </c>
      <c r="Q577" s="15">
        <f t="shared" si="24"/>
        <v>0.18763636363636363</v>
      </c>
      <c r="R577" s="9">
        <f t="shared" si="25"/>
        <v>13750</v>
      </c>
      <c r="S577" s="9">
        <f t="shared" si="26"/>
        <v>20640</v>
      </c>
    </row>
    <row r="578" spans="1:19" x14ac:dyDescent="0.25">
      <c r="A578" t="s">
        <v>1192</v>
      </c>
      <c r="B578">
        <v>30019</v>
      </c>
      <c r="C578" s="8">
        <v>45600</v>
      </c>
      <c r="D578" t="s">
        <v>701</v>
      </c>
      <c r="E578" s="11">
        <v>6</v>
      </c>
      <c r="F578" t="s">
        <v>805</v>
      </c>
      <c r="G578" t="s">
        <v>1194</v>
      </c>
      <c r="H578" s="12">
        <v>142000</v>
      </c>
      <c r="I578" s="9">
        <v>0</v>
      </c>
      <c r="J578" s="15">
        <v>9.54545454545455E-2</v>
      </c>
      <c r="K578" s="12">
        <v>6890</v>
      </c>
      <c r="L578" s="12">
        <v>5000</v>
      </c>
      <c r="M578" s="9">
        <v>0</v>
      </c>
      <c r="N578" s="12">
        <v>0</v>
      </c>
      <c r="O578">
        <v>0</v>
      </c>
      <c r="P578">
        <v>1</v>
      </c>
      <c r="Q578" s="15">
        <f t="shared" ref="Q578:Q641" si="27">((H578*J578)+K578+M578)/H578</f>
        <v>0.1439756722151089</v>
      </c>
      <c r="R578" s="9">
        <f t="shared" ref="R578:R641" si="28">J578*H578</f>
        <v>13554.545454545461</v>
      </c>
      <c r="S578" s="9">
        <f t="shared" ref="S578:S641" si="29">Q578*H578</f>
        <v>20444.545454545463</v>
      </c>
    </row>
    <row r="579" spans="1:19" x14ac:dyDescent="0.25">
      <c r="A579" t="s">
        <v>29</v>
      </c>
      <c r="B579">
        <v>30012</v>
      </c>
      <c r="C579" s="8">
        <v>45616</v>
      </c>
      <c r="D579" t="s">
        <v>950</v>
      </c>
      <c r="E579" s="11">
        <v>6</v>
      </c>
      <c r="F579" t="s">
        <v>805</v>
      </c>
      <c r="H579" s="12">
        <v>100000</v>
      </c>
      <c r="I579" s="9">
        <v>101353</v>
      </c>
      <c r="J579" s="15">
        <v>0.1</v>
      </c>
      <c r="K579" s="12">
        <v>0</v>
      </c>
      <c r="L579" s="12">
        <v>0</v>
      </c>
      <c r="M579" s="9">
        <v>0</v>
      </c>
      <c r="N579" s="12">
        <v>2167.8280555555557</v>
      </c>
      <c r="O579">
        <v>77</v>
      </c>
      <c r="Q579" s="15">
        <f t="shared" si="27"/>
        <v>0.1</v>
      </c>
      <c r="R579" s="9">
        <f t="shared" si="28"/>
        <v>10000</v>
      </c>
      <c r="S579" s="9">
        <f t="shared" si="29"/>
        <v>10000</v>
      </c>
    </row>
    <row r="580" spans="1:19" x14ac:dyDescent="0.25">
      <c r="A580" t="s">
        <v>29</v>
      </c>
      <c r="B580">
        <v>30012</v>
      </c>
      <c r="C580" s="8">
        <v>45629</v>
      </c>
      <c r="D580" t="s">
        <v>920</v>
      </c>
      <c r="E580" s="11">
        <v>6</v>
      </c>
      <c r="F580" t="s">
        <v>805</v>
      </c>
      <c r="H580" s="12">
        <v>219300</v>
      </c>
      <c r="I580" s="9">
        <v>219300</v>
      </c>
      <c r="J580" s="15">
        <v>0.15</v>
      </c>
      <c r="K580" s="12">
        <v>0</v>
      </c>
      <c r="L580" s="12">
        <v>0</v>
      </c>
      <c r="M580" s="9">
        <v>0</v>
      </c>
      <c r="N580" s="12">
        <v>2649.875</v>
      </c>
      <c r="O580">
        <v>29</v>
      </c>
      <c r="Q580" s="15">
        <f t="shared" si="27"/>
        <v>0.15</v>
      </c>
      <c r="R580" s="9">
        <f t="shared" si="28"/>
        <v>32895</v>
      </c>
      <c r="S580" s="9">
        <f t="shared" si="29"/>
        <v>32895</v>
      </c>
    </row>
    <row r="581" spans="1:19" x14ac:dyDescent="0.25">
      <c r="A581" t="s">
        <v>1192</v>
      </c>
      <c r="B581">
        <v>30019</v>
      </c>
      <c r="C581" s="8">
        <v>45636</v>
      </c>
      <c r="D581" t="s">
        <v>1432</v>
      </c>
      <c r="E581" s="11">
        <v>6</v>
      </c>
      <c r="F581" t="s">
        <v>1433</v>
      </c>
      <c r="G581" t="s">
        <v>1195</v>
      </c>
      <c r="H581" s="12">
        <v>83000</v>
      </c>
      <c r="I581" s="9">
        <v>0</v>
      </c>
      <c r="J581" s="15">
        <v>0.13750000000000001</v>
      </c>
      <c r="K581" s="12">
        <v>6890</v>
      </c>
      <c r="L581" s="12">
        <v>5000</v>
      </c>
      <c r="M581" s="9">
        <v>0</v>
      </c>
      <c r="N581" s="12">
        <v>0</v>
      </c>
      <c r="O581">
        <v>0</v>
      </c>
      <c r="P581">
        <v>1</v>
      </c>
      <c r="Q581" s="15">
        <f t="shared" si="27"/>
        <v>0.22051204819277109</v>
      </c>
      <c r="R581" s="9">
        <f t="shared" si="28"/>
        <v>11412.500000000002</v>
      </c>
      <c r="S581" s="9">
        <f t="shared" si="29"/>
        <v>18302.5</v>
      </c>
    </row>
    <row r="582" spans="1:19" x14ac:dyDescent="0.25">
      <c r="A582" t="s">
        <v>1192</v>
      </c>
      <c r="B582">
        <v>30019</v>
      </c>
      <c r="C582" s="8">
        <v>45586</v>
      </c>
      <c r="D582" t="s">
        <v>1278</v>
      </c>
      <c r="E582" s="11">
        <v>6</v>
      </c>
      <c r="F582" t="s">
        <v>805</v>
      </c>
      <c r="G582" t="s">
        <v>1279</v>
      </c>
      <c r="H582" s="12">
        <v>46000</v>
      </c>
      <c r="I582" s="9">
        <v>0</v>
      </c>
      <c r="J582" s="15">
        <v>0.15</v>
      </c>
      <c r="K582" s="12">
        <v>6890</v>
      </c>
      <c r="L582" s="12">
        <v>5000</v>
      </c>
      <c r="M582" s="9">
        <v>0</v>
      </c>
      <c r="N582" s="12">
        <v>0</v>
      </c>
      <c r="O582">
        <v>0</v>
      </c>
      <c r="P582">
        <v>1</v>
      </c>
      <c r="Q582" s="15">
        <f t="shared" si="27"/>
        <v>0.29978260869565215</v>
      </c>
      <c r="R582" s="9">
        <f t="shared" si="28"/>
        <v>6900</v>
      </c>
      <c r="S582" s="9">
        <f t="shared" si="29"/>
        <v>13789.999999999998</v>
      </c>
    </row>
    <row r="583" spans="1:19" x14ac:dyDescent="0.25">
      <c r="A583" t="s">
        <v>1192</v>
      </c>
      <c r="B583">
        <v>30019</v>
      </c>
      <c r="C583" s="8">
        <v>45656</v>
      </c>
      <c r="D583" t="s">
        <v>1469</v>
      </c>
      <c r="E583" s="11">
        <v>6</v>
      </c>
      <c r="F583" t="s">
        <v>805</v>
      </c>
      <c r="G583" t="s">
        <v>1195</v>
      </c>
      <c r="H583" s="12">
        <v>106000</v>
      </c>
      <c r="I583" s="9">
        <v>0</v>
      </c>
      <c r="J583" s="15">
        <v>0.15</v>
      </c>
      <c r="K583" s="12">
        <v>6890</v>
      </c>
      <c r="L583" s="12">
        <v>5000</v>
      </c>
      <c r="M583" s="9">
        <v>0</v>
      </c>
      <c r="N583" s="12">
        <v>0</v>
      </c>
      <c r="O583">
        <v>0</v>
      </c>
      <c r="P583">
        <v>1</v>
      </c>
      <c r="Q583" s="15">
        <f t="shared" si="27"/>
        <v>0.215</v>
      </c>
      <c r="R583" s="9">
        <f t="shared" si="28"/>
        <v>15900</v>
      </c>
      <c r="S583" s="9">
        <f t="shared" si="29"/>
        <v>22790</v>
      </c>
    </row>
    <row r="584" spans="1:19" x14ac:dyDescent="0.25">
      <c r="A584" t="s">
        <v>29</v>
      </c>
      <c r="B584">
        <v>30012</v>
      </c>
      <c r="C584" s="8">
        <v>45653</v>
      </c>
      <c r="D584" t="s">
        <v>839</v>
      </c>
      <c r="E584" s="11">
        <v>6</v>
      </c>
      <c r="F584" t="s">
        <v>819</v>
      </c>
      <c r="H584" s="12">
        <v>90000</v>
      </c>
      <c r="I584" s="9">
        <v>91141</v>
      </c>
      <c r="J584" s="15">
        <v>0.1</v>
      </c>
      <c r="K584" s="12">
        <v>0</v>
      </c>
      <c r="L584" s="12">
        <v>0</v>
      </c>
      <c r="M584" s="9">
        <v>0</v>
      </c>
      <c r="N584" s="12">
        <v>202.53555555555556</v>
      </c>
      <c r="O584">
        <v>8</v>
      </c>
      <c r="Q584" s="15">
        <f t="shared" si="27"/>
        <v>0.1</v>
      </c>
      <c r="R584" s="9">
        <f t="shared" si="28"/>
        <v>9000</v>
      </c>
      <c r="S584" s="9">
        <f t="shared" si="29"/>
        <v>9000</v>
      </c>
    </row>
    <row r="585" spans="1:19" x14ac:dyDescent="0.25">
      <c r="A585" t="s">
        <v>1192</v>
      </c>
      <c r="B585">
        <v>30019</v>
      </c>
      <c r="C585" s="8">
        <v>45607</v>
      </c>
      <c r="D585" t="s">
        <v>1336</v>
      </c>
      <c r="E585" s="11">
        <v>6</v>
      </c>
      <c r="F585" t="s">
        <v>805</v>
      </c>
      <c r="G585" t="s">
        <v>1194</v>
      </c>
      <c r="H585" s="12">
        <v>105000</v>
      </c>
      <c r="I585" s="9">
        <v>0</v>
      </c>
      <c r="J585" s="15">
        <v>0.15</v>
      </c>
      <c r="K585" s="12">
        <v>6890</v>
      </c>
      <c r="L585" s="12">
        <v>5000</v>
      </c>
      <c r="M585" s="9">
        <v>0</v>
      </c>
      <c r="N585" s="12">
        <v>0</v>
      </c>
      <c r="O585">
        <v>0</v>
      </c>
      <c r="P585">
        <v>1</v>
      </c>
      <c r="Q585" s="15">
        <f t="shared" si="27"/>
        <v>0.21561904761904763</v>
      </c>
      <c r="R585" s="9">
        <f t="shared" si="28"/>
        <v>15750</v>
      </c>
      <c r="S585" s="9">
        <f t="shared" si="29"/>
        <v>22640</v>
      </c>
    </row>
    <row r="586" spans="1:19" x14ac:dyDescent="0.25">
      <c r="A586" t="s">
        <v>1192</v>
      </c>
      <c r="B586">
        <v>30019</v>
      </c>
      <c r="C586" s="8">
        <v>45573</v>
      </c>
      <c r="D586" t="s">
        <v>1230</v>
      </c>
      <c r="E586" s="11">
        <v>6</v>
      </c>
      <c r="F586" t="s">
        <v>805</v>
      </c>
      <c r="H586" s="12">
        <v>70000</v>
      </c>
      <c r="I586" s="9">
        <v>0</v>
      </c>
      <c r="J586" s="15">
        <v>0.15</v>
      </c>
      <c r="K586" s="12">
        <v>6890</v>
      </c>
      <c r="L586" s="12">
        <v>5000</v>
      </c>
      <c r="M586" s="9">
        <v>0</v>
      </c>
      <c r="N586" s="12">
        <v>0</v>
      </c>
      <c r="O586">
        <v>0</v>
      </c>
      <c r="P586">
        <v>1</v>
      </c>
      <c r="Q586" s="15">
        <f t="shared" si="27"/>
        <v>0.24842857142857142</v>
      </c>
      <c r="R586" s="9">
        <f t="shared" si="28"/>
        <v>10500</v>
      </c>
      <c r="S586" s="9">
        <f t="shared" si="29"/>
        <v>17390</v>
      </c>
    </row>
    <row r="587" spans="1:19" x14ac:dyDescent="0.25">
      <c r="A587" t="s">
        <v>29</v>
      </c>
      <c r="B587">
        <v>30012</v>
      </c>
      <c r="C587" s="8">
        <v>45629</v>
      </c>
      <c r="D587" t="s">
        <v>907</v>
      </c>
      <c r="E587" s="11">
        <v>6</v>
      </c>
      <c r="F587" t="s">
        <v>805</v>
      </c>
      <c r="H587" s="12">
        <v>87599</v>
      </c>
      <c r="I587" s="9">
        <v>87599</v>
      </c>
      <c r="J587" s="15">
        <v>0.15</v>
      </c>
      <c r="K587" s="12">
        <v>0</v>
      </c>
      <c r="L587" s="12">
        <v>0</v>
      </c>
      <c r="M587" s="9">
        <v>0</v>
      </c>
      <c r="N587" s="12">
        <v>1058.4879166666667</v>
      </c>
      <c r="O587">
        <v>29</v>
      </c>
      <c r="Q587" s="15">
        <f t="shared" si="27"/>
        <v>0.15</v>
      </c>
      <c r="R587" s="9">
        <f t="shared" si="28"/>
        <v>13139.85</v>
      </c>
      <c r="S587" s="9">
        <f t="shared" si="29"/>
        <v>13139.85</v>
      </c>
    </row>
    <row r="588" spans="1:19" x14ac:dyDescent="0.25">
      <c r="A588" t="s">
        <v>1192</v>
      </c>
      <c r="B588">
        <v>30019</v>
      </c>
      <c r="C588" s="8">
        <v>45595</v>
      </c>
      <c r="D588" t="s">
        <v>1308</v>
      </c>
      <c r="E588" s="11">
        <v>6</v>
      </c>
      <c r="F588" t="s">
        <v>805</v>
      </c>
      <c r="H588" s="12">
        <v>94000</v>
      </c>
      <c r="I588" s="9">
        <v>0</v>
      </c>
      <c r="J588" s="15">
        <v>0.15</v>
      </c>
      <c r="K588" s="12">
        <v>6890</v>
      </c>
      <c r="L588" s="12">
        <v>5000</v>
      </c>
      <c r="M588" s="9">
        <v>0</v>
      </c>
      <c r="N588" s="12">
        <v>0</v>
      </c>
      <c r="O588">
        <v>0</v>
      </c>
      <c r="P588">
        <v>1</v>
      </c>
      <c r="Q588" s="15">
        <f t="shared" si="27"/>
        <v>0.22329787234042553</v>
      </c>
      <c r="R588" s="9">
        <f t="shared" si="28"/>
        <v>14100</v>
      </c>
      <c r="S588" s="9">
        <f t="shared" si="29"/>
        <v>20990</v>
      </c>
    </row>
    <row r="589" spans="1:19" x14ac:dyDescent="0.25">
      <c r="A589" t="s">
        <v>1192</v>
      </c>
      <c r="B589">
        <v>30019</v>
      </c>
      <c r="C589" s="8">
        <v>45587</v>
      </c>
      <c r="D589" t="s">
        <v>1282</v>
      </c>
      <c r="E589" s="11">
        <v>6</v>
      </c>
      <c r="F589" t="s">
        <v>805</v>
      </c>
      <c r="G589" t="s">
        <v>1195</v>
      </c>
      <c r="H589" s="12">
        <v>53000</v>
      </c>
      <c r="I589" s="9">
        <v>0</v>
      </c>
      <c r="J589" s="15">
        <v>0.15</v>
      </c>
      <c r="K589" s="12">
        <v>6890</v>
      </c>
      <c r="L589" s="12">
        <v>5000</v>
      </c>
      <c r="M589" s="9">
        <v>0</v>
      </c>
      <c r="N589" s="12">
        <v>0</v>
      </c>
      <c r="O589">
        <v>0</v>
      </c>
      <c r="P589">
        <v>1</v>
      </c>
      <c r="Q589" s="15">
        <f t="shared" si="27"/>
        <v>0.28000000000000003</v>
      </c>
      <c r="R589" s="9">
        <f t="shared" si="28"/>
        <v>7950</v>
      </c>
      <c r="S589" s="9">
        <f t="shared" si="29"/>
        <v>14840.000000000002</v>
      </c>
    </row>
    <row r="590" spans="1:19" x14ac:dyDescent="0.25">
      <c r="A590" t="s">
        <v>29</v>
      </c>
      <c r="B590">
        <v>30012</v>
      </c>
      <c r="C590" s="8">
        <v>45575</v>
      </c>
      <c r="D590" t="s">
        <v>1076</v>
      </c>
      <c r="E590" s="11">
        <v>6</v>
      </c>
      <c r="F590" t="s">
        <v>822</v>
      </c>
      <c r="H590" s="12">
        <v>70000</v>
      </c>
      <c r="I590" s="9">
        <v>20255</v>
      </c>
      <c r="J590" s="15">
        <v>0.1</v>
      </c>
      <c r="K590" s="12">
        <v>0</v>
      </c>
      <c r="L590" s="12">
        <v>0</v>
      </c>
      <c r="M590" s="9">
        <v>0</v>
      </c>
      <c r="N590" s="12">
        <v>410.72638888888889</v>
      </c>
      <c r="O590">
        <v>73</v>
      </c>
      <c r="Q590" s="15">
        <f t="shared" si="27"/>
        <v>0.1</v>
      </c>
      <c r="R590" s="9">
        <f t="shared" si="28"/>
        <v>7000</v>
      </c>
      <c r="S590" s="9">
        <f t="shared" si="29"/>
        <v>7000</v>
      </c>
    </row>
    <row r="591" spans="1:19" x14ac:dyDescent="0.25">
      <c r="A591" t="s">
        <v>29</v>
      </c>
      <c r="B591">
        <v>30012</v>
      </c>
      <c r="C591" s="8">
        <v>45614</v>
      </c>
      <c r="D591" t="s">
        <v>955</v>
      </c>
      <c r="E591" s="11">
        <v>6</v>
      </c>
      <c r="F591" t="s">
        <v>822</v>
      </c>
      <c r="H591" s="12">
        <v>100000</v>
      </c>
      <c r="I591" s="9">
        <v>101628</v>
      </c>
      <c r="J591" s="15">
        <v>0.1</v>
      </c>
      <c r="K591" s="12">
        <v>0</v>
      </c>
      <c r="L591" s="12">
        <v>0</v>
      </c>
      <c r="M591" s="9">
        <v>0</v>
      </c>
      <c r="N591" s="12">
        <v>2032.5600000000002</v>
      </c>
      <c r="O591">
        <v>72</v>
      </c>
      <c r="Q591" s="15">
        <f t="shared" si="27"/>
        <v>0.1</v>
      </c>
      <c r="R591" s="9">
        <f t="shared" si="28"/>
        <v>10000</v>
      </c>
      <c r="S591" s="9">
        <f t="shared" si="29"/>
        <v>10000</v>
      </c>
    </row>
    <row r="592" spans="1:19" x14ac:dyDescent="0.25">
      <c r="A592" t="s">
        <v>1192</v>
      </c>
      <c r="B592">
        <v>30019</v>
      </c>
      <c r="C592" s="8">
        <v>45581</v>
      </c>
      <c r="D592" t="s">
        <v>748</v>
      </c>
      <c r="E592" s="11">
        <v>6</v>
      </c>
      <c r="F592" t="s">
        <v>805</v>
      </c>
      <c r="G592" t="s">
        <v>1194</v>
      </c>
      <c r="H592" s="12">
        <v>74000</v>
      </c>
      <c r="I592" s="9">
        <v>0</v>
      </c>
      <c r="J592" s="15">
        <v>0.15</v>
      </c>
      <c r="K592" s="12">
        <v>6890</v>
      </c>
      <c r="L592" s="12">
        <v>5000</v>
      </c>
      <c r="M592" s="9">
        <v>0</v>
      </c>
      <c r="N592" s="12">
        <v>0</v>
      </c>
      <c r="O592">
        <v>0</v>
      </c>
      <c r="P592">
        <v>1</v>
      </c>
      <c r="Q592" s="15">
        <f t="shared" si="27"/>
        <v>0.2431081081081081</v>
      </c>
      <c r="R592" s="9">
        <f t="shared" si="28"/>
        <v>11100</v>
      </c>
      <c r="S592" s="9">
        <f t="shared" si="29"/>
        <v>17990</v>
      </c>
    </row>
    <row r="593" spans="1:19" x14ac:dyDescent="0.25">
      <c r="A593" t="s">
        <v>1192</v>
      </c>
      <c r="B593">
        <v>30019</v>
      </c>
      <c r="C593" s="8">
        <v>45596</v>
      </c>
      <c r="D593" t="s">
        <v>1310</v>
      </c>
      <c r="E593" s="11">
        <v>6</v>
      </c>
      <c r="F593" t="s">
        <v>805</v>
      </c>
      <c r="H593" s="12">
        <v>90000</v>
      </c>
      <c r="I593" s="9">
        <v>0</v>
      </c>
      <c r="J593" s="15">
        <v>0.13500000000000001</v>
      </c>
      <c r="K593" s="12">
        <v>6890</v>
      </c>
      <c r="L593" s="12">
        <v>5000</v>
      </c>
      <c r="M593" s="9">
        <v>0</v>
      </c>
      <c r="N593" s="12">
        <v>0</v>
      </c>
      <c r="O593">
        <v>0</v>
      </c>
      <c r="P593">
        <v>1</v>
      </c>
      <c r="Q593" s="15">
        <f t="shared" si="27"/>
        <v>0.21155555555555555</v>
      </c>
      <c r="R593" s="9">
        <f t="shared" si="28"/>
        <v>12150</v>
      </c>
      <c r="S593" s="9">
        <f t="shared" si="29"/>
        <v>19040</v>
      </c>
    </row>
    <row r="594" spans="1:19" x14ac:dyDescent="0.25">
      <c r="A594" t="s">
        <v>1192</v>
      </c>
      <c r="B594">
        <v>30019</v>
      </c>
      <c r="C594" s="8">
        <v>45583</v>
      </c>
      <c r="D594" t="s">
        <v>1275</v>
      </c>
      <c r="E594" s="11">
        <v>6</v>
      </c>
      <c r="F594" t="s">
        <v>805</v>
      </c>
      <c r="G594" t="s">
        <v>1198</v>
      </c>
      <c r="H594" s="12">
        <v>81000</v>
      </c>
      <c r="I594" s="9">
        <v>0</v>
      </c>
      <c r="J594" s="15">
        <v>0.12</v>
      </c>
      <c r="K594" s="12">
        <v>6890</v>
      </c>
      <c r="L594" s="12">
        <v>5000</v>
      </c>
      <c r="M594" s="9">
        <v>0</v>
      </c>
      <c r="N594" s="12">
        <v>0</v>
      </c>
      <c r="O594">
        <v>0</v>
      </c>
      <c r="P594">
        <v>1</v>
      </c>
      <c r="Q594" s="15">
        <f t="shared" si="27"/>
        <v>0.20506172839506173</v>
      </c>
      <c r="R594" s="9">
        <f t="shared" si="28"/>
        <v>9720</v>
      </c>
      <c r="S594" s="9">
        <f t="shared" si="29"/>
        <v>16610</v>
      </c>
    </row>
    <row r="595" spans="1:19" x14ac:dyDescent="0.25">
      <c r="A595" t="s">
        <v>29</v>
      </c>
      <c r="B595">
        <v>30012</v>
      </c>
      <c r="C595" s="8">
        <v>45629</v>
      </c>
      <c r="D595" t="s">
        <v>914</v>
      </c>
      <c r="E595" s="11">
        <v>6</v>
      </c>
      <c r="F595" t="s">
        <v>805</v>
      </c>
      <c r="H595" s="12">
        <v>110380</v>
      </c>
      <c r="I595" s="9">
        <v>110380</v>
      </c>
      <c r="J595" s="15">
        <v>0.15</v>
      </c>
      <c r="K595" s="12">
        <v>0</v>
      </c>
      <c r="L595" s="12">
        <v>0</v>
      </c>
      <c r="M595" s="9">
        <v>0</v>
      </c>
      <c r="N595" s="12">
        <v>1333.7583333333334</v>
      </c>
      <c r="O595">
        <v>29</v>
      </c>
      <c r="Q595" s="15">
        <f t="shared" si="27"/>
        <v>0.15</v>
      </c>
      <c r="R595" s="9">
        <f t="shared" si="28"/>
        <v>16557</v>
      </c>
      <c r="S595" s="9">
        <f t="shared" si="29"/>
        <v>16557</v>
      </c>
    </row>
    <row r="596" spans="1:19" x14ac:dyDescent="0.25">
      <c r="A596" t="s">
        <v>1192</v>
      </c>
      <c r="B596">
        <v>30019</v>
      </c>
      <c r="C596" s="8">
        <v>45594</v>
      </c>
      <c r="D596" t="s">
        <v>1305</v>
      </c>
      <c r="E596" s="11">
        <v>6</v>
      </c>
      <c r="F596" t="s">
        <v>805</v>
      </c>
      <c r="G596" t="s">
        <v>1194</v>
      </c>
      <c r="H596" s="12">
        <v>132000</v>
      </c>
      <c r="I596" s="9">
        <v>0</v>
      </c>
      <c r="J596" s="15">
        <v>0.105</v>
      </c>
      <c r="K596" s="12">
        <v>6890</v>
      </c>
      <c r="L596" s="12">
        <v>5000</v>
      </c>
      <c r="M596" s="9">
        <v>0</v>
      </c>
      <c r="N596" s="12">
        <v>0</v>
      </c>
      <c r="O596">
        <v>0</v>
      </c>
      <c r="P596">
        <v>1</v>
      </c>
      <c r="Q596" s="15">
        <f t="shared" si="27"/>
        <v>0.1571969696969697</v>
      </c>
      <c r="R596" s="9">
        <f t="shared" si="28"/>
        <v>13860</v>
      </c>
      <c r="S596" s="9">
        <f t="shared" si="29"/>
        <v>20750</v>
      </c>
    </row>
    <row r="597" spans="1:19" x14ac:dyDescent="0.25">
      <c r="A597" t="s">
        <v>29</v>
      </c>
      <c r="B597">
        <v>30012</v>
      </c>
      <c r="C597" s="8">
        <v>45602</v>
      </c>
      <c r="D597" t="s">
        <v>986</v>
      </c>
      <c r="E597" s="11">
        <v>6</v>
      </c>
      <c r="F597" t="s">
        <v>805</v>
      </c>
      <c r="H597" s="12">
        <v>175000</v>
      </c>
      <c r="I597" s="9">
        <v>178203</v>
      </c>
      <c r="J597" s="15">
        <v>0.1</v>
      </c>
      <c r="K597" s="12">
        <v>0</v>
      </c>
      <c r="L597" s="12">
        <v>0</v>
      </c>
      <c r="M597" s="9">
        <v>0</v>
      </c>
      <c r="N597" s="12">
        <v>4059.0683333333332</v>
      </c>
      <c r="O597">
        <v>82</v>
      </c>
      <c r="Q597" s="15">
        <f t="shared" si="27"/>
        <v>0.1</v>
      </c>
      <c r="R597" s="9">
        <f t="shared" si="28"/>
        <v>17500</v>
      </c>
      <c r="S597" s="9">
        <f t="shared" si="29"/>
        <v>17500</v>
      </c>
    </row>
    <row r="598" spans="1:19" x14ac:dyDescent="0.25">
      <c r="A598" t="s">
        <v>1192</v>
      </c>
      <c r="B598">
        <v>30019</v>
      </c>
      <c r="C598" s="8">
        <v>45657</v>
      </c>
      <c r="D598" t="s">
        <v>1477</v>
      </c>
      <c r="E598" s="11">
        <v>6</v>
      </c>
      <c r="F598" t="s">
        <v>805</v>
      </c>
      <c r="G598" t="s">
        <v>1195</v>
      </c>
      <c r="H598" s="12">
        <v>50000</v>
      </c>
      <c r="I598" s="9">
        <v>0</v>
      </c>
      <c r="J598" s="15">
        <v>0.15</v>
      </c>
      <c r="K598" s="12">
        <v>6890</v>
      </c>
      <c r="L598" s="12">
        <v>5000</v>
      </c>
      <c r="M598" s="9">
        <v>0</v>
      </c>
      <c r="N598" s="12">
        <v>0</v>
      </c>
      <c r="O598">
        <v>0</v>
      </c>
      <c r="P598">
        <v>1</v>
      </c>
      <c r="Q598" s="15">
        <f t="shared" si="27"/>
        <v>0.2878</v>
      </c>
      <c r="R598" s="9">
        <f t="shared" si="28"/>
        <v>7500</v>
      </c>
      <c r="S598" s="9">
        <f t="shared" si="29"/>
        <v>14390</v>
      </c>
    </row>
    <row r="599" spans="1:19" x14ac:dyDescent="0.25">
      <c r="A599" t="s">
        <v>1192</v>
      </c>
      <c r="B599">
        <v>30019</v>
      </c>
      <c r="C599" s="8">
        <v>45615</v>
      </c>
      <c r="D599" t="s">
        <v>1361</v>
      </c>
      <c r="E599" s="11">
        <v>6</v>
      </c>
      <c r="F599" t="s">
        <v>805</v>
      </c>
      <c r="G599" t="s">
        <v>1194</v>
      </c>
      <c r="H599" s="12">
        <v>70000</v>
      </c>
      <c r="I599" s="9">
        <v>0</v>
      </c>
      <c r="J599" s="15">
        <v>0.15</v>
      </c>
      <c r="K599" s="12">
        <v>6890</v>
      </c>
      <c r="L599" s="12">
        <v>5000</v>
      </c>
      <c r="M599" s="9">
        <v>0</v>
      </c>
      <c r="N599" s="12">
        <v>0</v>
      </c>
      <c r="O599">
        <v>0</v>
      </c>
      <c r="P599">
        <v>1</v>
      </c>
      <c r="Q599" s="15">
        <f t="shared" si="27"/>
        <v>0.24842857142857142</v>
      </c>
      <c r="R599" s="9">
        <f t="shared" si="28"/>
        <v>10500</v>
      </c>
      <c r="S599" s="9">
        <f t="shared" si="29"/>
        <v>17390</v>
      </c>
    </row>
    <row r="600" spans="1:19" x14ac:dyDescent="0.25">
      <c r="A600" t="s">
        <v>29</v>
      </c>
      <c r="B600">
        <v>30012</v>
      </c>
      <c r="C600" s="8">
        <v>45580</v>
      </c>
      <c r="D600" t="s">
        <v>1065</v>
      </c>
      <c r="E600" s="11">
        <v>6</v>
      </c>
      <c r="F600" t="s">
        <v>805</v>
      </c>
      <c r="H600" s="12">
        <v>760000</v>
      </c>
      <c r="I600" s="9">
        <v>210536</v>
      </c>
      <c r="J600" s="15">
        <v>0.1</v>
      </c>
      <c r="K600" s="12">
        <v>0</v>
      </c>
      <c r="L600" s="12">
        <v>0</v>
      </c>
      <c r="M600" s="9">
        <v>0</v>
      </c>
      <c r="N600" s="12">
        <v>4035.2733333333335</v>
      </c>
      <c r="O600">
        <v>69</v>
      </c>
      <c r="Q600" s="15">
        <f t="shared" si="27"/>
        <v>0.1</v>
      </c>
      <c r="R600" s="9">
        <f t="shared" si="28"/>
        <v>76000</v>
      </c>
      <c r="S600" s="9">
        <f t="shared" si="29"/>
        <v>76000</v>
      </c>
    </row>
    <row r="601" spans="1:19" x14ac:dyDescent="0.25">
      <c r="A601" t="s">
        <v>29</v>
      </c>
      <c r="B601">
        <v>30012</v>
      </c>
      <c r="C601" s="8">
        <v>45569</v>
      </c>
      <c r="D601" t="s">
        <v>1085</v>
      </c>
      <c r="E601" s="11">
        <v>6</v>
      </c>
      <c r="F601" t="s">
        <v>805</v>
      </c>
      <c r="H601" s="12">
        <v>98000</v>
      </c>
      <c r="I601" s="9">
        <v>95755</v>
      </c>
      <c r="J601" s="15">
        <v>0.1</v>
      </c>
      <c r="K601" s="12">
        <v>0</v>
      </c>
      <c r="L601" s="12">
        <v>0</v>
      </c>
      <c r="M601" s="9">
        <v>0</v>
      </c>
      <c r="N601" s="12">
        <v>2314.0791666666669</v>
      </c>
      <c r="O601">
        <v>87</v>
      </c>
      <c r="Q601" s="15">
        <f t="shared" si="27"/>
        <v>0.1</v>
      </c>
      <c r="R601" s="9">
        <f t="shared" si="28"/>
        <v>9800</v>
      </c>
      <c r="S601" s="9">
        <f t="shared" si="29"/>
        <v>9800</v>
      </c>
    </row>
    <row r="602" spans="1:19" x14ac:dyDescent="0.25">
      <c r="A602" t="s">
        <v>1192</v>
      </c>
      <c r="B602">
        <v>30019</v>
      </c>
      <c r="C602" s="8">
        <v>45569</v>
      </c>
      <c r="D602" t="s">
        <v>1213</v>
      </c>
      <c r="E602" s="11">
        <v>6</v>
      </c>
      <c r="F602" t="s">
        <v>805</v>
      </c>
      <c r="G602" t="s">
        <v>1198</v>
      </c>
      <c r="H602" s="12">
        <v>75000</v>
      </c>
      <c r="I602" s="9">
        <v>0</v>
      </c>
      <c r="J602" s="15">
        <v>0.15</v>
      </c>
      <c r="K602" s="12">
        <v>6890</v>
      </c>
      <c r="L602" s="12">
        <v>5000</v>
      </c>
      <c r="M602" s="9">
        <v>0</v>
      </c>
      <c r="N602" s="12">
        <v>0</v>
      </c>
      <c r="O602">
        <v>0</v>
      </c>
      <c r="P602">
        <v>1</v>
      </c>
      <c r="Q602" s="15">
        <f t="shared" si="27"/>
        <v>0.24186666666666667</v>
      </c>
      <c r="R602" s="9">
        <f t="shared" si="28"/>
        <v>11250</v>
      </c>
      <c r="S602" s="9">
        <f t="shared" si="29"/>
        <v>18140</v>
      </c>
    </row>
    <row r="603" spans="1:19" x14ac:dyDescent="0.25">
      <c r="A603" t="s">
        <v>1192</v>
      </c>
      <c r="B603">
        <v>30019</v>
      </c>
      <c r="C603" s="8">
        <v>45573</v>
      </c>
      <c r="D603" t="s">
        <v>732</v>
      </c>
      <c r="E603" s="11">
        <v>6</v>
      </c>
      <c r="F603" t="s">
        <v>805</v>
      </c>
      <c r="G603" t="s">
        <v>1194</v>
      </c>
      <c r="H603" s="12">
        <v>80000</v>
      </c>
      <c r="I603" s="9">
        <v>0</v>
      </c>
      <c r="J603" s="15">
        <v>0.15</v>
      </c>
      <c r="K603" s="12">
        <v>6890</v>
      </c>
      <c r="L603" s="12">
        <v>5000</v>
      </c>
      <c r="M603" s="9">
        <v>0</v>
      </c>
      <c r="N603" s="12">
        <v>0</v>
      </c>
      <c r="O603">
        <v>0</v>
      </c>
      <c r="P603">
        <v>1</v>
      </c>
      <c r="Q603" s="15">
        <f t="shared" si="27"/>
        <v>0.236125</v>
      </c>
      <c r="R603" s="9">
        <f t="shared" si="28"/>
        <v>12000</v>
      </c>
      <c r="S603" s="9">
        <f t="shared" si="29"/>
        <v>18890</v>
      </c>
    </row>
    <row r="604" spans="1:19" x14ac:dyDescent="0.25">
      <c r="A604" t="s">
        <v>29</v>
      </c>
      <c r="B604">
        <v>30012</v>
      </c>
      <c r="C604" s="8">
        <v>45643</v>
      </c>
      <c r="D604" t="s">
        <v>866</v>
      </c>
      <c r="E604" s="11">
        <v>6</v>
      </c>
      <c r="F604" t="s">
        <v>805</v>
      </c>
      <c r="H604" s="12">
        <v>200000</v>
      </c>
      <c r="I604" s="9">
        <v>75983</v>
      </c>
      <c r="J604" s="15">
        <v>0.1</v>
      </c>
      <c r="K604" s="12">
        <v>0</v>
      </c>
      <c r="L604" s="12">
        <v>0</v>
      </c>
      <c r="M604" s="9">
        <v>0</v>
      </c>
      <c r="N604" s="12">
        <v>1435.2344444444445</v>
      </c>
      <c r="O604">
        <v>68</v>
      </c>
      <c r="Q604" s="15">
        <f t="shared" si="27"/>
        <v>0.1</v>
      </c>
      <c r="R604" s="9">
        <f t="shared" si="28"/>
        <v>20000</v>
      </c>
      <c r="S604" s="9">
        <f t="shared" si="29"/>
        <v>20000</v>
      </c>
    </row>
    <row r="605" spans="1:19" x14ac:dyDescent="0.25">
      <c r="A605" t="s">
        <v>1192</v>
      </c>
      <c r="B605">
        <v>30019</v>
      </c>
      <c r="C605" s="8">
        <v>45630</v>
      </c>
      <c r="D605" t="s">
        <v>1402</v>
      </c>
      <c r="E605" s="11">
        <v>6</v>
      </c>
      <c r="F605" t="s">
        <v>805</v>
      </c>
      <c r="G605" t="s">
        <v>1195</v>
      </c>
      <c r="H605" s="12">
        <v>52000</v>
      </c>
      <c r="I605" s="9">
        <v>0</v>
      </c>
      <c r="J605" s="15">
        <v>0.15</v>
      </c>
      <c r="K605" s="12">
        <v>6890</v>
      </c>
      <c r="L605" s="12">
        <v>5000</v>
      </c>
      <c r="M605" s="9">
        <v>0</v>
      </c>
      <c r="N605" s="12">
        <v>0</v>
      </c>
      <c r="O605">
        <v>0</v>
      </c>
      <c r="P605">
        <v>1</v>
      </c>
      <c r="Q605" s="15">
        <f t="shared" si="27"/>
        <v>0.28249999999999997</v>
      </c>
      <c r="R605" s="9">
        <f t="shared" si="28"/>
        <v>7800</v>
      </c>
      <c r="S605" s="9">
        <f t="shared" si="29"/>
        <v>14689.999999999998</v>
      </c>
    </row>
    <row r="606" spans="1:19" x14ac:dyDescent="0.25">
      <c r="A606" t="s">
        <v>29</v>
      </c>
      <c r="B606">
        <v>30012</v>
      </c>
      <c r="C606" s="8">
        <v>45646</v>
      </c>
      <c r="D606" t="s">
        <v>859</v>
      </c>
      <c r="E606" s="11">
        <v>6</v>
      </c>
      <c r="F606" t="s">
        <v>819</v>
      </c>
      <c r="H606" s="12">
        <v>115000</v>
      </c>
      <c r="I606" s="9">
        <v>437690</v>
      </c>
      <c r="J606" s="15">
        <v>0.1</v>
      </c>
      <c r="K606" s="12">
        <v>0</v>
      </c>
      <c r="L606" s="12">
        <v>0</v>
      </c>
      <c r="M606" s="9">
        <v>0</v>
      </c>
      <c r="N606" s="12">
        <v>121.58055555555555</v>
      </c>
      <c r="O606">
        <v>1</v>
      </c>
      <c r="Q606" s="15">
        <f t="shared" si="27"/>
        <v>0.1</v>
      </c>
      <c r="R606" s="9">
        <f t="shared" si="28"/>
        <v>11500</v>
      </c>
      <c r="S606" s="9">
        <f t="shared" si="29"/>
        <v>11500</v>
      </c>
    </row>
    <row r="607" spans="1:19" x14ac:dyDescent="0.25">
      <c r="A607" t="s">
        <v>1192</v>
      </c>
      <c r="B607">
        <v>30019</v>
      </c>
      <c r="C607" s="8">
        <v>45607</v>
      </c>
      <c r="D607" t="s">
        <v>1339</v>
      </c>
      <c r="E607" s="11">
        <v>6</v>
      </c>
      <c r="F607" t="s">
        <v>819</v>
      </c>
      <c r="H607" s="12">
        <v>69000</v>
      </c>
      <c r="I607" s="9">
        <v>0</v>
      </c>
      <c r="J607" s="15">
        <v>0.15</v>
      </c>
      <c r="K607" s="12">
        <v>6890</v>
      </c>
      <c r="L607" s="12">
        <v>5000</v>
      </c>
      <c r="M607" s="9">
        <v>0</v>
      </c>
      <c r="N607" s="12">
        <v>0</v>
      </c>
      <c r="O607">
        <v>0</v>
      </c>
      <c r="P607">
        <v>1</v>
      </c>
      <c r="Q607" s="15">
        <f t="shared" si="27"/>
        <v>0.24985507246376812</v>
      </c>
      <c r="R607" s="9">
        <f t="shared" si="28"/>
        <v>10350</v>
      </c>
      <c r="S607" s="9">
        <f t="shared" si="29"/>
        <v>17240</v>
      </c>
    </row>
    <row r="608" spans="1:19" x14ac:dyDescent="0.25">
      <c r="A608" t="s">
        <v>29</v>
      </c>
      <c r="B608">
        <v>30012</v>
      </c>
      <c r="C608" s="8">
        <v>45646</v>
      </c>
      <c r="D608" t="s">
        <v>857</v>
      </c>
      <c r="E608" s="11">
        <v>6</v>
      </c>
      <c r="F608" t="s">
        <v>819</v>
      </c>
      <c r="H608" s="12">
        <v>50000</v>
      </c>
      <c r="I608" s="9">
        <v>1840</v>
      </c>
      <c r="J608" s="15">
        <v>0.1</v>
      </c>
      <c r="K608" s="12">
        <v>0</v>
      </c>
      <c r="L608" s="12">
        <v>0</v>
      </c>
      <c r="M608" s="9">
        <v>0</v>
      </c>
      <c r="N608" s="12">
        <v>20.444444444444443</v>
      </c>
      <c r="O608">
        <v>40</v>
      </c>
      <c r="Q608" s="15">
        <f t="shared" si="27"/>
        <v>0.1</v>
      </c>
      <c r="R608" s="9">
        <f t="shared" si="28"/>
        <v>5000</v>
      </c>
      <c r="S608" s="9">
        <f t="shared" si="29"/>
        <v>5000</v>
      </c>
    </row>
    <row r="609" spans="1:19" x14ac:dyDescent="0.25">
      <c r="A609" t="s">
        <v>1192</v>
      </c>
      <c r="B609">
        <v>30019</v>
      </c>
      <c r="C609" s="8">
        <v>45616</v>
      </c>
      <c r="D609" t="s">
        <v>1364</v>
      </c>
      <c r="E609" s="11">
        <v>6</v>
      </c>
      <c r="F609" t="s">
        <v>805</v>
      </c>
      <c r="G609" t="s">
        <v>1195</v>
      </c>
      <c r="H609" s="12">
        <v>105000</v>
      </c>
      <c r="I609" s="9">
        <v>0</v>
      </c>
      <c r="J609" s="15">
        <v>0.105</v>
      </c>
      <c r="K609" s="12">
        <v>6890</v>
      </c>
      <c r="L609" s="12">
        <v>5000</v>
      </c>
      <c r="M609" s="9">
        <v>0</v>
      </c>
      <c r="N609" s="12">
        <v>0</v>
      </c>
      <c r="O609">
        <v>0</v>
      </c>
      <c r="P609">
        <v>1</v>
      </c>
      <c r="Q609" s="15">
        <f t="shared" si="27"/>
        <v>0.17061904761904761</v>
      </c>
      <c r="R609" s="9">
        <f t="shared" si="28"/>
        <v>11025</v>
      </c>
      <c r="S609" s="9">
        <f t="shared" si="29"/>
        <v>17915</v>
      </c>
    </row>
    <row r="610" spans="1:19" x14ac:dyDescent="0.25">
      <c r="A610" t="s">
        <v>29</v>
      </c>
      <c r="B610">
        <v>30012</v>
      </c>
      <c r="C610" s="8">
        <v>45656</v>
      </c>
      <c r="D610" t="s">
        <v>832</v>
      </c>
      <c r="E610" s="11">
        <v>6</v>
      </c>
      <c r="F610" t="s">
        <v>805</v>
      </c>
      <c r="H610" s="12">
        <v>250000</v>
      </c>
      <c r="I610" s="9">
        <v>250759</v>
      </c>
      <c r="J610" s="15">
        <v>0.1</v>
      </c>
      <c r="K610" s="12">
        <v>0</v>
      </c>
      <c r="L610" s="12">
        <v>0</v>
      </c>
      <c r="M610" s="9">
        <v>0</v>
      </c>
      <c r="N610" s="12">
        <v>5224.145833333333</v>
      </c>
      <c r="O610">
        <v>75</v>
      </c>
      <c r="Q610" s="15">
        <f t="shared" si="27"/>
        <v>0.1</v>
      </c>
      <c r="R610" s="9">
        <f t="shared" si="28"/>
        <v>25000</v>
      </c>
      <c r="S610" s="9">
        <f t="shared" si="29"/>
        <v>25000</v>
      </c>
    </row>
    <row r="611" spans="1:19" x14ac:dyDescent="0.25">
      <c r="A611" t="s">
        <v>29</v>
      </c>
      <c r="B611">
        <v>30012</v>
      </c>
      <c r="C611" s="8">
        <v>45602</v>
      </c>
      <c r="D611" t="s">
        <v>983</v>
      </c>
      <c r="E611" s="11">
        <v>6</v>
      </c>
      <c r="F611" t="s">
        <v>819</v>
      </c>
      <c r="H611" s="12">
        <v>81073</v>
      </c>
      <c r="I611" s="9">
        <v>81073</v>
      </c>
      <c r="J611" s="15">
        <v>0.15</v>
      </c>
      <c r="K611" s="12">
        <v>0</v>
      </c>
      <c r="L611" s="12">
        <v>0</v>
      </c>
      <c r="M611" s="9">
        <v>0</v>
      </c>
      <c r="N611" s="12">
        <v>1891.7033333333331</v>
      </c>
      <c r="O611">
        <v>56</v>
      </c>
      <c r="Q611" s="15">
        <f t="shared" si="27"/>
        <v>0.15</v>
      </c>
      <c r="R611" s="9">
        <f t="shared" si="28"/>
        <v>12160.949999999999</v>
      </c>
      <c r="S611" s="9">
        <f t="shared" si="29"/>
        <v>12160.949999999999</v>
      </c>
    </row>
    <row r="612" spans="1:19" x14ac:dyDescent="0.25">
      <c r="A612" t="s">
        <v>29</v>
      </c>
      <c r="B612">
        <v>30012</v>
      </c>
      <c r="C612" s="8">
        <v>45610</v>
      </c>
      <c r="D612" t="s">
        <v>969</v>
      </c>
      <c r="E612" s="11">
        <v>6</v>
      </c>
      <c r="F612" t="s">
        <v>805</v>
      </c>
      <c r="H612" s="12">
        <v>262000</v>
      </c>
      <c r="I612" s="9">
        <v>937562</v>
      </c>
      <c r="J612" s="15">
        <v>0.1</v>
      </c>
      <c r="K612" s="12">
        <v>0</v>
      </c>
      <c r="L612" s="12">
        <v>0</v>
      </c>
      <c r="M612" s="9">
        <v>0</v>
      </c>
      <c r="N612" s="12">
        <v>21616.012777777778</v>
      </c>
      <c r="O612">
        <v>83</v>
      </c>
      <c r="Q612" s="15">
        <f t="shared" si="27"/>
        <v>0.1</v>
      </c>
      <c r="R612" s="9">
        <f t="shared" si="28"/>
        <v>26200</v>
      </c>
      <c r="S612" s="9">
        <f t="shared" si="29"/>
        <v>26200</v>
      </c>
    </row>
    <row r="613" spans="1:19" x14ac:dyDescent="0.25">
      <c r="A613" t="s">
        <v>29</v>
      </c>
      <c r="B613">
        <v>30012</v>
      </c>
      <c r="C613" s="8">
        <v>45602</v>
      </c>
      <c r="D613" t="s">
        <v>987</v>
      </c>
      <c r="E613" s="11">
        <v>6</v>
      </c>
      <c r="F613" t="s">
        <v>805</v>
      </c>
      <c r="H613" s="12">
        <v>276500</v>
      </c>
      <c r="I613" s="9">
        <v>1625</v>
      </c>
      <c r="J613" s="15">
        <v>0.1</v>
      </c>
      <c r="K613" s="12">
        <v>0</v>
      </c>
      <c r="L613" s="12">
        <v>0</v>
      </c>
      <c r="M613" s="9">
        <v>0</v>
      </c>
      <c r="N613" s="12">
        <v>21.215277777777779</v>
      </c>
      <c r="O613">
        <v>47</v>
      </c>
      <c r="Q613" s="15">
        <f t="shared" si="27"/>
        <v>0.1</v>
      </c>
      <c r="R613" s="9">
        <f t="shared" si="28"/>
        <v>27650</v>
      </c>
      <c r="S613" s="9">
        <f t="shared" si="29"/>
        <v>27650</v>
      </c>
    </row>
    <row r="614" spans="1:19" x14ac:dyDescent="0.25">
      <c r="A614" t="s">
        <v>29</v>
      </c>
      <c r="B614">
        <v>30012</v>
      </c>
      <c r="C614" s="8">
        <v>45649</v>
      </c>
      <c r="D614" t="s">
        <v>851</v>
      </c>
      <c r="E614" s="11">
        <v>6</v>
      </c>
      <c r="F614" t="s">
        <v>819</v>
      </c>
      <c r="H614" s="12">
        <v>85000</v>
      </c>
      <c r="I614" s="9">
        <v>86718</v>
      </c>
      <c r="J614" s="15">
        <v>0.1</v>
      </c>
      <c r="K614" s="12">
        <v>0</v>
      </c>
      <c r="L614" s="12">
        <v>0</v>
      </c>
      <c r="M614" s="9">
        <v>0</v>
      </c>
      <c r="N614" s="12">
        <v>2192.0383333333334</v>
      </c>
      <c r="O614">
        <v>91</v>
      </c>
      <c r="Q614" s="15">
        <f t="shared" si="27"/>
        <v>0.1</v>
      </c>
      <c r="R614" s="9">
        <f t="shared" si="28"/>
        <v>8500</v>
      </c>
      <c r="S614" s="9">
        <f t="shared" si="29"/>
        <v>8500</v>
      </c>
    </row>
    <row r="615" spans="1:19" x14ac:dyDescent="0.25">
      <c r="A615" t="s">
        <v>29</v>
      </c>
      <c r="B615">
        <v>30012</v>
      </c>
      <c r="C615" s="8">
        <v>45638</v>
      </c>
      <c r="D615" t="s">
        <v>880</v>
      </c>
      <c r="E615" s="11">
        <v>6</v>
      </c>
      <c r="F615" t="s">
        <v>819</v>
      </c>
      <c r="H615" s="12">
        <v>70000</v>
      </c>
      <c r="I615" s="9">
        <v>0</v>
      </c>
      <c r="J615" s="15">
        <v>0.1</v>
      </c>
      <c r="K615" s="12">
        <v>0</v>
      </c>
      <c r="L615" s="12">
        <v>0</v>
      </c>
      <c r="M615" s="9">
        <v>0</v>
      </c>
      <c r="N615" s="12">
        <v>18.167777777777779</v>
      </c>
      <c r="O615">
        <v>83</v>
      </c>
      <c r="Q615" s="15">
        <f t="shared" si="27"/>
        <v>0.1</v>
      </c>
      <c r="R615" s="9">
        <f t="shared" si="28"/>
        <v>7000</v>
      </c>
      <c r="S615" s="9">
        <f t="shared" si="29"/>
        <v>7000</v>
      </c>
    </row>
    <row r="616" spans="1:19" x14ac:dyDescent="0.25">
      <c r="A616" t="s">
        <v>29</v>
      </c>
      <c r="B616">
        <v>30012</v>
      </c>
      <c r="C616" s="8">
        <v>45614</v>
      </c>
      <c r="D616" t="s">
        <v>956</v>
      </c>
      <c r="E616" s="11">
        <v>6</v>
      </c>
      <c r="F616" t="s">
        <v>819</v>
      </c>
      <c r="H616" s="12">
        <v>203000</v>
      </c>
      <c r="I616" s="9">
        <v>26036</v>
      </c>
      <c r="J616" s="15">
        <v>0.1</v>
      </c>
      <c r="K616" s="12">
        <v>0</v>
      </c>
      <c r="L616" s="12">
        <v>0</v>
      </c>
      <c r="M616" s="9">
        <v>0</v>
      </c>
      <c r="N616" s="12">
        <v>325.45000000000005</v>
      </c>
      <c r="O616">
        <v>45</v>
      </c>
      <c r="Q616" s="15">
        <f t="shared" si="27"/>
        <v>0.1</v>
      </c>
      <c r="R616" s="9">
        <f t="shared" si="28"/>
        <v>20300</v>
      </c>
      <c r="S616" s="9">
        <f t="shared" si="29"/>
        <v>20300</v>
      </c>
    </row>
    <row r="617" spans="1:19" x14ac:dyDescent="0.25">
      <c r="A617" t="s">
        <v>1192</v>
      </c>
      <c r="B617">
        <v>30019</v>
      </c>
      <c r="C617" s="8">
        <v>45576</v>
      </c>
      <c r="D617" t="s">
        <v>1250</v>
      </c>
      <c r="E617" s="11">
        <v>6</v>
      </c>
      <c r="F617" t="s">
        <v>805</v>
      </c>
      <c r="G617" t="s">
        <v>1194</v>
      </c>
      <c r="H617" s="12">
        <v>90000</v>
      </c>
      <c r="I617" s="9">
        <v>0</v>
      </c>
      <c r="J617" s="15">
        <v>0.105</v>
      </c>
      <c r="K617" s="12">
        <v>6890</v>
      </c>
      <c r="L617" s="12">
        <v>5000</v>
      </c>
      <c r="M617" s="9">
        <v>0</v>
      </c>
      <c r="N617" s="12">
        <v>0</v>
      </c>
      <c r="O617">
        <v>0</v>
      </c>
      <c r="P617">
        <v>1</v>
      </c>
      <c r="Q617" s="15">
        <f t="shared" si="27"/>
        <v>0.18155555555555555</v>
      </c>
      <c r="R617" s="9">
        <f t="shared" si="28"/>
        <v>9450</v>
      </c>
      <c r="S617" s="9">
        <f t="shared" si="29"/>
        <v>16340</v>
      </c>
    </row>
    <row r="618" spans="1:19" x14ac:dyDescent="0.25">
      <c r="A618" t="s">
        <v>29</v>
      </c>
      <c r="B618">
        <v>30012</v>
      </c>
      <c r="C618" s="8">
        <v>45566</v>
      </c>
      <c r="D618" t="s">
        <v>1115</v>
      </c>
      <c r="E618" s="11">
        <v>6</v>
      </c>
      <c r="F618" t="s">
        <v>819</v>
      </c>
      <c r="H618" s="12">
        <v>103319</v>
      </c>
      <c r="I618" s="9">
        <v>103319</v>
      </c>
      <c r="J618" s="15">
        <v>0.15</v>
      </c>
      <c r="K618" s="12">
        <v>0</v>
      </c>
      <c r="L618" s="12">
        <v>0</v>
      </c>
      <c r="M618" s="9">
        <v>0</v>
      </c>
      <c r="N618" s="12">
        <v>3960.5616666666665</v>
      </c>
      <c r="O618">
        <v>92</v>
      </c>
      <c r="Q618" s="15">
        <f t="shared" si="27"/>
        <v>0.15</v>
      </c>
      <c r="R618" s="9">
        <f t="shared" si="28"/>
        <v>15497.849999999999</v>
      </c>
      <c r="S618" s="9">
        <f t="shared" si="29"/>
        <v>15497.849999999999</v>
      </c>
    </row>
    <row r="619" spans="1:19" x14ac:dyDescent="0.25">
      <c r="A619" t="s">
        <v>1192</v>
      </c>
      <c r="B619">
        <v>30019</v>
      </c>
      <c r="C619" s="8">
        <v>45576</v>
      </c>
      <c r="D619" t="s">
        <v>1249</v>
      </c>
      <c r="E619" s="11">
        <v>6</v>
      </c>
      <c r="F619" t="s">
        <v>805</v>
      </c>
      <c r="G619" t="s">
        <v>1195</v>
      </c>
      <c r="H619" s="12">
        <v>100000</v>
      </c>
      <c r="I619" s="9">
        <v>0</v>
      </c>
      <c r="J619" s="15">
        <v>0.09</v>
      </c>
      <c r="K619" s="12">
        <v>6890</v>
      </c>
      <c r="L619" s="12">
        <v>5000</v>
      </c>
      <c r="M619" s="9">
        <v>0</v>
      </c>
      <c r="N619" s="12">
        <v>0</v>
      </c>
      <c r="O619">
        <v>0</v>
      </c>
      <c r="P619">
        <v>1</v>
      </c>
      <c r="Q619" s="15">
        <f t="shared" si="27"/>
        <v>0.15890000000000001</v>
      </c>
      <c r="R619" s="9">
        <f t="shared" si="28"/>
        <v>9000</v>
      </c>
      <c r="S619" s="9">
        <f t="shared" si="29"/>
        <v>15890.000000000002</v>
      </c>
    </row>
    <row r="620" spans="1:19" x14ac:dyDescent="0.25">
      <c r="A620" t="s">
        <v>29</v>
      </c>
      <c r="B620">
        <v>30012</v>
      </c>
      <c r="C620" s="8">
        <v>45652</v>
      </c>
      <c r="D620" t="s">
        <v>842</v>
      </c>
      <c r="E620" s="11">
        <v>6</v>
      </c>
      <c r="F620" t="s">
        <v>819</v>
      </c>
      <c r="H620" s="12">
        <v>200000</v>
      </c>
      <c r="I620" s="9">
        <v>991191</v>
      </c>
      <c r="J620" s="15">
        <v>0.1</v>
      </c>
      <c r="K620" s="12">
        <v>0</v>
      </c>
      <c r="L620" s="12">
        <v>0</v>
      </c>
      <c r="M620" s="9">
        <v>0</v>
      </c>
      <c r="N620" s="12">
        <v>21751.135833333334</v>
      </c>
      <c r="O620">
        <v>79</v>
      </c>
      <c r="Q620" s="15">
        <f t="shared" si="27"/>
        <v>0.1</v>
      </c>
      <c r="R620" s="9">
        <f t="shared" si="28"/>
        <v>20000</v>
      </c>
      <c r="S620" s="9">
        <f t="shared" si="29"/>
        <v>20000</v>
      </c>
    </row>
    <row r="621" spans="1:19" x14ac:dyDescent="0.25">
      <c r="A621" t="s">
        <v>1192</v>
      </c>
      <c r="B621">
        <v>30019</v>
      </c>
      <c r="C621" s="8">
        <v>45653</v>
      </c>
      <c r="D621" t="s">
        <v>736</v>
      </c>
      <c r="E621" s="11">
        <v>6</v>
      </c>
      <c r="F621" t="s">
        <v>805</v>
      </c>
      <c r="G621" t="s">
        <v>1194</v>
      </c>
      <c r="H621" s="12">
        <v>68000</v>
      </c>
      <c r="I621" s="9">
        <v>0</v>
      </c>
      <c r="J621" s="15">
        <v>0.15</v>
      </c>
      <c r="K621" s="12">
        <v>6890</v>
      </c>
      <c r="L621" s="12">
        <v>5000</v>
      </c>
      <c r="M621" s="9">
        <v>0</v>
      </c>
      <c r="N621" s="12">
        <v>0</v>
      </c>
      <c r="O621">
        <v>0</v>
      </c>
      <c r="P621">
        <v>1</v>
      </c>
      <c r="Q621" s="15">
        <f t="shared" si="27"/>
        <v>0.25132352941176472</v>
      </c>
      <c r="R621" s="9">
        <f t="shared" si="28"/>
        <v>10200</v>
      </c>
      <c r="S621" s="9">
        <f t="shared" si="29"/>
        <v>17090</v>
      </c>
    </row>
    <row r="622" spans="1:19" x14ac:dyDescent="0.25">
      <c r="A622" t="s">
        <v>29</v>
      </c>
      <c r="B622">
        <v>30012</v>
      </c>
      <c r="C622" s="8">
        <v>45644</v>
      </c>
      <c r="D622" t="s">
        <v>863</v>
      </c>
      <c r="E622" s="11">
        <v>6</v>
      </c>
      <c r="F622" t="s">
        <v>819</v>
      </c>
      <c r="H622" s="12">
        <v>120000</v>
      </c>
      <c r="I622" s="9">
        <v>120679</v>
      </c>
      <c r="J622" s="15">
        <v>0.1</v>
      </c>
      <c r="K622" s="12">
        <v>0</v>
      </c>
      <c r="L622" s="12">
        <v>0</v>
      </c>
      <c r="M622" s="9">
        <v>0</v>
      </c>
      <c r="N622" s="12">
        <v>2815.8433333333337</v>
      </c>
      <c r="O622">
        <v>84</v>
      </c>
      <c r="Q622" s="15">
        <f t="shared" si="27"/>
        <v>0.1</v>
      </c>
      <c r="R622" s="9">
        <f t="shared" si="28"/>
        <v>12000</v>
      </c>
      <c r="S622" s="9">
        <f t="shared" si="29"/>
        <v>12000</v>
      </c>
    </row>
    <row r="623" spans="1:19" x14ac:dyDescent="0.25">
      <c r="A623" t="s">
        <v>1192</v>
      </c>
      <c r="B623">
        <v>30019</v>
      </c>
      <c r="C623" s="8">
        <v>45617</v>
      </c>
      <c r="D623" t="s">
        <v>1376</v>
      </c>
      <c r="E623" s="11">
        <v>6</v>
      </c>
      <c r="F623" t="s">
        <v>1196</v>
      </c>
      <c r="G623" t="s">
        <v>1194</v>
      </c>
      <c r="H623" s="12">
        <v>63000</v>
      </c>
      <c r="I623" s="9">
        <v>0</v>
      </c>
      <c r="J623" s="15">
        <v>0.15</v>
      </c>
      <c r="K623" s="12">
        <v>6890</v>
      </c>
      <c r="L623" s="12">
        <v>5000</v>
      </c>
      <c r="M623" s="9">
        <v>0</v>
      </c>
      <c r="N623" s="12">
        <v>0</v>
      </c>
      <c r="O623">
        <v>0</v>
      </c>
      <c r="P623">
        <v>1</v>
      </c>
      <c r="Q623" s="15">
        <f t="shared" si="27"/>
        <v>0.25936507936507935</v>
      </c>
      <c r="R623" s="9">
        <f t="shared" si="28"/>
        <v>9450</v>
      </c>
      <c r="S623" s="9">
        <f t="shared" si="29"/>
        <v>16340</v>
      </c>
    </row>
    <row r="624" spans="1:19" x14ac:dyDescent="0.25">
      <c r="A624" t="s">
        <v>1192</v>
      </c>
      <c r="B624">
        <v>30019</v>
      </c>
      <c r="C624" s="8">
        <v>45657</v>
      </c>
      <c r="D624" t="s">
        <v>1476</v>
      </c>
      <c r="E624" s="11">
        <v>6</v>
      </c>
      <c r="F624" t="s">
        <v>819</v>
      </c>
      <c r="H624" s="12">
        <v>118000</v>
      </c>
      <c r="I624" s="9">
        <v>0</v>
      </c>
      <c r="J624" s="15">
        <v>0.15</v>
      </c>
      <c r="K624" s="12">
        <v>6890</v>
      </c>
      <c r="L624" s="12">
        <v>5000</v>
      </c>
      <c r="M624" s="9">
        <v>0</v>
      </c>
      <c r="N624" s="12">
        <v>0</v>
      </c>
      <c r="O624">
        <v>0</v>
      </c>
      <c r="P624">
        <v>1</v>
      </c>
      <c r="Q624" s="15">
        <f t="shared" si="27"/>
        <v>0.20838983050847457</v>
      </c>
      <c r="R624" s="9">
        <f t="shared" si="28"/>
        <v>17700</v>
      </c>
      <c r="S624" s="9">
        <f t="shared" si="29"/>
        <v>24590</v>
      </c>
    </row>
    <row r="625" spans="1:19" x14ac:dyDescent="0.25">
      <c r="A625" t="s">
        <v>29</v>
      </c>
      <c r="B625">
        <v>30012</v>
      </c>
      <c r="C625" s="8">
        <v>45587</v>
      </c>
      <c r="D625" t="s">
        <v>1047</v>
      </c>
      <c r="E625" s="11">
        <v>6</v>
      </c>
      <c r="F625" t="s">
        <v>819</v>
      </c>
      <c r="H625" s="12">
        <v>70000</v>
      </c>
      <c r="I625" s="9">
        <v>23303</v>
      </c>
      <c r="J625" s="15">
        <v>0.1</v>
      </c>
      <c r="K625" s="12">
        <v>0</v>
      </c>
      <c r="L625" s="12">
        <v>0</v>
      </c>
      <c r="M625" s="9">
        <v>0</v>
      </c>
      <c r="N625" s="12">
        <v>356.01805555555558</v>
      </c>
      <c r="O625">
        <v>55</v>
      </c>
      <c r="Q625" s="15">
        <f t="shared" si="27"/>
        <v>0.1</v>
      </c>
      <c r="R625" s="9">
        <f t="shared" si="28"/>
        <v>7000</v>
      </c>
      <c r="S625" s="9">
        <f t="shared" si="29"/>
        <v>7000</v>
      </c>
    </row>
    <row r="626" spans="1:19" x14ac:dyDescent="0.25">
      <c r="A626" t="s">
        <v>1192</v>
      </c>
      <c r="B626">
        <v>30019</v>
      </c>
      <c r="C626" s="8">
        <v>45629</v>
      </c>
      <c r="D626" t="s">
        <v>1396</v>
      </c>
      <c r="E626" s="11">
        <v>6</v>
      </c>
      <c r="F626" t="s">
        <v>1196</v>
      </c>
      <c r="G626" t="s">
        <v>1194</v>
      </c>
      <c r="H626" s="12">
        <v>103000</v>
      </c>
      <c r="I626" s="9">
        <v>0</v>
      </c>
      <c r="J626" s="15">
        <v>0.15</v>
      </c>
      <c r="K626" s="12">
        <v>6890</v>
      </c>
      <c r="L626" s="12">
        <v>5000</v>
      </c>
      <c r="M626" s="9">
        <v>0</v>
      </c>
      <c r="N626" s="12">
        <v>0</v>
      </c>
      <c r="O626">
        <v>0</v>
      </c>
      <c r="P626">
        <v>1</v>
      </c>
      <c r="Q626" s="15">
        <f t="shared" si="27"/>
        <v>0.21689320388349514</v>
      </c>
      <c r="R626" s="9">
        <f t="shared" si="28"/>
        <v>15450</v>
      </c>
      <c r="S626" s="9">
        <f t="shared" si="29"/>
        <v>22340</v>
      </c>
    </row>
    <row r="627" spans="1:19" x14ac:dyDescent="0.25">
      <c r="A627" t="s">
        <v>1192</v>
      </c>
      <c r="B627">
        <v>30019</v>
      </c>
      <c r="C627" s="8">
        <v>45649</v>
      </c>
      <c r="D627" t="s">
        <v>1457</v>
      </c>
      <c r="E627" s="11">
        <v>6</v>
      </c>
      <c r="F627" t="s">
        <v>805</v>
      </c>
      <c r="G627" t="s">
        <v>1195</v>
      </c>
      <c r="H627" s="12">
        <v>94000</v>
      </c>
      <c r="I627" s="9">
        <v>0</v>
      </c>
      <c r="J627" s="15">
        <v>0.15</v>
      </c>
      <c r="K627" s="12">
        <v>6890</v>
      </c>
      <c r="L627" s="12">
        <v>5000</v>
      </c>
      <c r="M627" s="9">
        <v>0</v>
      </c>
      <c r="N627" s="12">
        <v>0</v>
      </c>
      <c r="O627">
        <v>0</v>
      </c>
      <c r="P627">
        <v>1</v>
      </c>
      <c r="Q627" s="15">
        <f t="shared" si="27"/>
        <v>0.22329787234042553</v>
      </c>
      <c r="R627" s="9">
        <f t="shared" si="28"/>
        <v>14100</v>
      </c>
      <c r="S627" s="9">
        <f t="shared" si="29"/>
        <v>20990</v>
      </c>
    </row>
    <row r="628" spans="1:19" x14ac:dyDescent="0.25">
      <c r="A628" t="s">
        <v>29</v>
      </c>
      <c r="B628">
        <v>30012</v>
      </c>
      <c r="C628" s="8">
        <v>45574</v>
      </c>
      <c r="D628" t="s">
        <v>1080</v>
      </c>
      <c r="E628" s="11">
        <v>6</v>
      </c>
      <c r="F628" t="s">
        <v>822</v>
      </c>
      <c r="H628" s="12">
        <v>150000</v>
      </c>
      <c r="I628" s="9">
        <v>2996</v>
      </c>
      <c r="J628" s="15">
        <v>0.1</v>
      </c>
      <c r="K628" s="12">
        <v>0</v>
      </c>
      <c r="L628" s="12">
        <v>0</v>
      </c>
      <c r="M628" s="9">
        <v>0</v>
      </c>
      <c r="N628" s="12">
        <v>63.248888888888892</v>
      </c>
      <c r="O628">
        <v>76</v>
      </c>
      <c r="Q628" s="15">
        <f t="shared" si="27"/>
        <v>0.1</v>
      </c>
      <c r="R628" s="9">
        <f t="shared" si="28"/>
        <v>15000</v>
      </c>
      <c r="S628" s="9">
        <f t="shared" si="29"/>
        <v>15000</v>
      </c>
    </row>
    <row r="629" spans="1:19" x14ac:dyDescent="0.25">
      <c r="A629" t="s">
        <v>1192</v>
      </c>
      <c r="B629">
        <v>30019</v>
      </c>
      <c r="C629" s="8">
        <v>45608</v>
      </c>
      <c r="D629" t="s">
        <v>1341</v>
      </c>
      <c r="E629" s="11">
        <v>6</v>
      </c>
      <c r="F629" t="s">
        <v>805</v>
      </c>
      <c r="G629" t="s">
        <v>1195</v>
      </c>
      <c r="H629" s="12">
        <v>66000</v>
      </c>
      <c r="I629" s="9">
        <v>0</v>
      </c>
      <c r="J629" s="15">
        <v>0.15</v>
      </c>
      <c r="K629" s="12">
        <v>6890</v>
      </c>
      <c r="L629" s="12">
        <v>5000</v>
      </c>
      <c r="M629" s="9">
        <v>0</v>
      </c>
      <c r="N629" s="12">
        <v>0</v>
      </c>
      <c r="O629">
        <v>0</v>
      </c>
      <c r="P629">
        <v>1</v>
      </c>
      <c r="Q629" s="15">
        <f t="shared" si="27"/>
        <v>0.25439393939393939</v>
      </c>
      <c r="R629" s="9">
        <f t="shared" si="28"/>
        <v>9900</v>
      </c>
      <c r="S629" s="9">
        <f t="shared" si="29"/>
        <v>16790</v>
      </c>
    </row>
    <row r="630" spans="1:19" x14ac:dyDescent="0.25">
      <c r="A630" t="s">
        <v>1192</v>
      </c>
      <c r="B630">
        <v>30019</v>
      </c>
      <c r="C630" s="8">
        <v>45628</v>
      </c>
      <c r="D630" t="s">
        <v>1390</v>
      </c>
      <c r="E630" s="11">
        <v>6</v>
      </c>
      <c r="F630" t="s">
        <v>805</v>
      </c>
      <c r="G630" t="s">
        <v>1391</v>
      </c>
      <c r="H630" s="12">
        <v>67000</v>
      </c>
      <c r="I630" s="9">
        <v>0</v>
      </c>
      <c r="J630" s="15">
        <v>0.15</v>
      </c>
      <c r="K630" s="12">
        <v>6890</v>
      </c>
      <c r="L630" s="12">
        <v>5000</v>
      </c>
      <c r="M630" s="9">
        <v>0</v>
      </c>
      <c r="N630" s="12">
        <v>0</v>
      </c>
      <c r="O630">
        <v>0</v>
      </c>
      <c r="P630">
        <v>1</v>
      </c>
      <c r="Q630" s="15">
        <f t="shared" si="27"/>
        <v>0.25283582089552237</v>
      </c>
      <c r="R630" s="9">
        <f t="shared" si="28"/>
        <v>10050</v>
      </c>
      <c r="S630" s="9">
        <f t="shared" si="29"/>
        <v>16940</v>
      </c>
    </row>
    <row r="631" spans="1:19" x14ac:dyDescent="0.25">
      <c r="A631" t="s">
        <v>1192</v>
      </c>
      <c r="B631">
        <v>30019</v>
      </c>
      <c r="C631" s="8">
        <v>45590</v>
      </c>
      <c r="D631" t="s">
        <v>1296</v>
      </c>
      <c r="E631" s="11">
        <v>6</v>
      </c>
      <c r="F631" t="s">
        <v>805</v>
      </c>
      <c r="G631" t="s">
        <v>1194</v>
      </c>
      <c r="H631" s="12">
        <v>118000</v>
      </c>
      <c r="I631" s="9">
        <v>0</v>
      </c>
      <c r="J631" s="15">
        <v>0.12</v>
      </c>
      <c r="K631" s="12">
        <v>6890</v>
      </c>
      <c r="L631" s="12">
        <v>5000</v>
      </c>
      <c r="M631" s="9">
        <v>0</v>
      </c>
      <c r="N631" s="12">
        <v>0</v>
      </c>
      <c r="O631">
        <v>0</v>
      </c>
      <c r="P631">
        <v>1</v>
      </c>
      <c r="Q631" s="15">
        <f t="shared" si="27"/>
        <v>0.17838983050847457</v>
      </c>
      <c r="R631" s="9">
        <f t="shared" si="28"/>
        <v>14160</v>
      </c>
      <c r="S631" s="9">
        <f t="shared" si="29"/>
        <v>21050</v>
      </c>
    </row>
    <row r="632" spans="1:19" x14ac:dyDescent="0.25">
      <c r="A632" t="s">
        <v>1192</v>
      </c>
      <c r="B632">
        <v>30019</v>
      </c>
      <c r="C632" s="8">
        <v>45594</v>
      </c>
      <c r="D632" t="s">
        <v>1304</v>
      </c>
      <c r="E632" s="11">
        <v>6</v>
      </c>
      <c r="F632" t="s">
        <v>805</v>
      </c>
      <c r="G632" t="s">
        <v>1195</v>
      </c>
      <c r="H632" s="12">
        <v>98000</v>
      </c>
      <c r="I632" s="9">
        <v>0</v>
      </c>
      <c r="J632" s="15">
        <v>0.15</v>
      </c>
      <c r="K632" s="12">
        <v>6890</v>
      </c>
      <c r="L632" s="12">
        <v>5000</v>
      </c>
      <c r="M632" s="9">
        <v>0</v>
      </c>
      <c r="N632" s="12">
        <v>0</v>
      </c>
      <c r="O632">
        <v>0</v>
      </c>
      <c r="P632">
        <v>1</v>
      </c>
      <c r="Q632" s="15">
        <f t="shared" si="27"/>
        <v>0.2203061224489796</v>
      </c>
      <c r="R632" s="9">
        <f t="shared" si="28"/>
        <v>14700</v>
      </c>
      <c r="S632" s="9">
        <f t="shared" si="29"/>
        <v>21590</v>
      </c>
    </row>
    <row r="633" spans="1:19" x14ac:dyDescent="0.25">
      <c r="A633" t="s">
        <v>1192</v>
      </c>
      <c r="B633">
        <v>30019</v>
      </c>
      <c r="C633" s="8">
        <v>45572</v>
      </c>
      <c r="D633" t="s">
        <v>1224</v>
      </c>
      <c r="E633" s="11">
        <v>6</v>
      </c>
      <c r="F633" t="s">
        <v>819</v>
      </c>
      <c r="G633" t="s">
        <v>1195</v>
      </c>
      <c r="H633" s="12">
        <v>49000</v>
      </c>
      <c r="I633" s="9">
        <v>0</v>
      </c>
      <c r="J633" s="15">
        <v>0.15</v>
      </c>
      <c r="K633" s="12">
        <v>6890</v>
      </c>
      <c r="L633" s="12">
        <v>5000</v>
      </c>
      <c r="M633" s="9">
        <v>0</v>
      </c>
      <c r="N633" s="12">
        <v>0</v>
      </c>
      <c r="O633">
        <v>0</v>
      </c>
      <c r="P633">
        <v>1</v>
      </c>
      <c r="Q633" s="15">
        <f t="shared" si="27"/>
        <v>0.29061224489795917</v>
      </c>
      <c r="R633" s="9">
        <f t="shared" si="28"/>
        <v>7350</v>
      </c>
      <c r="S633" s="9">
        <f t="shared" si="29"/>
        <v>14240</v>
      </c>
    </row>
    <row r="634" spans="1:19" x14ac:dyDescent="0.25">
      <c r="A634" t="s">
        <v>29</v>
      </c>
      <c r="B634">
        <v>30012</v>
      </c>
      <c r="C634" s="8">
        <v>45610</v>
      </c>
      <c r="D634" t="s">
        <v>970</v>
      </c>
      <c r="E634" s="11">
        <v>6</v>
      </c>
      <c r="F634" t="s">
        <v>805</v>
      </c>
      <c r="H634" s="12">
        <v>160000</v>
      </c>
      <c r="I634" s="9">
        <v>161606</v>
      </c>
      <c r="J634" s="15">
        <v>0.1</v>
      </c>
      <c r="K634" s="12">
        <v>0</v>
      </c>
      <c r="L634" s="12">
        <v>0</v>
      </c>
      <c r="M634" s="9">
        <v>0</v>
      </c>
      <c r="N634" s="12">
        <v>2154.7466666666669</v>
      </c>
      <c r="O634">
        <v>48</v>
      </c>
      <c r="Q634" s="15">
        <f t="shared" si="27"/>
        <v>0.1</v>
      </c>
      <c r="R634" s="9">
        <f t="shared" si="28"/>
        <v>16000</v>
      </c>
      <c r="S634" s="9">
        <f t="shared" si="29"/>
        <v>16000</v>
      </c>
    </row>
    <row r="635" spans="1:19" x14ac:dyDescent="0.25">
      <c r="A635" t="s">
        <v>29</v>
      </c>
      <c r="B635">
        <v>30012</v>
      </c>
      <c r="C635" s="8">
        <v>45597</v>
      </c>
      <c r="D635" t="s">
        <v>1008</v>
      </c>
      <c r="E635" s="11">
        <v>6</v>
      </c>
      <c r="F635" t="s">
        <v>819</v>
      </c>
      <c r="H635" s="12">
        <v>157210</v>
      </c>
      <c r="I635" s="9">
        <v>157210</v>
      </c>
      <c r="J635" s="15">
        <v>0.15</v>
      </c>
      <c r="K635" s="12">
        <v>0</v>
      </c>
      <c r="L635" s="12">
        <v>0</v>
      </c>
      <c r="M635" s="9">
        <v>0</v>
      </c>
      <c r="N635" s="12">
        <v>3995.7541666666666</v>
      </c>
      <c r="O635">
        <v>61</v>
      </c>
      <c r="Q635" s="15">
        <f t="shared" si="27"/>
        <v>0.15</v>
      </c>
      <c r="R635" s="9">
        <f t="shared" si="28"/>
        <v>23581.5</v>
      </c>
      <c r="S635" s="9">
        <f t="shared" si="29"/>
        <v>23581.5</v>
      </c>
    </row>
    <row r="636" spans="1:19" x14ac:dyDescent="0.25">
      <c r="A636" t="s">
        <v>1192</v>
      </c>
      <c r="B636">
        <v>30019</v>
      </c>
      <c r="C636" s="8">
        <v>45604</v>
      </c>
      <c r="D636" t="s">
        <v>1330</v>
      </c>
      <c r="E636" s="11">
        <v>6</v>
      </c>
      <c r="F636" t="s">
        <v>805</v>
      </c>
      <c r="G636" t="s">
        <v>1194</v>
      </c>
      <c r="H636" s="12">
        <v>91500</v>
      </c>
      <c r="I636" s="9">
        <v>0</v>
      </c>
      <c r="J636" s="15">
        <v>0.15</v>
      </c>
      <c r="K636" s="12">
        <v>6890</v>
      </c>
      <c r="L636" s="12">
        <v>5000</v>
      </c>
      <c r="M636" s="9">
        <v>0</v>
      </c>
      <c r="N636" s="12">
        <v>0</v>
      </c>
      <c r="O636">
        <v>0</v>
      </c>
      <c r="P636">
        <v>1</v>
      </c>
      <c r="Q636" s="15">
        <f t="shared" si="27"/>
        <v>0.22530054644808742</v>
      </c>
      <c r="R636" s="9">
        <f t="shared" si="28"/>
        <v>13725</v>
      </c>
      <c r="S636" s="9">
        <f t="shared" si="29"/>
        <v>20615</v>
      </c>
    </row>
    <row r="637" spans="1:19" x14ac:dyDescent="0.25">
      <c r="A637" t="s">
        <v>29</v>
      </c>
      <c r="B637">
        <v>30012</v>
      </c>
      <c r="C637" s="8">
        <v>45588</v>
      </c>
      <c r="D637" t="s">
        <v>1041</v>
      </c>
      <c r="E637" s="11">
        <v>6</v>
      </c>
      <c r="F637" t="s">
        <v>819</v>
      </c>
      <c r="H637" s="12">
        <v>70000</v>
      </c>
      <c r="I637" s="9">
        <v>19618</v>
      </c>
      <c r="J637" s="15">
        <v>0.1</v>
      </c>
      <c r="K637" s="12">
        <v>0</v>
      </c>
      <c r="L637" s="12">
        <v>0</v>
      </c>
      <c r="M637" s="9">
        <v>0</v>
      </c>
      <c r="N637" s="12">
        <v>479.5511111111112</v>
      </c>
      <c r="O637">
        <v>88</v>
      </c>
      <c r="Q637" s="15">
        <f t="shared" si="27"/>
        <v>0.1</v>
      </c>
      <c r="R637" s="9">
        <f t="shared" si="28"/>
        <v>7000</v>
      </c>
      <c r="S637" s="9">
        <f t="shared" si="29"/>
        <v>7000</v>
      </c>
    </row>
    <row r="638" spans="1:19" x14ac:dyDescent="0.25">
      <c r="A638" t="s">
        <v>1192</v>
      </c>
      <c r="B638">
        <v>30019</v>
      </c>
      <c r="C638" s="8">
        <v>45574</v>
      </c>
      <c r="D638" t="s">
        <v>1241</v>
      </c>
      <c r="E638" s="11">
        <v>6</v>
      </c>
      <c r="F638" t="s">
        <v>1242</v>
      </c>
      <c r="H638" s="12">
        <v>100000</v>
      </c>
      <c r="I638" s="9">
        <v>0</v>
      </c>
      <c r="J638" s="15">
        <v>0.15</v>
      </c>
      <c r="K638" s="12">
        <v>6890</v>
      </c>
      <c r="L638" s="12">
        <v>5000</v>
      </c>
      <c r="M638" s="9">
        <v>0</v>
      </c>
      <c r="N638" s="12">
        <v>0</v>
      </c>
      <c r="O638">
        <v>0</v>
      </c>
      <c r="P638">
        <v>1</v>
      </c>
      <c r="Q638" s="15">
        <f t="shared" si="27"/>
        <v>0.21890000000000001</v>
      </c>
      <c r="R638" s="9">
        <f t="shared" si="28"/>
        <v>15000</v>
      </c>
      <c r="S638" s="9">
        <f t="shared" si="29"/>
        <v>21890</v>
      </c>
    </row>
    <row r="639" spans="1:19" x14ac:dyDescent="0.25">
      <c r="A639" t="s">
        <v>1192</v>
      </c>
      <c r="B639">
        <v>30019</v>
      </c>
      <c r="C639" s="8">
        <v>45568</v>
      </c>
      <c r="D639" t="s">
        <v>1207</v>
      </c>
      <c r="E639" s="11">
        <v>6</v>
      </c>
      <c r="F639" t="s">
        <v>805</v>
      </c>
      <c r="G639" t="s">
        <v>1195</v>
      </c>
      <c r="H639" s="12">
        <v>77000</v>
      </c>
      <c r="I639" s="9">
        <v>0</v>
      </c>
      <c r="J639" s="15">
        <v>0.15</v>
      </c>
      <c r="K639" s="12">
        <v>6890</v>
      </c>
      <c r="L639" s="12">
        <v>5000</v>
      </c>
      <c r="M639" s="9">
        <v>0</v>
      </c>
      <c r="N639" s="12">
        <v>0</v>
      </c>
      <c r="O639">
        <v>0</v>
      </c>
      <c r="P639">
        <v>1</v>
      </c>
      <c r="Q639" s="15">
        <f t="shared" si="27"/>
        <v>0.23948051948051949</v>
      </c>
      <c r="R639" s="9">
        <f t="shared" si="28"/>
        <v>11550</v>
      </c>
      <c r="S639" s="9">
        <f t="shared" si="29"/>
        <v>18440</v>
      </c>
    </row>
    <row r="640" spans="1:19" x14ac:dyDescent="0.25">
      <c r="A640" t="s">
        <v>1192</v>
      </c>
      <c r="B640">
        <v>30019</v>
      </c>
      <c r="C640" s="8">
        <v>45653</v>
      </c>
      <c r="D640" t="s">
        <v>1467</v>
      </c>
      <c r="E640" s="11">
        <v>6</v>
      </c>
      <c r="F640" t="s">
        <v>1373</v>
      </c>
      <c r="G640" t="s">
        <v>1229</v>
      </c>
      <c r="H640" s="12">
        <v>100000</v>
      </c>
      <c r="I640" s="9">
        <v>0</v>
      </c>
      <c r="J640" s="15">
        <v>0.15</v>
      </c>
      <c r="K640" s="12">
        <v>6890</v>
      </c>
      <c r="L640" s="12">
        <v>5000</v>
      </c>
      <c r="M640" s="9">
        <v>0</v>
      </c>
      <c r="N640" s="12">
        <v>0</v>
      </c>
      <c r="O640">
        <v>0</v>
      </c>
      <c r="P640">
        <v>1</v>
      </c>
      <c r="Q640" s="15">
        <f t="shared" si="27"/>
        <v>0.21890000000000001</v>
      </c>
      <c r="R640" s="9">
        <f t="shared" si="28"/>
        <v>15000</v>
      </c>
      <c r="S640" s="9">
        <f t="shared" si="29"/>
        <v>21890</v>
      </c>
    </row>
    <row r="641" spans="1:19" x14ac:dyDescent="0.25">
      <c r="A641" t="s">
        <v>1192</v>
      </c>
      <c r="B641">
        <v>30019</v>
      </c>
      <c r="C641" s="8">
        <v>45604</v>
      </c>
      <c r="D641" t="s">
        <v>1331</v>
      </c>
      <c r="E641" s="11">
        <v>6</v>
      </c>
      <c r="F641" t="s">
        <v>852</v>
      </c>
      <c r="G641" t="s">
        <v>1301</v>
      </c>
      <c r="H641" s="12">
        <v>86000</v>
      </c>
      <c r="I641" s="9">
        <v>0</v>
      </c>
      <c r="J641" s="15">
        <v>0.13636363636363599</v>
      </c>
      <c r="K641" s="12">
        <v>6890</v>
      </c>
      <c r="L641" s="12">
        <v>5000</v>
      </c>
      <c r="M641" s="9">
        <v>0</v>
      </c>
      <c r="N641" s="12">
        <v>0</v>
      </c>
      <c r="O641">
        <v>0</v>
      </c>
      <c r="P641">
        <v>1</v>
      </c>
      <c r="Q641" s="15">
        <f t="shared" si="27"/>
        <v>0.21647991543340342</v>
      </c>
      <c r="R641" s="9">
        <f t="shared" si="28"/>
        <v>11727.272727272695</v>
      </c>
      <c r="S641" s="9">
        <f t="shared" si="29"/>
        <v>18617.272727272695</v>
      </c>
    </row>
    <row r="642" spans="1:19" x14ac:dyDescent="0.25">
      <c r="A642" t="s">
        <v>1192</v>
      </c>
      <c r="B642">
        <v>30019</v>
      </c>
      <c r="C642" s="8">
        <v>45579</v>
      </c>
      <c r="D642" t="s">
        <v>1257</v>
      </c>
      <c r="E642" s="11">
        <v>6</v>
      </c>
      <c r="F642" t="s">
        <v>805</v>
      </c>
      <c r="H642" s="12">
        <v>100000</v>
      </c>
      <c r="I642" s="9">
        <v>0</v>
      </c>
      <c r="J642" s="15">
        <v>0.15</v>
      </c>
      <c r="K642" s="12">
        <v>6890</v>
      </c>
      <c r="L642" s="12">
        <v>5000</v>
      </c>
      <c r="M642" s="9">
        <v>0</v>
      </c>
      <c r="N642" s="12">
        <v>0</v>
      </c>
      <c r="O642">
        <v>0</v>
      </c>
      <c r="P642">
        <v>1</v>
      </c>
      <c r="Q642" s="15">
        <f t="shared" ref="Q642:Q680" si="30">((H642*J642)+K642+M642)/H642</f>
        <v>0.21890000000000001</v>
      </c>
      <c r="R642" s="9">
        <f t="shared" ref="R642:R680" si="31">J642*H642</f>
        <v>15000</v>
      </c>
      <c r="S642" s="9">
        <f t="shared" ref="S642:S680" si="32">Q642*H642</f>
        <v>21890</v>
      </c>
    </row>
    <row r="643" spans="1:19" x14ac:dyDescent="0.25">
      <c r="A643" t="s">
        <v>1192</v>
      </c>
      <c r="B643">
        <v>30019</v>
      </c>
      <c r="C643" s="8">
        <v>45656</v>
      </c>
      <c r="D643" t="s">
        <v>1468</v>
      </c>
      <c r="E643" s="11">
        <v>6</v>
      </c>
      <c r="F643" t="s">
        <v>805</v>
      </c>
      <c r="G643" t="s">
        <v>1195</v>
      </c>
      <c r="H643" s="12">
        <v>79000</v>
      </c>
      <c r="I643" s="9">
        <v>0</v>
      </c>
      <c r="J643" s="15">
        <v>0.15</v>
      </c>
      <c r="K643" s="12">
        <v>6890</v>
      </c>
      <c r="L643" s="12">
        <v>5000</v>
      </c>
      <c r="M643" s="9">
        <v>0</v>
      </c>
      <c r="N643" s="12">
        <v>0</v>
      </c>
      <c r="O643">
        <v>0</v>
      </c>
      <c r="P643">
        <v>1</v>
      </c>
      <c r="Q643" s="15">
        <f t="shared" si="30"/>
        <v>0.23721518987341772</v>
      </c>
      <c r="R643" s="9">
        <f t="shared" si="31"/>
        <v>11850</v>
      </c>
      <c r="S643" s="9">
        <f t="shared" si="32"/>
        <v>18740</v>
      </c>
    </row>
    <row r="644" spans="1:19" x14ac:dyDescent="0.25">
      <c r="A644" t="s">
        <v>1192</v>
      </c>
      <c r="B644">
        <v>30019</v>
      </c>
      <c r="C644" s="8">
        <v>45590</v>
      </c>
      <c r="D644" t="s">
        <v>776</v>
      </c>
      <c r="E644" s="11">
        <v>6</v>
      </c>
      <c r="F644" t="s">
        <v>805</v>
      </c>
      <c r="G644" t="s">
        <v>1194</v>
      </c>
      <c r="H644" s="12">
        <v>76500</v>
      </c>
      <c r="I644" s="9">
        <v>0</v>
      </c>
      <c r="J644" s="15">
        <v>0.15</v>
      </c>
      <c r="K644" s="12">
        <v>6890</v>
      </c>
      <c r="L644" s="12">
        <v>5000</v>
      </c>
      <c r="M644" s="9">
        <v>0</v>
      </c>
      <c r="N644" s="12">
        <v>0</v>
      </c>
      <c r="O644">
        <v>0</v>
      </c>
      <c r="P644">
        <v>1</v>
      </c>
      <c r="Q644" s="15">
        <f t="shared" si="30"/>
        <v>0.24006535947712418</v>
      </c>
      <c r="R644" s="9">
        <f t="shared" si="31"/>
        <v>11475</v>
      </c>
      <c r="S644" s="9">
        <f t="shared" si="32"/>
        <v>18365</v>
      </c>
    </row>
    <row r="645" spans="1:19" x14ac:dyDescent="0.25">
      <c r="A645" t="s">
        <v>1192</v>
      </c>
      <c r="B645">
        <v>30019</v>
      </c>
      <c r="C645" s="8">
        <v>45628</v>
      </c>
      <c r="D645" t="s">
        <v>1389</v>
      </c>
      <c r="E645" s="11">
        <v>6</v>
      </c>
      <c r="F645" t="s">
        <v>819</v>
      </c>
      <c r="G645" t="s">
        <v>1194</v>
      </c>
      <c r="H645" s="12">
        <v>76000</v>
      </c>
      <c r="I645" s="9">
        <v>0</v>
      </c>
      <c r="J645" s="15">
        <v>0.15</v>
      </c>
      <c r="K645" s="12">
        <v>6890</v>
      </c>
      <c r="L645" s="12">
        <v>5000</v>
      </c>
      <c r="M645" s="9">
        <v>0</v>
      </c>
      <c r="N645" s="12">
        <v>0</v>
      </c>
      <c r="O645">
        <v>0</v>
      </c>
      <c r="P645">
        <v>1</v>
      </c>
      <c r="Q645" s="15">
        <f t="shared" si="30"/>
        <v>0.2406578947368421</v>
      </c>
      <c r="R645" s="9">
        <f t="shared" si="31"/>
        <v>11400</v>
      </c>
      <c r="S645" s="9">
        <f t="shared" si="32"/>
        <v>18290</v>
      </c>
    </row>
    <row r="646" spans="1:19" x14ac:dyDescent="0.25">
      <c r="A646" t="s">
        <v>1192</v>
      </c>
      <c r="B646">
        <v>30019</v>
      </c>
      <c r="C646" s="8">
        <v>45593</v>
      </c>
      <c r="D646" t="s">
        <v>1302</v>
      </c>
      <c r="E646" s="11">
        <v>6</v>
      </c>
      <c r="F646" t="s">
        <v>805</v>
      </c>
      <c r="H646" s="12">
        <v>54000</v>
      </c>
      <c r="I646" s="9">
        <v>0</v>
      </c>
      <c r="J646" s="15">
        <v>0.15</v>
      </c>
      <c r="K646" s="12">
        <v>6890</v>
      </c>
      <c r="L646" s="12">
        <v>5000</v>
      </c>
      <c r="M646" s="9">
        <v>0</v>
      </c>
      <c r="N646" s="12">
        <v>0</v>
      </c>
      <c r="O646">
        <v>0</v>
      </c>
      <c r="P646">
        <v>1</v>
      </c>
      <c r="Q646" s="15">
        <f t="shared" si="30"/>
        <v>0.27759259259259261</v>
      </c>
      <c r="R646" s="9">
        <f t="shared" si="31"/>
        <v>8100</v>
      </c>
      <c r="S646" s="9">
        <f t="shared" si="32"/>
        <v>14990.000000000002</v>
      </c>
    </row>
    <row r="647" spans="1:19" x14ac:dyDescent="0.25">
      <c r="A647" t="s">
        <v>1192</v>
      </c>
      <c r="B647">
        <v>30019</v>
      </c>
      <c r="C647" s="8">
        <v>45601</v>
      </c>
      <c r="D647" t="s">
        <v>1314</v>
      </c>
      <c r="E647" s="11">
        <v>6</v>
      </c>
      <c r="F647" t="s">
        <v>805</v>
      </c>
      <c r="G647" t="s">
        <v>1195</v>
      </c>
      <c r="H647" s="12">
        <v>99000</v>
      </c>
      <c r="I647" s="9">
        <v>0</v>
      </c>
      <c r="J647" s="15">
        <v>0.15</v>
      </c>
      <c r="K647" s="12">
        <v>6890</v>
      </c>
      <c r="L647" s="12">
        <v>5000</v>
      </c>
      <c r="M647" s="9">
        <v>0</v>
      </c>
      <c r="N647" s="12">
        <v>0</v>
      </c>
      <c r="O647">
        <v>0</v>
      </c>
      <c r="P647">
        <v>1</v>
      </c>
      <c r="Q647" s="15">
        <f t="shared" si="30"/>
        <v>0.21959595959595959</v>
      </c>
      <c r="R647" s="9">
        <f t="shared" si="31"/>
        <v>14850</v>
      </c>
      <c r="S647" s="9">
        <f t="shared" si="32"/>
        <v>21740</v>
      </c>
    </row>
    <row r="648" spans="1:19" x14ac:dyDescent="0.25">
      <c r="A648" t="s">
        <v>29</v>
      </c>
      <c r="B648">
        <v>30012</v>
      </c>
      <c r="C648" s="8">
        <v>45597</v>
      </c>
      <c r="D648" t="s">
        <v>998</v>
      </c>
      <c r="E648" s="11">
        <v>6</v>
      </c>
      <c r="F648" t="s">
        <v>805</v>
      </c>
      <c r="H648" s="12">
        <v>90064</v>
      </c>
      <c r="I648" s="9">
        <v>90064</v>
      </c>
      <c r="J648" s="15">
        <v>0.15</v>
      </c>
      <c r="K648" s="12">
        <v>0</v>
      </c>
      <c r="L648" s="12">
        <v>0</v>
      </c>
      <c r="M648" s="9">
        <v>0</v>
      </c>
      <c r="N648" s="12">
        <v>2289.1266666666666</v>
      </c>
      <c r="O648">
        <v>61</v>
      </c>
      <c r="Q648" s="15">
        <f t="shared" si="30"/>
        <v>0.15</v>
      </c>
      <c r="R648" s="9">
        <f t="shared" si="31"/>
        <v>13509.6</v>
      </c>
      <c r="S648" s="9">
        <f t="shared" si="32"/>
        <v>13509.6</v>
      </c>
    </row>
    <row r="649" spans="1:19" x14ac:dyDescent="0.25">
      <c r="A649" t="s">
        <v>29</v>
      </c>
      <c r="B649">
        <v>30012</v>
      </c>
      <c r="C649" s="8">
        <v>45568</v>
      </c>
      <c r="D649" t="s">
        <v>1093</v>
      </c>
      <c r="E649" s="11">
        <v>6</v>
      </c>
      <c r="F649" t="s">
        <v>819</v>
      </c>
      <c r="H649" s="12">
        <v>50000</v>
      </c>
      <c r="I649" s="9">
        <v>231616</v>
      </c>
      <c r="J649" s="15">
        <v>0.1</v>
      </c>
      <c r="K649" s="12">
        <v>0</v>
      </c>
      <c r="L649" s="12">
        <v>0</v>
      </c>
      <c r="M649" s="9">
        <v>0</v>
      </c>
      <c r="N649" s="12">
        <v>4889.6711111111117</v>
      </c>
      <c r="O649">
        <v>76</v>
      </c>
      <c r="Q649" s="15">
        <f t="shared" si="30"/>
        <v>0.1</v>
      </c>
      <c r="R649" s="9">
        <f t="shared" si="31"/>
        <v>5000</v>
      </c>
      <c r="S649" s="9">
        <f t="shared" si="32"/>
        <v>5000</v>
      </c>
    </row>
    <row r="650" spans="1:19" x14ac:dyDescent="0.25">
      <c r="A650" t="s">
        <v>29</v>
      </c>
      <c r="B650">
        <v>30012</v>
      </c>
      <c r="C650" s="8">
        <v>45637</v>
      </c>
      <c r="D650" t="s">
        <v>884</v>
      </c>
      <c r="E650" s="11">
        <v>6</v>
      </c>
      <c r="F650" t="s">
        <v>822</v>
      </c>
      <c r="H650" s="12">
        <v>88000</v>
      </c>
      <c r="I650" s="9">
        <v>87241</v>
      </c>
      <c r="J650" s="15">
        <v>0.1</v>
      </c>
      <c r="K650" s="12">
        <v>0</v>
      </c>
      <c r="L650" s="12">
        <v>0</v>
      </c>
      <c r="M650" s="9">
        <v>0</v>
      </c>
      <c r="N650" s="12">
        <v>460.43861111111107</v>
      </c>
      <c r="O650">
        <v>19</v>
      </c>
      <c r="Q650" s="15">
        <f t="shared" si="30"/>
        <v>0.1</v>
      </c>
      <c r="R650" s="9">
        <f t="shared" si="31"/>
        <v>8800</v>
      </c>
      <c r="S650" s="9">
        <f t="shared" si="32"/>
        <v>8800</v>
      </c>
    </row>
    <row r="651" spans="1:19" x14ac:dyDescent="0.25">
      <c r="A651" t="s">
        <v>29</v>
      </c>
      <c r="B651">
        <v>30012</v>
      </c>
      <c r="C651" s="8">
        <v>45581</v>
      </c>
      <c r="D651" t="s">
        <v>1062</v>
      </c>
      <c r="E651" s="11">
        <v>6</v>
      </c>
      <c r="F651" t="s">
        <v>819</v>
      </c>
      <c r="H651" s="12">
        <v>200000</v>
      </c>
      <c r="I651" s="9">
        <v>76237</v>
      </c>
      <c r="J651" s="15">
        <v>0.1</v>
      </c>
      <c r="K651" s="12">
        <v>0</v>
      </c>
      <c r="L651" s="12">
        <v>0</v>
      </c>
      <c r="M651" s="9">
        <v>0</v>
      </c>
      <c r="N651" s="12">
        <v>508.24666666666673</v>
      </c>
      <c r="O651">
        <v>24</v>
      </c>
      <c r="Q651" s="15">
        <f t="shared" si="30"/>
        <v>0.1</v>
      </c>
      <c r="R651" s="9">
        <f t="shared" si="31"/>
        <v>20000</v>
      </c>
      <c r="S651" s="9">
        <f t="shared" si="32"/>
        <v>20000</v>
      </c>
    </row>
    <row r="652" spans="1:19" x14ac:dyDescent="0.25">
      <c r="A652" t="s">
        <v>1192</v>
      </c>
      <c r="B652">
        <v>30019</v>
      </c>
      <c r="C652" s="8">
        <v>45610</v>
      </c>
      <c r="D652" t="s">
        <v>1351</v>
      </c>
      <c r="E652" s="11">
        <v>6</v>
      </c>
      <c r="F652" t="s">
        <v>805</v>
      </c>
      <c r="G652" t="s">
        <v>1195</v>
      </c>
      <c r="H652" s="12">
        <v>62000</v>
      </c>
      <c r="I652" s="9">
        <v>0</v>
      </c>
      <c r="J652" s="15">
        <v>0.15</v>
      </c>
      <c r="K652" s="12">
        <v>6890</v>
      </c>
      <c r="L652" s="12">
        <v>5000</v>
      </c>
      <c r="M652" s="9">
        <v>0</v>
      </c>
      <c r="N652" s="12">
        <v>0</v>
      </c>
      <c r="O652">
        <v>0</v>
      </c>
      <c r="P652">
        <v>1</v>
      </c>
      <c r="Q652" s="15">
        <f t="shared" si="30"/>
        <v>0.2611290322580645</v>
      </c>
      <c r="R652" s="9">
        <f t="shared" si="31"/>
        <v>9300</v>
      </c>
      <c r="S652" s="9">
        <f t="shared" si="32"/>
        <v>16189.999999999998</v>
      </c>
    </row>
    <row r="653" spans="1:19" x14ac:dyDescent="0.25">
      <c r="A653" t="s">
        <v>1192</v>
      </c>
      <c r="B653">
        <v>30019</v>
      </c>
      <c r="C653" s="8">
        <v>45615</v>
      </c>
      <c r="D653" t="s">
        <v>1359</v>
      </c>
      <c r="E653" s="11">
        <v>6</v>
      </c>
      <c r="F653" t="s">
        <v>805</v>
      </c>
      <c r="G653" t="s">
        <v>1195</v>
      </c>
      <c r="H653" s="12">
        <v>112000</v>
      </c>
      <c r="I653" s="9">
        <v>0</v>
      </c>
      <c r="J653" s="15">
        <v>9.54545454545455E-2</v>
      </c>
      <c r="K653" s="12">
        <v>6890</v>
      </c>
      <c r="L653" s="12">
        <v>5000</v>
      </c>
      <c r="M653" s="9">
        <v>0</v>
      </c>
      <c r="N653" s="12">
        <v>0</v>
      </c>
      <c r="O653">
        <v>0</v>
      </c>
      <c r="P653">
        <v>1</v>
      </c>
      <c r="Q653" s="15">
        <f t="shared" si="30"/>
        <v>0.15697240259740264</v>
      </c>
      <c r="R653" s="9">
        <f t="shared" si="31"/>
        <v>10690.909090909096</v>
      </c>
      <c r="S653" s="9">
        <f t="shared" si="32"/>
        <v>17580.909090909096</v>
      </c>
    </row>
    <row r="654" spans="1:19" x14ac:dyDescent="0.25">
      <c r="A654" t="s">
        <v>1192</v>
      </c>
      <c r="B654">
        <v>30019</v>
      </c>
      <c r="C654" s="8">
        <v>45609</v>
      </c>
      <c r="D654" t="s">
        <v>1347</v>
      </c>
      <c r="E654" s="11">
        <v>6</v>
      </c>
      <c r="F654" t="s">
        <v>805</v>
      </c>
      <c r="G654" t="s">
        <v>1194</v>
      </c>
      <c r="H654" s="12">
        <v>86000</v>
      </c>
      <c r="I654" s="9">
        <v>0</v>
      </c>
      <c r="J654" s="15">
        <v>0.13636363636363599</v>
      </c>
      <c r="K654" s="12">
        <v>6890</v>
      </c>
      <c r="L654" s="12">
        <v>5000</v>
      </c>
      <c r="M654" s="9">
        <v>0</v>
      </c>
      <c r="N654" s="12">
        <v>0</v>
      </c>
      <c r="O654">
        <v>0</v>
      </c>
      <c r="P654">
        <v>1</v>
      </c>
      <c r="Q654" s="15">
        <f t="shared" si="30"/>
        <v>0.21647991543340342</v>
      </c>
      <c r="R654" s="9">
        <f t="shared" si="31"/>
        <v>11727.272727272695</v>
      </c>
      <c r="S654" s="9">
        <f t="shared" si="32"/>
        <v>18617.272727272695</v>
      </c>
    </row>
    <row r="655" spans="1:19" x14ac:dyDescent="0.25">
      <c r="A655" t="s">
        <v>1192</v>
      </c>
      <c r="B655">
        <v>30019</v>
      </c>
      <c r="C655" s="8">
        <v>45636</v>
      </c>
      <c r="D655" t="s">
        <v>1431</v>
      </c>
      <c r="E655" s="11">
        <v>6</v>
      </c>
      <c r="F655" t="s">
        <v>805</v>
      </c>
      <c r="G655" t="s">
        <v>1194</v>
      </c>
      <c r="H655" s="12">
        <v>106000</v>
      </c>
      <c r="I655" s="9">
        <v>0</v>
      </c>
      <c r="J655" s="15">
        <v>0.15</v>
      </c>
      <c r="K655" s="12">
        <v>6890</v>
      </c>
      <c r="L655" s="12">
        <v>5000</v>
      </c>
      <c r="M655" s="9">
        <v>0</v>
      </c>
      <c r="N655" s="12">
        <v>0</v>
      </c>
      <c r="O655">
        <v>0</v>
      </c>
      <c r="P655">
        <v>1</v>
      </c>
      <c r="Q655" s="15">
        <f t="shared" si="30"/>
        <v>0.215</v>
      </c>
      <c r="R655" s="9">
        <f t="shared" si="31"/>
        <v>15900</v>
      </c>
      <c r="S655" s="9">
        <f t="shared" si="32"/>
        <v>22790</v>
      </c>
    </row>
    <row r="656" spans="1:19" x14ac:dyDescent="0.25">
      <c r="A656" t="s">
        <v>1192</v>
      </c>
      <c r="B656">
        <v>30019</v>
      </c>
      <c r="C656" s="8">
        <v>45635</v>
      </c>
      <c r="D656" t="s">
        <v>1422</v>
      </c>
      <c r="E656" s="11">
        <v>6</v>
      </c>
      <c r="F656" t="s">
        <v>805</v>
      </c>
      <c r="G656" t="s">
        <v>1194</v>
      </c>
      <c r="H656" s="12">
        <v>79000</v>
      </c>
      <c r="I656" s="9">
        <v>0</v>
      </c>
      <c r="J656" s="15">
        <v>0.15</v>
      </c>
      <c r="K656" s="12">
        <v>6890</v>
      </c>
      <c r="L656" s="12">
        <v>5000</v>
      </c>
      <c r="M656" s="9">
        <v>0</v>
      </c>
      <c r="N656" s="12">
        <v>0</v>
      </c>
      <c r="O656">
        <v>0</v>
      </c>
      <c r="P656">
        <v>1</v>
      </c>
      <c r="Q656" s="15">
        <f t="shared" si="30"/>
        <v>0.23721518987341772</v>
      </c>
      <c r="R656" s="9">
        <f t="shared" si="31"/>
        <v>11850</v>
      </c>
      <c r="S656" s="9">
        <f t="shared" si="32"/>
        <v>18740</v>
      </c>
    </row>
    <row r="657" spans="1:19" x14ac:dyDescent="0.25">
      <c r="A657" t="s">
        <v>29</v>
      </c>
      <c r="B657">
        <v>30012</v>
      </c>
      <c r="C657" s="8">
        <v>45581</v>
      </c>
      <c r="D657" t="s">
        <v>1061</v>
      </c>
      <c r="E657" s="11">
        <v>6</v>
      </c>
      <c r="F657" t="s">
        <v>805</v>
      </c>
      <c r="H657" s="12">
        <v>165000</v>
      </c>
      <c r="I657" s="9">
        <v>334273</v>
      </c>
      <c r="J657" s="15">
        <v>0.1</v>
      </c>
      <c r="K657" s="12">
        <v>0</v>
      </c>
      <c r="L657" s="12">
        <v>0</v>
      </c>
      <c r="M657" s="9">
        <v>0</v>
      </c>
      <c r="N657" s="12">
        <v>2042.7794444444446</v>
      </c>
      <c r="O657">
        <v>22</v>
      </c>
      <c r="Q657" s="15">
        <f t="shared" si="30"/>
        <v>0.1</v>
      </c>
      <c r="R657" s="9">
        <f t="shared" si="31"/>
        <v>16500</v>
      </c>
      <c r="S657" s="9">
        <f t="shared" si="32"/>
        <v>16500</v>
      </c>
    </row>
    <row r="658" spans="1:19" x14ac:dyDescent="0.25">
      <c r="A658" t="s">
        <v>1192</v>
      </c>
      <c r="B658">
        <v>30019</v>
      </c>
      <c r="C658" s="8">
        <v>45590</v>
      </c>
      <c r="D658" t="s">
        <v>1295</v>
      </c>
      <c r="E658" s="11">
        <v>6</v>
      </c>
      <c r="F658" t="s">
        <v>852</v>
      </c>
      <c r="G658" t="s">
        <v>1194</v>
      </c>
      <c r="H658" s="12">
        <v>379000</v>
      </c>
      <c r="I658" s="9">
        <v>0</v>
      </c>
      <c r="J658" s="15">
        <v>0.15</v>
      </c>
      <c r="K658" s="12">
        <v>6890</v>
      </c>
      <c r="L658" s="12">
        <v>5000</v>
      </c>
      <c r="M658" s="9">
        <v>0</v>
      </c>
      <c r="N658" s="12">
        <v>0</v>
      </c>
      <c r="O658">
        <v>0</v>
      </c>
      <c r="P658">
        <v>1</v>
      </c>
      <c r="Q658" s="15">
        <f t="shared" si="30"/>
        <v>0.16817941952506596</v>
      </c>
      <c r="R658" s="9">
        <f t="shared" si="31"/>
        <v>56850</v>
      </c>
      <c r="S658" s="9">
        <f t="shared" si="32"/>
        <v>63740</v>
      </c>
    </row>
    <row r="659" spans="1:19" x14ac:dyDescent="0.25">
      <c r="A659" t="s">
        <v>1192</v>
      </c>
      <c r="B659">
        <v>30019</v>
      </c>
      <c r="C659" s="8">
        <v>45587</v>
      </c>
      <c r="D659" t="s">
        <v>1281</v>
      </c>
      <c r="E659" s="11">
        <v>6</v>
      </c>
      <c r="F659" t="s">
        <v>805</v>
      </c>
      <c r="G659" t="s">
        <v>1194</v>
      </c>
      <c r="H659" s="12">
        <v>91000</v>
      </c>
      <c r="I659" s="9">
        <v>0</v>
      </c>
      <c r="J659" s="15">
        <v>0.15</v>
      </c>
      <c r="K659" s="12">
        <v>6890</v>
      </c>
      <c r="L659" s="12">
        <v>5000</v>
      </c>
      <c r="M659" s="9">
        <v>0</v>
      </c>
      <c r="N659" s="12">
        <v>0</v>
      </c>
      <c r="O659">
        <v>0</v>
      </c>
      <c r="P659">
        <v>1</v>
      </c>
      <c r="Q659" s="15">
        <f t="shared" si="30"/>
        <v>0.2257142857142857</v>
      </c>
      <c r="R659" s="9">
        <f t="shared" si="31"/>
        <v>13650</v>
      </c>
      <c r="S659" s="9">
        <f t="shared" si="32"/>
        <v>20540</v>
      </c>
    </row>
    <row r="660" spans="1:19" x14ac:dyDescent="0.25">
      <c r="A660" t="s">
        <v>1192</v>
      </c>
      <c r="B660">
        <v>30019</v>
      </c>
      <c r="C660" s="8">
        <v>45590</v>
      </c>
      <c r="D660" t="s">
        <v>1294</v>
      </c>
      <c r="E660" s="11">
        <v>6</v>
      </c>
      <c r="F660" t="s">
        <v>805</v>
      </c>
      <c r="G660" t="s">
        <v>1229</v>
      </c>
      <c r="H660" s="12">
        <v>99000</v>
      </c>
      <c r="I660" s="9">
        <v>0</v>
      </c>
      <c r="J660" s="15">
        <v>0.15</v>
      </c>
      <c r="K660" s="12">
        <v>6890</v>
      </c>
      <c r="L660" s="12">
        <v>5000</v>
      </c>
      <c r="M660" s="9">
        <v>0</v>
      </c>
      <c r="N660" s="12">
        <v>0</v>
      </c>
      <c r="O660">
        <v>0</v>
      </c>
      <c r="P660">
        <v>1</v>
      </c>
      <c r="Q660" s="15">
        <f t="shared" si="30"/>
        <v>0.21959595959595959</v>
      </c>
      <c r="R660" s="9">
        <f t="shared" si="31"/>
        <v>14850</v>
      </c>
      <c r="S660" s="9">
        <f t="shared" si="32"/>
        <v>21740</v>
      </c>
    </row>
    <row r="661" spans="1:19" x14ac:dyDescent="0.25">
      <c r="A661" t="s">
        <v>1192</v>
      </c>
      <c r="B661">
        <v>30019</v>
      </c>
      <c r="C661" s="8">
        <v>45600</v>
      </c>
      <c r="D661" t="s">
        <v>1311</v>
      </c>
      <c r="E661" s="11">
        <v>6</v>
      </c>
      <c r="F661" t="s">
        <v>805</v>
      </c>
      <c r="G661" t="s">
        <v>1229</v>
      </c>
      <c r="H661" s="12">
        <v>100000</v>
      </c>
      <c r="I661" s="9">
        <v>0</v>
      </c>
      <c r="J661" s="15">
        <v>0.15</v>
      </c>
      <c r="K661" s="12">
        <v>6890</v>
      </c>
      <c r="L661" s="12">
        <v>5000</v>
      </c>
      <c r="M661" s="9">
        <v>0</v>
      </c>
      <c r="N661" s="12">
        <v>0</v>
      </c>
      <c r="O661">
        <v>0</v>
      </c>
      <c r="P661">
        <v>1</v>
      </c>
      <c r="Q661" s="15">
        <f t="shared" si="30"/>
        <v>0.21890000000000001</v>
      </c>
      <c r="R661" s="9">
        <f t="shared" si="31"/>
        <v>15000</v>
      </c>
      <c r="S661" s="9">
        <f t="shared" si="32"/>
        <v>21890</v>
      </c>
    </row>
    <row r="662" spans="1:19" x14ac:dyDescent="0.25">
      <c r="A662" t="s">
        <v>29</v>
      </c>
      <c r="B662">
        <v>30012</v>
      </c>
      <c r="C662" s="8">
        <v>45600</v>
      </c>
      <c r="D662" t="s">
        <v>993</v>
      </c>
      <c r="E662" s="11">
        <v>6</v>
      </c>
      <c r="F662" t="s">
        <v>805</v>
      </c>
      <c r="H662" s="12">
        <v>224792</v>
      </c>
      <c r="I662" s="9">
        <v>224792</v>
      </c>
      <c r="J662" s="15">
        <v>0.15</v>
      </c>
      <c r="K662" s="12">
        <v>0</v>
      </c>
      <c r="L662" s="12">
        <v>0</v>
      </c>
      <c r="M662" s="9">
        <v>0</v>
      </c>
      <c r="N662" s="12">
        <v>5432.4733333333324</v>
      </c>
      <c r="O662">
        <v>58</v>
      </c>
      <c r="Q662" s="15">
        <f t="shared" si="30"/>
        <v>0.15</v>
      </c>
      <c r="R662" s="9">
        <f t="shared" si="31"/>
        <v>33718.799999999996</v>
      </c>
      <c r="S662" s="9">
        <f t="shared" si="32"/>
        <v>33718.799999999996</v>
      </c>
    </row>
    <row r="663" spans="1:19" x14ac:dyDescent="0.25">
      <c r="A663" t="s">
        <v>29</v>
      </c>
      <c r="B663">
        <v>30012</v>
      </c>
      <c r="C663" s="8">
        <v>45594</v>
      </c>
      <c r="D663" t="s">
        <v>1026</v>
      </c>
      <c r="E663" s="11">
        <v>6</v>
      </c>
      <c r="F663" t="s">
        <v>819</v>
      </c>
      <c r="H663" s="12">
        <v>60000</v>
      </c>
      <c r="I663" s="9">
        <v>60280</v>
      </c>
      <c r="J663" s="15">
        <v>0.1</v>
      </c>
      <c r="K663" s="12">
        <v>0</v>
      </c>
      <c r="L663" s="12">
        <v>0</v>
      </c>
      <c r="M663" s="9">
        <v>0</v>
      </c>
      <c r="N663" s="12">
        <v>1473.5111111111112</v>
      </c>
      <c r="O663">
        <v>88</v>
      </c>
      <c r="Q663" s="15">
        <f t="shared" si="30"/>
        <v>0.1</v>
      </c>
      <c r="R663" s="9">
        <f t="shared" si="31"/>
        <v>6000</v>
      </c>
      <c r="S663" s="9">
        <f t="shared" si="32"/>
        <v>6000</v>
      </c>
    </row>
    <row r="664" spans="1:19" x14ac:dyDescent="0.25">
      <c r="A664" t="s">
        <v>29</v>
      </c>
      <c r="B664">
        <v>30012</v>
      </c>
      <c r="C664" s="8">
        <v>45602</v>
      </c>
      <c r="D664" t="s">
        <v>984</v>
      </c>
      <c r="E664" s="11">
        <v>6</v>
      </c>
      <c r="F664" t="s">
        <v>852</v>
      </c>
      <c r="H664" s="12">
        <v>53000</v>
      </c>
      <c r="I664" s="9">
        <v>54371</v>
      </c>
      <c r="J664" s="15">
        <v>0.1</v>
      </c>
      <c r="K664" s="12">
        <v>0</v>
      </c>
      <c r="L664" s="12">
        <v>0</v>
      </c>
      <c r="M664" s="9">
        <v>0</v>
      </c>
      <c r="N664" s="12">
        <v>1359.2750000000001</v>
      </c>
      <c r="O664">
        <v>90</v>
      </c>
      <c r="Q664" s="15">
        <f t="shared" si="30"/>
        <v>0.1</v>
      </c>
      <c r="R664" s="9">
        <f t="shared" si="31"/>
        <v>5300</v>
      </c>
      <c r="S664" s="9">
        <f t="shared" si="32"/>
        <v>5300</v>
      </c>
    </row>
    <row r="665" spans="1:19" x14ac:dyDescent="0.25">
      <c r="A665" t="s">
        <v>1192</v>
      </c>
      <c r="B665">
        <v>30019</v>
      </c>
      <c r="C665" s="8">
        <v>45653</v>
      </c>
      <c r="D665" t="s">
        <v>1466</v>
      </c>
      <c r="E665" s="11">
        <v>6</v>
      </c>
      <c r="F665" t="s">
        <v>805</v>
      </c>
      <c r="H665" s="12">
        <v>60000</v>
      </c>
      <c r="I665" s="9">
        <v>0</v>
      </c>
      <c r="J665" s="15">
        <v>0.15</v>
      </c>
      <c r="K665" s="12">
        <v>6890</v>
      </c>
      <c r="L665" s="12">
        <v>5000</v>
      </c>
      <c r="M665" s="9">
        <v>0</v>
      </c>
      <c r="N665" s="12">
        <v>0</v>
      </c>
      <c r="O665">
        <v>0</v>
      </c>
      <c r="P665">
        <v>1</v>
      </c>
      <c r="Q665" s="15">
        <f t="shared" si="30"/>
        <v>0.26483333333333331</v>
      </c>
      <c r="R665" s="9">
        <f t="shared" si="31"/>
        <v>9000</v>
      </c>
      <c r="S665" s="9">
        <f t="shared" si="32"/>
        <v>15889.999999999998</v>
      </c>
    </row>
    <row r="666" spans="1:19" x14ac:dyDescent="0.25">
      <c r="A666" t="s">
        <v>29</v>
      </c>
      <c r="B666">
        <v>30012</v>
      </c>
      <c r="C666" s="8">
        <v>45601</v>
      </c>
      <c r="D666" t="s">
        <v>990</v>
      </c>
      <c r="E666" s="11">
        <v>6</v>
      </c>
      <c r="F666" t="s">
        <v>175</v>
      </c>
      <c r="H666" s="12">
        <v>90000</v>
      </c>
      <c r="I666" s="9">
        <v>102315</v>
      </c>
      <c r="J666" s="15">
        <v>0.1</v>
      </c>
      <c r="K666" s="12">
        <v>0</v>
      </c>
      <c r="L666" s="12">
        <v>0</v>
      </c>
      <c r="M666" s="9">
        <v>0</v>
      </c>
      <c r="N666" s="12">
        <v>2501.0333333333333</v>
      </c>
      <c r="O666">
        <v>88</v>
      </c>
      <c r="Q666" s="15">
        <f t="shared" si="30"/>
        <v>0.1</v>
      </c>
      <c r="R666" s="9">
        <f t="shared" si="31"/>
        <v>9000</v>
      </c>
      <c r="S666" s="9">
        <f t="shared" si="32"/>
        <v>9000</v>
      </c>
    </row>
    <row r="667" spans="1:19" x14ac:dyDescent="0.25">
      <c r="A667" t="s">
        <v>1192</v>
      </c>
      <c r="B667">
        <v>30019</v>
      </c>
      <c r="C667" s="8">
        <v>45575</v>
      </c>
      <c r="D667" t="s">
        <v>1245</v>
      </c>
      <c r="E667" s="11">
        <v>6</v>
      </c>
      <c r="F667" t="s">
        <v>805</v>
      </c>
      <c r="G667" t="s">
        <v>1195</v>
      </c>
      <c r="H667" s="12">
        <v>133000</v>
      </c>
      <c r="I667" s="9">
        <v>0</v>
      </c>
      <c r="J667" s="15">
        <v>0.15</v>
      </c>
      <c r="K667" s="12">
        <v>6890</v>
      </c>
      <c r="L667" s="12">
        <v>5000</v>
      </c>
      <c r="M667" s="9">
        <v>0</v>
      </c>
      <c r="N667" s="12">
        <v>0</v>
      </c>
      <c r="O667">
        <v>0</v>
      </c>
      <c r="P667">
        <v>1</v>
      </c>
      <c r="Q667" s="15">
        <f t="shared" si="30"/>
        <v>0.20180451127819549</v>
      </c>
      <c r="R667" s="9">
        <f t="shared" si="31"/>
        <v>19950</v>
      </c>
      <c r="S667" s="9">
        <f t="shared" si="32"/>
        <v>26840</v>
      </c>
    </row>
    <row r="668" spans="1:19" x14ac:dyDescent="0.25">
      <c r="A668" t="s">
        <v>29</v>
      </c>
      <c r="B668">
        <v>30012</v>
      </c>
      <c r="C668" s="8">
        <v>45602</v>
      </c>
      <c r="D668" t="s">
        <v>985</v>
      </c>
      <c r="E668" s="11">
        <v>6</v>
      </c>
      <c r="F668" t="s">
        <v>805</v>
      </c>
      <c r="H668" s="12">
        <v>150000</v>
      </c>
      <c r="I668" s="9">
        <v>145377</v>
      </c>
      <c r="J668" s="15">
        <v>0.1</v>
      </c>
      <c r="K668" s="12">
        <v>0</v>
      </c>
      <c r="L668" s="12">
        <v>0</v>
      </c>
      <c r="M668" s="9">
        <v>0</v>
      </c>
      <c r="N668" s="12">
        <v>3594.0425</v>
      </c>
      <c r="O668">
        <v>89</v>
      </c>
      <c r="Q668" s="15">
        <f t="shared" si="30"/>
        <v>0.1</v>
      </c>
      <c r="R668" s="9">
        <f t="shared" si="31"/>
        <v>15000</v>
      </c>
      <c r="S668" s="9">
        <f t="shared" si="32"/>
        <v>15000</v>
      </c>
    </row>
    <row r="669" spans="1:19" x14ac:dyDescent="0.25">
      <c r="A669" t="s">
        <v>1192</v>
      </c>
      <c r="B669">
        <v>30019</v>
      </c>
      <c r="C669" s="8">
        <v>45618</v>
      </c>
      <c r="D669" t="s">
        <v>1378</v>
      </c>
      <c r="E669" s="11">
        <v>6</v>
      </c>
      <c r="F669" t="s">
        <v>805</v>
      </c>
      <c r="G669" t="s">
        <v>1194</v>
      </c>
      <c r="H669" s="12">
        <v>110500</v>
      </c>
      <c r="I669" s="9">
        <v>0</v>
      </c>
      <c r="J669" s="15">
        <v>0.15</v>
      </c>
      <c r="K669" s="12">
        <v>6890</v>
      </c>
      <c r="L669" s="12">
        <v>5000</v>
      </c>
      <c r="M669" s="9">
        <v>0</v>
      </c>
      <c r="N669" s="12">
        <v>0</v>
      </c>
      <c r="O669">
        <v>0</v>
      </c>
      <c r="P669">
        <v>1</v>
      </c>
      <c r="Q669" s="15">
        <f t="shared" si="30"/>
        <v>0.21235294117647058</v>
      </c>
      <c r="R669" s="9">
        <f t="shared" si="31"/>
        <v>16575</v>
      </c>
      <c r="S669" s="9">
        <f t="shared" si="32"/>
        <v>23465</v>
      </c>
    </row>
    <row r="670" spans="1:19" x14ac:dyDescent="0.25">
      <c r="A670" t="s">
        <v>29</v>
      </c>
      <c r="B670">
        <v>30012</v>
      </c>
      <c r="C670" s="8">
        <v>45609</v>
      </c>
      <c r="D670" t="s">
        <v>973</v>
      </c>
      <c r="E670" s="11">
        <v>6</v>
      </c>
      <c r="F670" t="s">
        <v>822</v>
      </c>
      <c r="H670" s="12">
        <v>70000</v>
      </c>
      <c r="I670" s="9">
        <v>70848</v>
      </c>
      <c r="J670" s="15">
        <v>0.1</v>
      </c>
      <c r="K670" s="12">
        <v>0</v>
      </c>
      <c r="L670" s="12">
        <v>0</v>
      </c>
      <c r="M670" s="9">
        <v>0</v>
      </c>
      <c r="N670" s="12">
        <v>1653.1200000000001</v>
      </c>
      <c r="O670">
        <v>84</v>
      </c>
      <c r="Q670" s="15">
        <f t="shared" si="30"/>
        <v>0.1</v>
      </c>
      <c r="R670" s="9">
        <f t="shared" si="31"/>
        <v>7000</v>
      </c>
      <c r="S670" s="9">
        <f t="shared" si="32"/>
        <v>7000</v>
      </c>
    </row>
    <row r="671" spans="1:19" x14ac:dyDescent="0.25">
      <c r="A671" t="s">
        <v>1192</v>
      </c>
      <c r="B671">
        <v>30019</v>
      </c>
      <c r="C671" s="8">
        <v>45573</v>
      </c>
      <c r="D671" t="s">
        <v>744</v>
      </c>
      <c r="E671" s="11">
        <v>6</v>
      </c>
      <c r="F671" t="s">
        <v>805</v>
      </c>
      <c r="G671" t="s">
        <v>1194</v>
      </c>
      <c r="H671" s="12">
        <v>78000</v>
      </c>
      <c r="I671" s="9">
        <v>0</v>
      </c>
      <c r="J671" s="15">
        <v>0.15</v>
      </c>
      <c r="K671" s="12">
        <v>6890</v>
      </c>
      <c r="L671" s="12">
        <v>5000</v>
      </c>
      <c r="M671" s="9">
        <v>0</v>
      </c>
      <c r="N671" s="12">
        <v>0</v>
      </c>
      <c r="O671">
        <v>0</v>
      </c>
      <c r="P671">
        <v>1</v>
      </c>
      <c r="Q671" s="15">
        <f t="shared" si="30"/>
        <v>0.23833333333333334</v>
      </c>
      <c r="R671" s="9">
        <f t="shared" si="31"/>
        <v>11700</v>
      </c>
      <c r="S671" s="9">
        <f t="shared" si="32"/>
        <v>18590</v>
      </c>
    </row>
    <row r="672" spans="1:19" x14ac:dyDescent="0.25">
      <c r="A672" t="s">
        <v>29</v>
      </c>
      <c r="B672">
        <v>30012</v>
      </c>
      <c r="C672" s="8">
        <v>45582</v>
      </c>
      <c r="D672" t="s">
        <v>1056</v>
      </c>
      <c r="E672" s="11">
        <v>6</v>
      </c>
      <c r="F672" t="s">
        <v>852</v>
      </c>
      <c r="H672" s="12">
        <v>138000</v>
      </c>
      <c r="I672" s="9">
        <v>139830</v>
      </c>
      <c r="J672" s="15">
        <v>0.1</v>
      </c>
      <c r="K672" s="12">
        <v>0</v>
      </c>
      <c r="L672" s="12">
        <v>0</v>
      </c>
      <c r="M672" s="9">
        <v>0</v>
      </c>
      <c r="N672" s="12">
        <v>1786.7166666666667</v>
      </c>
      <c r="O672">
        <v>46</v>
      </c>
      <c r="Q672" s="15">
        <f t="shared" si="30"/>
        <v>0.1</v>
      </c>
      <c r="R672" s="9">
        <f t="shared" si="31"/>
        <v>13800</v>
      </c>
      <c r="S672" s="9">
        <f t="shared" si="32"/>
        <v>13800</v>
      </c>
    </row>
    <row r="673" spans="1:19" x14ac:dyDescent="0.25">
      <c r="A673" t="s">
        <v>29</v>
      </c>
      <c r="B673">
        <v>30012</v>
      </c>
      <c r="C673" s="8">
        <v>45594</v>
      </c>
      <c r="D673" t="s">
        <v>1028</v>
      </c>
      <c r="E673" s="11">
        <v>6</v>
      </c>
      <c r="F673" t="s">
        <v>852</v>
      </c>
      <c r="H673" s="12">
        <v>160000</v>
      </c>
      <c r="I673" s="9">
        <v>67451</v>
      </c>
      <c r="J673" s="15">
        <v>0.1</v>
      </c>
      <c r="K673" s="12">
        <v>0</v>
      </c>
      <c r="L673" s="12">
        <v>0</v>
      </c>
      <c r="M673" s="9">
        <v>0</v>
      </c>
      <c r="N673" s="12">
        <v>1199.1288888888889</v>
      </c>
      <c r="O673">
        <v>64</v>
      </c>
      <c r="Q673" s="15">
        <f t="shared" si="30"/>
        <v>0.1</v>
      </c>
      <c r="R673" s="9">
        <f t="shared" si="31"/>
        <v>16000</v>
      </c>
      <c r="S673" s="9">
        <f t="shared" si="32"/>
        <v>16000</v>
      </c>
    </row>
    <row r="674" spans="1:19" x14ac:dyDescent="0.25">
      <c r="A674" t="s">
        <v>1192</v>
      </c>
      <c r="B674">
        <v>30019</v>
      </c>
      <c r="C674" s="8">
        <v>45630</v>
      </c>
      <c r="D674" t="s">
        <v>1401</v>
      </c>
      <c r="E674" s="11">
        <v>6</v>
      </c>
      <c r="F674" t="s">
        <v>1196</v>
      </c>
      <c r="G674" t="s">
        <v>1391</v>
      </c>
      <c r="H674" s="12">
        <v>78000</v>
      </c>
      <c r="I674" s="9">
        <v>0</v>
      </c>
      <c r="J674" s="15">
        <v>0.15</v>
      </c>
      <c r="K674" s="12">
        <v>6890</v>
      </c>
      <c r="L674" s="12">
        <v>5000</v>
      </c>
      <c r="M674" s="9">
        <v>0</v>
      </c>
      <c r="N674" s="12">
        <v>0</v>
      </c>
      <c r="O674">
        <v>0</v>
      </c>
      <c r="P674">
        <v>1</v>
      </c>
      <c r="Q674" s="15">
        <f t="shared" si="30"/>
        <v>0.23833333333333334</v>
      </c>
      <c r="R674" s="9">
        <f t="shared" si="31"/>
        <v>11700</v>
      </c>
      <c r="S674" s="9">
        <f t="shared" si="32"/>
        <v>18590</v>
      </c>
    </row>
    <row r="675" spans="1:19" x14ac:dyDescent="0.25">
      <c r="A675" t="s">
        <v>29</v>
      </c>
      <c r="B675">
        <v>30012</v>
      </c>
      <c r="C675" s="8">
        <v>45642</v>
      </c>
      <c r="D675" t="s">
        <v>871</v>
      </c>
      <c r="E675" s="11">
        <v>6</v>
      </c>
      <c r="F675" t="s">
        <v>805</v>
      </c>
      <c r="H675" s="12">
        <v>188000</v>
      </c>
      <c r="I675" s="9">
        <v>186312</v>
      </c>
      <c r="J675" s="15">
        <v>0.1</v>
      </c>
      <c r="K675" s="12">
        <v>0</v>
      </c>
      <c r="L675" s="12">
        <v>0</v>
      </c>
      <c r="M675" s="9">
        <v>0</v>
      </c>
      <c r="N675" s="12">
        <v>672.79333333333329</v>
      </c>
      <c r="O675">
        <v>13</v>
      </c>
      <c r="Q675" s="15">
        <f t="shared" si="30"/>
        <v>0.1</v>
      </c>
      <c r="R675" s="9">
        <f t="shared" si="31"/>
        <v>18800</v>
      </c>
      <c r="S675" s="9">
        <f t="shared" si="32"/>
        <v>18800</v>
      </c>
    </row>
    <row r="676" spans="1:19" x14ac:dyDescent="0.25">
      <c r="A676" t="s">
        <v>29</v>
      </c>
      <c r="B676">
        <v>30012</v>
      </c>
      <c r="C676" s="8">
        <v>45644</v>
      </c>
      <c r="D676" t="s">
        <v>865</v>
      </c>
      <c r="E676" s="11">
        <v>6</v>
      </c>
      <c r="F676" t="s">
        <v>805</v>
      </c>
      <c r="H676" s="12">
        <v>300000</v>
      </c>
      <c r="I676" s="9">
        <v>1147492</v>
      </c>
      <c r="J676" s="15">
        <v>0.1</v>
      </c>
      <c r="K676" s="12">
        <v>0</v>
      </c>
      <c r="L676" s="12">
        <v>0</v>
      </c>
      <c r="M676" s="9">
        <v>0</v>
      </c>
      <c r="N676" s="12">
        <v>25499.822222222221</v>
      </c>
      <c r="O676">
        <v>80</v>
      </c>
      <c r="Q676" s="15">
        <f t="shared" si="30"/>
        <v>0.1</v>
      </c>
      <c r="R676" s="9">
        <f t="shared" si="31"/>
        <v>30000</v>
      </c>
      <c r="S676" s="9">
        <f t="shared" si="32"/>
        <v>30000</v>
      </c>
    </row>
    <row r="677" spans="1:19" x14ac:dyDescent="0.25">
      <c r="A677" t="s">
        <v>1192</v>
      </c>
      <c r="B677">
        <v>30019</v>
      </c>
      <c r="C677" s="8">
        <v>45657</v>
      </c>
      <c r="D677" t="s">
        <v>1475</v>
      </c>
      <c r="E677" s="11">
        <v>6</v>
      </c>
      <c r="F677" t="s">
        <v>805</v>
      </c>
      <c r="G677" t="s">
        <v>1195</v>
      </c>
      <c r="H677" s="12">
        <v>110000</v>
      </c>
      <c r="I677" s="9">
        <v>0</v>
      </c>
      <c r="J677" s="15">
        <v>0.15</v>
      </c>
      <c r="K677" s="12">
        <v>6890</v>
      </c>
      <c r="L677" s="12">
        <v>5000</v>
      </c>
      <c r="M677" s="9">
        <v>0</v>
      </c>
      <c r="N677" s="12">
        <v>0</v>
      </c>
      <c r="O677">
        <v>0</v>
      </c>
      <c r="P677">
        <v>1</v>
      </c>
      <c r="Q677" s="15">
        <f t="shared" si="30"/>
        <v>0.21263636363636362</v>
      </c>
      <c r="R677" s="9">
        <f t="shared" si="31"/>
        <v>16500</v>
      </c>
      <c r="S677" s="9">
        <f t="shared" si="32"/>
        <v>23390</v>
      </c>
    </row>
    <row r="678" spans="1:19" x14ac:dyDescent="0.25">
      <c r="A678" t="s">
        <v>29</v>
      </c>
      <c r="B678">
        <v>30012</v>
      </c>
      <c r="C678" s="8">
        <v>45632</v>
      </c>
      <c r="D678" t="s">
        <v>895</v>
      </c>
      <c r="E678" s="11">
        <v>6</v>
      </c>
      <c r="F678" t="s">
        <v>805</v>
      </c>
      <c r="H678" s="12">
        <v>210000</v>
      </c>
      <c r="I678" s="9">
        <v>239377</v>
      </c>
      <c r="J678" s="15">
        <v>0.1</v>
      </c>
      <c r="K678" s="12">
        <v>0</v>
      </c>
      <c r="L678" s="12">
        <v>0</v>
      </c>
      <c r="M678" s="9">
        <v>0</v>
      </c>
      <c r="N678" s="12">
        <v>5252.995277777778</v>
      </c>
      <c r="O678">
        <v>79</v>
      </c>
      <c r="Q678" s="15">
        <f t="shared" si="30"/>
        <v>0.1</v>
      </c>
      <c r="R678" s="9">
        <f t="shared" si="31"/>
        <v>21000</v>
      </c>
      <c r="S678" s="9">
        <f t="shared" si="32"/>
        <v>21000</v>
      </c>
    </row>
    <row r="679" spans="1:19" x14ac:dyDescent="0.25">
      <c r="A679" t="s">
        <v>29</v>
      </c>
      <c r="B679">
        <v>30012</v>
      </c>
      <c r="C679" s="8">
        <v>45622</v>
      </c>
      <c r="D679" t="s">
        <v>940</v>
      </c>
      <c r="E679" s="11">
        <v>6</v>
      </c>
      <c r="F679" t="s">
        <v>805</v>
      </c>
      <c r="H679" s="12">
        <v>50000</v>
      </c>
      <c r="I679" s="9">
        <v>7797</v>
      </c>
      <c r="J679" s="15">
        <v>0.1</v>
      </c>
      <c r="K679" s="12">
        <v>0</v>
      </c>
      <c r="L679" s="12">
        <v>0</v>
      </c>
      <c r="M679" s="9">
        <v>0</v>
      </c>
      <c r="N679" s="12">
        <v>10.829166666666667</v>
      </c>
      <c r="O679">
        <v>5</v>
      </c>
      <c r="Q679" s="15">
        <f t="shared" si="30"/>
        <v>0.1</v>
      </c>
      <c r="R679" s="9">
        <f t="shared" si="31"/>
        <v>5000</v>
      </c>
      <c r="S679" s="9">
        <f t="shared" si="32"/>
        <v>5000</v>
      </c>
    </row>
    <row r="680" spans="1:19" x14ac:dyDescent="0.25">
      <c r="A680" t="s">
        <v>29</v>
      </c>
      <c r="B680">
        <v>30012</v>
      </c>
      <c r="C680" s="8">
        <v>45601</v>
      </c>
      <c r="D680" t="s">
        <v>989</v>
      </c>
      <c r="E680" s="11">
        <v>6</v>
      </c>
      <c r="F680" t="s">
        <v>780</v>
      </c>
      <c r="H680" s="12">
        <v>75000</v>
      </c>
      <c r="I680" s="9">
        <v>70979</v>
      </c>
      <c r="J680" s="15">
        <v>0.1</v>
      </c>
      <c r="K680" s="12">
        <v>0</v>
      </c>
      <c r="L680" s="12">
        <v>0</v>
      </c>
      <c r="M680" s="9">
        <v>0</v>
      </c>
      <c r="N680" s="12">
        <v>1695.6094444444445</v>
      </c>
      <c r="O680">
        <v>86</v>
      </c>
      <c r="Q680" s="15">
        <f t="shared" si="30"/>
        <v>0.1</v>
      </c>
      <c r="R680" s="9">
        <f t="shared" si="31"/>
        <v>7500</v>
      </c>
      <c r="S680" s="9">
        <f t="shared" si="32"/>
        <v>7500</v>
      </c>
    </row>
  </sheetData>
  <autoFilter ref="A1:S680"/>
  <pageMargins left="0.7" right="0.7" top="0.75" bottom="0.75" header="0.3" footer="0.3"/>
  <pageSetup paperSize="9" scale="3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opLeftCell="A47" zoomScale="110" zoomScaleNormal="110" workbookViewId="0"/>
  </sheetViews>
  <sheetFormatPr baseColWidth="10" defaultColWidth="34" defaultRowHeight="15" x14ac:dyDescent="0.25"/>
  <cols>
    <col min="1" max="1" width="16.140625" customWidth="1"/>
    <col min="2" max="2" width="12.7109375" customWidth="1"/>
    <col min="3" max="3" width="13.85546875" customWidth="1"/>
    <col min="4" max="4" width="15.42578125" customWidth="1"/>
    <col min="5" max="5" width="11.140625" style="14" customWidth="1"/>
    <col min="6" max="6" width="49.28515625" customWidth="1"/>
    <col min="7" max="7" width="10.5703125" style="11" customWidth="1"/>
    <col min="8" max="8" width="13.28515625" customWidth="1"/>
    <col min="9" max="9" width="34.85546875" customWidth="1"/>
    <col min="10" max="10" width="14.28515625" customWidth="1"/>
    <col min="11" max="11" width="13.5703125" customWidth="1"/>
    <col min="12" max="12" width="12.5703125" customWidth="1"/>
    <col min="13" max="13" width="10.5703125" customWidth="1"/>
    <col min="14" max="14" width="8.28515625" customWidth="1"/>
    <col min="15" max="15" width="13.7109375" customWidth="1"/>
    <col min="16" max="16" width="15.7109375" customWidth="1"/>
  </cols>
  <sheetData>
    <row r="1" spans="1:16" x14ac:dyDescent="0.25">
      <c r="A1" s="7" t="s">
        <v>1636</v>
      </c>
      <c r="B1" s="7" t="s">
        <v>1635</v>
      </c>
      <c r="C1" s="7" t="s">
        <v>1634</v>
      </c>
      <c r="D1" s="7" t="s">
        <v>1633</v>
      </c>
      <c r="E1" s="7" t="s">
        <v>1632</v>
      </c>
      <c r="F1" s="7" t="s">
        <v>1631</v>
      </c>
      <c r="G1" s="7" t="s">
        <v>1630</v>
      </c>
      <c r="H1" s="7" t="s">
        <v>1629</v>
      </c>
      <c r="I1" s="7" t="s">
        <v>1628</v>
      </c>
      <c r="J1" s="7" t="s">
        <v>1627</v>
      </c>
      <c r="K1" s="7" t="s">
        <v>1626</v>
      </c>
      <c r="L1" s="7" t="s">
        <v>1625</v>
      </c>
      <c r="M1" s="7" t="s">
        <v>1624</v>
      </c>
      <c r="N1" s="7" t="s">
        <v>1623</v>
      </c>
      <c r="O1" s="7" t="s">
        <v>1637</v>
      </c>
      <c r="P1" s="7" t="s">
        <v>1638</v>
      </c>
    </row>
    <row r="2" spans="1:16" x14ac:dyDescent="0.25">
      <c r="A2" t="s">
        <v>29</v>
      </c>
      <c r="B2">
        <v>30012</v>
      </c>
      <c r="C2" s="8">
        <v>45645</v>
      </c>
      <c r="D2" s="8">
        <v>46008</v>
      </c>
      <c r="E2" s="14">
        <v>364</v>
      </c>
      <c r="F2" t="s">
        <v>1561</v>
      </c>
      <c r="G2" s="11" t="s">
        <v>201</v>
      </c>
      <c r="H2" s="25" t="s">
        <v>31</v>
      </c>
      <c r="I2" t="s">
        <v>1560</v>
      </c>
      <c r="J2" s="9">
        <v>60954262</v>
      </c>
      <c r="K2" s="15">
        <v>0.04</v>
      </c>
      <c r="L2" s="9">
        <v>100000</v>
      </c>
      <c r="M2" s="9">
        <v>0</v>
      </c>
      <c r="N2" s="15">
        <v>4.0065730811097502E-2</v>
      </c>
      <c r="O2" s="9">
        <f t="shared" ref="O2:O33" si="0">K2*J2</f>
        <v>2438170.48</v>
      </c>
      <c r="P2" s="9">
        <f t="shared" ref="P2:P33" si="1">N2*J2</f>
        <v>2442177.0530811097</v>
      </c>
    </row>
    <row r="3" spans="1:16" x14ac:dyDescent="0.25">
      <c r="A3" t="s">
        <v>29</v>
      </c>
      <c r="B3">
        <v>30012</v>
      </c>
      <c r="C3" s="8">
        <v>45645</v>
      </c>
      <c r="D3" s="8">
        <v>46008</v>
      </c>
      <c r="E3" s="14">
        <v>364</v>
      </c>
      <c r="F3" t="s">
        <v>1561</v>
      </c>
      <c r="G3" s="11" t="s">
        <v>201</v>
      </c>
      <c r="H3" s="25" t="s">
        <v>31</v>
      </c>
      <c r="I3" t="s">
        <v>1560</v>
      </c>
      <c r="J3" s="9">
        <v>62907505</v>
      </c>
      <c r="K3" s="15">
        <v>0.04</v>
      </c>
      <c r="L3" s="9">
        <v>100000</v>
      </c>
      <c r="M3" s="9">
        <v>0</v>
      </c>
      <c r="N3" s="15">
        <v>4.0063686656554826E-2</v>
      </c>
      <c r="O3" s="9">
        <f t="shared" si="0"/>
        <v>2516300.2000000002</v>
      </c>
      <c r="P3" s="9">
        <f t="shared" si="1"/>
        <v>2520306.5686656558</v>
      </c>
    </row>
    <row r="4" spans="1:16" x14ac:dyDescent="0.25">
      <c r="A4" t="s">
        <v>29</v>
      </c>
      <c r="B4">
        <v>30012</v>
      </c>
      <c r="C4" s="8">
        <v>45637</v>
      </c>
      <c r="D4" s="8">
        <v>46001</v>
      </c>
      <c r="E4" s="14">
        <v>365</v>
      </c>
      <c r="F4" t="s">
        <v>1572</v>
      </c>
      <c r="G4" s="11" t="s">
        <v>205</v>
      </c>
      <c r="H4" t="s">
        <v>1515</v>
      </c>
      <c r="I4" t="s">
        <v>609</v>
      </c>
      <c r="J4" s="9">
        <v>124380034</v>
      </c>
      <c r="K4" s="15">
        <v>0.04</v>
      </c>
      <c r="L4" s="9">
        <v>100000</v>
      </c>
      <c r="M4" s="9">
        <v>0</v>
      </c>
      <c r="N4" s="15">
        <v>4.0032185379028785E-2</v>
      </c>
      <c r="O4" s="9">
        <f t="shared" si="0"/>
        <v>4975201.3600000003</v>
      </c>
      <c r="P4" s="9">
        <f t="shared" si="1"/>
        <v>4979204.5785379028</v>
      </c>
    </row>
    <row r="5" spans="1:16" x14ac:dyDescent="0.25">
      <c r="A5" t="s">
        <v>29</v>
      </c>
      <c r="B5">
        <v>30012</v>
      </c>
      <c r="C5" s="8">
        <v>45589</v>
      </c>
      <c r="D5" s="8">
        <v>45953</v>
      </c>
      <c r="E5" s="14">
        <v>365</v>
      </c>
      <c r="F5" t="s">
        <v>1571</v>
      </c>
      <c r="G5" s="11" t="s">
        <v>201</v>
      </c>
      <c r="H5" s="25" t="s">
        <v>31</v>
      </c>
      <c r="I5" t="s">
        <v>202</v>
      </c>
      <c r="J5" s="9">
        <v>30000000</v>
      </c>
      <c r="K5" s="15">
        <v>0.04</v>
      </c>
      <c r="L5" s="9">
        <v>100000</v>
      </c>
      <c r="M5" s="9">
        <v>0</v>
      </c>
      <c r="N5" s="15">
        <v>4.0133779264214055E-2</v>
      </c>
      <c r="O5" s="9">
        <f t="shared" si="0"/>
        <v>1200000</v>
      </c>
      <c r="P5" s="9">
        <f t="shared" si="1"/>
        <v>1204013.3779264216</v>
      </c>
    </row>
    <row r="6" spans="1:16" x14ac:dyDescent="0.25">
      <c r="A6" t="s">
        <v>29</v>
      </c>
      <c r="B6">
        <v>30012</v>
      </c>
      <c r="C6" s="8">
        <v>45579</v>
      </c>
      <c r="D6" s="8">
        <v>45861</v>
      </c>
      <c r="E6" s="14">
        <v>283</v>
      </c>
      <c r="F6" t="s">
        <v>1570</v>
      </c>
      <c r="G6" s="11" t="s">
        <v>201</v>
      </c>
      <c r="H6" s="25" t="s">
        <v>31</v>
      </c>
      <c r="I6" t="s">
        <v>609</v>
      </c>
      <c r="J6" s="9">
        <v>80000000</v>
      </c>
      <c r="K6" s="15">
        <v>0.03</v>
      </c>
      <c r="L6" s="9">
        <v>100000</v>
      </c>
      <c r="M6" s="9">
        <v>0</v>
      </c>
      <c r="N6" s="15">
        <v>3.003754693366709E-2</v>
      </c>
      <c r="O6" s="9">
        <f t="shared" si="0"/>
        <v>2400000</v>
      </c>
      <c r="P6" s="9">
        <f t="shared" si="1"/>
        <v>2403003.7546933671</v>
      </c>
    </row>
    <row r="7" spans="1:16" x14ac:dyDescent="0.25">
      <c r="A7" t="s">
        <v>29</v>
      </c>
      <c r="B7">
        <v>30012</v>
      </c>
      <c r="C7" s="8">
        <v>45645</v>
      </c>
      <c r="D7" s="8">
        <v>45733</v>
      </c>
      <c r="E7" s="14">
        <v>89</v>
      </c>
      <c r="F7" t="s">
        <v>1569</v>
      </c>
      <c r="G7" s="11" t="s">
        <v>205</v>
      </c>
      <c r="H7" s="25" t="s">
        <v>31</v>
      </c>
      <c r="I7" t="s">
        <v>1560</v>
      </c>
      <c r="J7" s="9">
        <v>12549125</v>
      </c>
      <c r="K7" s="15">
        <v>0.04</v>
      </c>
      <c r="L7" s="9">
        <v>100000</v>
      </c>
      <c r="M7" s="9">
        <v>0</v>
      </c>
      <c r="N7" s="15">
        <v>4.032130772243029E-2</v>
      </c>
      <c r="O7" s="9">
        <f t="shared" si="0"/>
        <v>501965</v>
      </c>
      <c r="P7" s="9">
        <f t="shared" si="1"/>
        <v>505997.13077224302</v>
      </c>
    </row>
    <row r="8" spans="1:16" x14ac:dyDescent="0.25">
      <c r="A8" t="s">
        <v>29</v>
      </c>
      <c r="B8">
        <v>30012</v>
      </c>
      <c r="C8" s="8">
        <v>45614</v>
      </c>
      <c r="D8" s="8">
        <v>45705</v>
      </c>
      <c r="E8" s="14">
        <v>92</v>
      </c>
      <c r="F8" t="s">
        <v>1568</v>
      </c>
      <c r="G8" s="11" t="s">
        <v>205</v>
      </c>
      <c r="H8" s="25" t="s">
        <v>31</v>
      </c>
      <c r="I8" t="s">
        <v>1560</v>
      </c>
      <c r="J8" s="9">
        <v>1000000</v>
      </c>
      <c r="K8" s="15">
        <v>0.03</v>
      </c>
      <c r="L8" s="9">
        <v>75000</v>
      </c>
      <c r="M8" s="9">
        <v>0</v>
      </c>
      <c r="N8" s="15">
        <v>3.2432432432432434E-2</v>
      </c>
      <c r="O8" s="9">
        <f t="shared" si="0"/>
        <v>30000</v>
      </c>
      <c r="P8" s="9">
        <f t="shared" si="1"/>
        <v>32432.432432432433</v>
      </c>
    </row>
    <row r="9" spans="1:16" x14ac:dyDescent="0.25">
      <c r="A9" t="s">
        <v>29</v>
      </c>
      <c r="B9">
        <v>30012</v>
      </c>
      <c r="C9" s="8">
        <v>45610</v>
      </c>
      <c r="D9" s="8">
        <v>45701</v>
      </c>
      <c r="E9" s="14">
        <v>92</v>
      </c>
      <c r="F9" t="s">
        <v>849</v>
      </c>
      <c r="G9" s="11" t="s">
        <v>205</v>
      </c>
      <c r="H9" s="25" t="s">
        <v>31</v>
      </c>
      <c r="I9" t="s">
        <v>660</v>
      </c>
      <c r="J9" s="9">
        <v>57000000</v>
      </c>
      <c r="K9" s="15">
        <v>0.04</v>
      </c>
      <c r="L9" s="9">
        <v>100000</v>
      </c>
      <c r="M9" s="9">
        <v>0</v>
      </c>
      <c r="N9" s="15">
        <v>4.0070298769771522E-2</v>
      </c>
      <c r="O9" s="9">
        <f t="shared" si="0"/>
        <v>2280000</v>
      </c>
      <c r="P9" s="9">
        <f t="shared" si="1"/>
        <v>2284007.0298769767</v>
      </c>
    </row>
    <row r="10" spans="1:16" x14ac:dyDescent="0.25">
      <c r="A10" t="s">
        <v>29</v>
      </c>
      <c r="B10">
        <v>30012</v>
      </c>
      <c r="C10" s="8">
        <v>45610</v>
      </c>
      <c r="D10" s="8">
        <v>45701</v>
      </c>
      <c r="E10" s="14">
        <v>92</v>
      </c>
      <c r="F10" t="s">
        <v>1567</v>
      </c>
      <c r="G10" s="11" t="s">
        <v>205</v>
      </c>
      <c r="H10" s="25" t="s">
        <v>31</v>
      </c>
      <c r="I10" t="s">
        <v>1560</v>
      </c>
      <c r="J10" s="9">
        <v>3188639</v>
      </c>
      <c r="K10" s="15">
        <v>0.03</v>
      </c>
      <c r="L10" s="9">
        <v>100000</v>
      </c>
      <c r="M10" s="9">
        <v>0</v>
      </c>
      <c r="N10" s="15">
        <v>3.0971301599183328E-2</v>
      </c>
      <c r="O10" s="9">
        <f t="shared" si="0"/>
        <v>95659.17</v>
      </c>
      <c r="P10" s="9">
        <f t="shared" si="1"/>
        <v>98756.300159918334</v>
      </c>
    </row>
    <row r="11" spans="1:16" x14ac:dyDescent="0.25">
      <c r="A11" t="s">
        <v>29</v>
      </c>
      <c r="B11">
        <v>30012</v>
      </c>
      <c r="C11" s="8">
        <v>45609</v>
      </c>
      <c r="D11" s="8">
        <v>45699</v>
      </c>
      <c r="E11" s="14">
        <v>91</v>
      </c>
      <c r="F11" t="s">
        <v>1566</v>
      </c>
      <c r="G11" s="11" t="s">
        <v>201</v>
      </c>
      <c r="H11" s="25" t="s">
        <v>31</v>
      </c>
      <c r="I11" t="s">
        <v>1565</v>
      </c>
      <c r="J11" s="9">
        <v>4605551</v>
      </c>
      <c r="K11" s="15">
        <v>0.04</v>
      </c>
      <c r="L11" s="9">
        <v>100000</v>
      </c>
      <c r="M11" s="9">
        <v>0</v>
      </c>
      <c r="N11" s="15">
        <v>4.0887793745981345E-2</v>
      </c>
      <c r="O11" s="9">
        <f t="shared" si="0"/>
        <v>184222.04</v>
      </c>
      <c r="P11" s="9">
        <f t="shared" si="1"/>
        <v>188310.81937459813</v>
      </c>
    </row>
    <row r="12" spans="1:16" x14ac:dyDescent="0.25">
      <c r="A12" t="s">
        <v>29</v>
      </c>
      <c r="B12">
        <v>30012</v>
      </c>
      <c r="C12" s="8">
        <v>45600</v>
      </c>
      <c r="D12" s="8">
        <v>45687</v>
      </c>
      <c r="E12" s="14">
        <v>88</v>
      </c>
      <c r="F12" t="s">
        <v>1564</v>
      </c>
      <c r="G12" s="11" t="s">
        <v>205</v>
      </c>
      <c r="H12" s="25" t="s">
        <v>31</v>
      </c>
      <c r="I12" t="s">
        <v>609</v>
      </c>
      <c r="J12" s="9">
        <v>255000</v>
      </c>
      <c r="K12" s="15">
        <v>0.03</v>
      </c>
      <c r="L12" s="9">
        <v>100000</v>
      </c>
      <c r="M12" s="9">
        <v>0</v>
      </c>
      <c r="N12" s="15">
        <v>4.9354838709677412E-2</v>
      </c>
      <c r="O12" s="9">
        <f t="shared" si="0"/>
        <v>7650</v>
      </c>
      <c r="P12" s="9">
        <f t="shared" si="1"/>
        <v>12585.483870967741</v>
      </c>
    </row>
    <row r="13" spans="1:16" x14ac:dyDescent="0.25">
      <c r="A13" t="s">
        <v>29</v>
      </c>
      <c r="B13">
        <v>30012</v>
      </c>
      <c r="C13" s="8">
        <v>45596</v>
      </c>
      <c r="D13" s="8">
        <v>45687</v>
      </c>
      <c r="E13" s="14">
        <v>92</v>
      </c>
      <c r="F13" t="s">
        <v>1564</v>
      </c>
      <c r="G13" s="11" t="s">
        <v>205</v>
      </c>
      <c r="H13" s="25" t="s">
        <v>31</v>
      </c>
      <c r="I13" t="s">
        <v>609</v>
      </c>
      <c r="J13" s="9">
        <v>867000</v>
      </c>
      <c r="K13" s="15">
        <v>0.03</v>
      </c>
      <c r="L13" s="9">
        <v>100000</v>
      </c>
      <c r="M13" s="9">
        <v>0</v>
      </c>
      <c r="N13" s="15">
        <v>3.3911342894393737E-2</v>
      </c>
      <c r="O13" s="9">
        <f t="shared" si="0"/>
        <v>26010</v>
      </c>
      <c r="P13" s="9">
        <f t="shared" si="1"/>
        <v>29401.134289439371</v>
      </c>
    </row>
    <row r="14" spans="1:16" x14ac:dyDescent="0.25">
      <c r="A14" t="s">
        <v>29</v>
      </c>
      <c r="B14">
        <v>30012</v>
      </c>
      <c r="C14" s="8">
        <v>45596</v>
      </c>
      <c r="D14" s="8">
        <v>45687</v>
      </c>
      <c r="E14" s="14">
        <v>92</v>
      </c>
      <c r="F14" t="s">
        <v>659</v>
      </c>
      <c r="G14" s="11" t="s">
        <v>205</v>
      </c>
      <c r="H14" s="25" t="s">
        <v>31</v>
      </c>
      <c r="I14" t="s">
        <v>202</v>
      </c>
      <c r="J14" s="9">
        <v>4500000</v>
      </c>
      <c r="K14" s="15">
        <v>0.03</v>
      </c>
      <c r="L14" s="9">
        <v>100000</v>
      </c>
      <c r="M14" s="9">
        <v>0</v>
      </c>
      <c r="N14" s="15">
        <v>3.0681818181818182E-2</v>
      </c>
      <c r="O14" s="9">
        <f t="shared" si="0"/>
        <v>135000</v>
      </c>
      <c r="P14" s="9">
        <f t="shared" si="1"/>
        <v>138068.18181818182</v>
      </c>
    </row>
    <row r="15" spans="1:16" x14ac:dyDescent="0.25">
      <c r="A15" t="s">
        <v>29</v>
      </c>
      <c r="B15">
        <v>30012</v>
      </c>
      <c r="C15" s="8">
        <v>45586</v>
      </c>
      <c r="D15" s="8">
        <v>45677</v>
      </c>
      <c r="E15" s="14">
        <v>92</v>
      </c>
      <c r="F15" t="s">
        <v>1563</v>
      </c>
      <c r="G15" s="11" t="s">
        <v>205</v>
      </c>
      <c r="H15" s="25" t="s">
        <v>31</v>
      </c>
      <c r="I15" t="s">
        <v>1560</v>
      </c>
      <c r="J15" s="9">
        <v>2000000</v>
      </c>
      <c r="K15" s="15">
        <v>0.04</v>
      </c>
      <c r="L15" s="9">
        <v>100000</v>
      </c>
      <c r="M15" s="9">
        <v>0</v>
      </c>
      <c r="N15" s="15">
        <v>4.2105263157894736E-2</v>
      </c>
      <c r="O15" s="9">
        <f t="shared" si="0"/>
        <v>80000</v>
      </c>
      <c r="P15" s="9">
        <f t="shared" si="1"/>
        <v>84210.526315789466</v>
      </c>
    </row>
    <row r="16" spans="1:16" x14ac:dyDescent="0.25">
      <c r="A16" t="s">
        <v>29</v>
      </c>
      <c r="B16">
        <v>30012</v>
      </c>
      <c r="C16" s="8">
        <v>45580</v>
      </c>
      <c r="D16" s="8">
        <v>45670</v>
      </c>
      <c r="E16" s="14">
        <v>91</v>
      </c>
      <c r="F16" t="s">
        <v>1561</v>
      </c>
      <c r="G16" s="11" t="s">
        <v>201</v>
      </c>
      <c r="H16" s="25" t="s">
        <v>31</v>
      </c>
      <c r="I16" t="s">
        <v>1560</v>
      </c>
      <c r="J16" s="9">
        <v>18000000</v>
      </c>
      <c r="K16" s="15">
        <v>0.03</v>
      </c>
      <c r="L16" s="9">
        <v>100000</v>
      </c>
      <c r="M16" s="9">
        <v>0</v>
      </c>
      <c r="N16" s="15">
        <v>3.0167597765363128E-2</v>
      </c>
      <c r="O16" s="9">
        <f t="shared" si="0"/>
        <v>540000</v>
      </c>
      <c r="P16" s="9">
        <f t="shared" si="1"/>
        <v>543016.75977653626</v>
      </c>
    </row>
    <row r="17" spans="1:16" x14ac:dyDescent="0.25">
      <c r="A17" t="s">
        <v>29</v>
      </c>
      <c r="B17">
        <v>30012</v>
      </c>
      <c r="C17" s="8">
        <v>45591</v>
      </c>
      <c r="D17" s="8">
        <v>45651</v>
      </c>
      <c r="E17" s="14">
        <v>61</v>
      </c>
      <c r="F17" t="s">
        <v>1563</v>
      </c>
      <c r="G17" s="11" t="s">
        <v>205</v>
      </c>
      <c r="H17" s="25" t="s">
        <v>31</v>
      </c>
      <c r="I17" t="s">
        <v>1560</v>
      </c>
      <c r="J17" s="9">
        <v>11500000</v>
      </c>
      <c r="K17" s="15">
        <v>0.03</v>
      </c>
      <c r="L17" s="9">
        <v>100000</v>
      </c>
      <c r="M17" s="9">
        <v>0</v>
      </c>
      <c r="N17" s="15">
        <v>3.0263157894736843E-2</v>
      </c>
      <c r="O17" s="9">
        <f t="shared" si="0"/>
        <v>345000</v>
      </c>
      <c r="P17" s="9">
        <f t="shared" si="1"/>
        <v>348026.31578947371</v>
      </c>
    </row>
    <row r="18" spans="1:16" x14ac:dyDescent="0.25">
      <c r="A18" t="s">
        <v>29</v>
      </c>
      <c r="B18">
        <v>30012</v>
      </c>
      <c r="C18" s="8">
        <v>45590</v>
      </c>
      <c r="D18" s="8">
        <v>45649</v>
      </c>
      <c r="E18" s="14">
        <v>60</v>
      </c>
      <c r="F18" t="s">
        <v>1562</v>
      </c>
      <c r="G18" s="11" t="s">
        <v>205</v>
      </c>
      <c r="H18" s="25" t="s">
        <v>31</v>
      </c>
      <c r="I18" t="s">
        <v>202</v>
      </c>
      <c r="J18" s="9">
        <v>2000000</v>
      </c>
      <c r="K18" s="15">
        <v>0.04</v>
      </c>
      <c r="L18" s="9">
        <v>100000</v>
      </c>
      <c r="M18" s="9">
        <v>0</v>
      </c>
      <c r="N18" s="15">
        <v>4.2105263157894736E-2</v>
      </c>
      <c r="O18" s="9">
        <f t="shared" si="0"/>
        <v>80000</v>
      </c>
      <c r="P18" s="9">
        <f t="shared" si="1"/>
        <v>84210.526315789466</v>
      </c>
    </row>
    <row r="19" spans="1:16" x14ac:dyDescent="0.25">
      <c r="A19" t="s">
        <v>29</v>
      </c>
      <c r="B19">
        <v>30012</v>
      </c>
      <c r="C19" s="8">
        <v>45587</v>
      </c>
      <c r="D19" s="8">
        <v>45616</v>
      </c>
      <c r="E19" s="14">
        <v>30</v>
      </c>
      <c r="F19" t="s">
        <v>1561</v>
      </c>
      <c r="G19" s="11" t="s">
        <v>201</v>
      </c>
      <c r="H19" s="25" t="s">
        <v>31</v>
      </c>
      <c r="I19" t="s">
        <v>1560</v>
      </c>
      <c r="J19" s="9">
        <v>3500000</v>
      </c>
      <c r="K19" s="15">
        <v>0.03</v>
      </c>
      <c r="L19" s="9">
        <v>100000</v>
      </c>
      <c r="M19" s="9">
        <v>0</v>
      </c>
      <c r="N19" s="15">
        <v>3.0882352941176472E-2</v>
      </c>
      <c r="O19" s="9">
        <f t="shared" si="0"/>
        <v>105000</v>
      </c>
      <c r="P19" s="9">
        <f t="shared" si="1"/>
        <v>108088.23529411765</v>
      </c>
    </row>
    <row r="20" spans="1:16" x14ac:dyDescent="0.25">
      <c r="A20" t="s">
        <v>670</v>
      </c>
      <c r="B20">
        <v>30018</v>
      </c>
      <c r="C20" s="8">
        <v>45638</v>
      </c>
      <c r="D20" s="8">
        <v>45728</v>
      </c>
      <c r="E20" s="14">
        <v>90</v>
      </c>
      <c r="F20" t="s">
        <v>1559</v>
      </c>
      <c r="G20" s="11" t="s">
        <v>201</v>
      </c>
      <c r="H20" t="s">
        <v>1515</v>
      </c>
      <c r="I20" t="s">
        <v>1558</v>
      </c>
      <c r="J20" s="9">
        <v>285650251</v>
      </c>
      <c r="K20" s="15">
        <v>2.5000000000000001E-2</v>
      </c>
      <c r="L20" s="9">
        <v>1785314</v>
      </c>
      <c r="M20" s="9">
        <v>0</v>
      </c>
      <c r="N20" s="15">
        <v>2.515723269830962E-2</v>
      </c>
      <c r="O20" s="9">
        <f t="shared" si="0"/>
        <v>7141256.2750000004</v>
      </c>
      <c r="P20" s="9">
        <f t="shared" si="1"/>
        <v>7186169.8347375505</v>
      </c>
    </row>
    <row r="21" spans="1:16" x14ac:dyDescent="0.25">
      <c r="A21" t="s">
        <v>670</v>
      </c>
      <c r="B21">
        <v>30018</v>
      </c>
      <c r="C21" s="8">
        <v>45638</v>
      </c>
      <c r="D21" s="8">
        <v>45754</v>
      </c>
      <c r="E21" s="14">
        <v>116</v>
      </c>
      <c r="F21" t="s">
        <v>1559</v>
      </c>
      <c r="G21" s="11" t="s">
        <v>201</v>
      </c>
      <c r="H21" t="s">
        <v>1515</v>
      </c>
      <c r="I21" t="s">
        <v>1558</v>
      </c>
      <c r="J21" s="9">
        <v>160721928</v>
      </c>
      <c r="K21" s="15">
        <v>2.5000000000000001E-2</v>
      </c>
      <c r="L21" s="9">
        <v>1004512</v>
      </c>
      <c r="M21" s="9">
        <v>0</v>
      </c>
      <c r="N21" s="15">
        <v>2.5157232696526973E-2</v>
      </c>
      <c r="O21" s="9">
        <f t="shared" si="0"/>
        <v>4018048.2</v>
      </c>
      <c r="P21" s="9">
        <f t="shared" si="1"/>
        <v>4043318.9421304539</v>
      </c>
    </row>
    <row r="22" spans="1:16" x14ac:dyDescent="0.25">
      <c r="A22" t="s">
        <v>670</v>
      </c>
      <c r="B22">
        <v>30018</v>
      </c>
      <c r="C22" s="8">
        <v>45638</v>
      </c>
      <c r="D22" s="8">
        <v>45777</v>
      </c>
      <c r="E22" s="14">
        <v>139</v>
      </c>
      <c r="F22" t="s">
        <v>1559</v>
      </c>
      <c r="G22" s="11" t="s">
        <v>201</v>
      </c>
      <c r="H22" t="s">
        <v>1515</v>
      </c>
      <c r="I22" t="s">
        <v>1558</v>
      </c>
      <c r="J22" s="9">
        <v>259440833</v>
      </c>
      <c r="K22" s="15">
        <v>2.5000000000000001E-2</v>
      </c>
      <c r="L22" s="9">
        <v>1621505</v>
      </c>
      <c r="M22" s="9">
        <v>0</v>
      </c>
      <c r="N22" s="15">
        <v>2.5157232684277268E-2</v>
      </c>
      <c r="O22" s="9">
        <f t="shared" si="0"/>
        <v>6486020.8250000002</v>
      </c>
      <c r="P22" s="9">
        <f t="shared" si="1"/>
        <v>6526813.4035837203</v>
      </c>
    </row>
    <row r="23" spans="1:16" x14ac:dyDescent="0.25">
      <c r="A23" t="s">
        <v>670</v>
      </c>
      <c r="B23">
        <v>30018</v>
      </c>
      <c r="C23" s="8">
        <v>45638</v>
      </c>
      <c r="D23" s="8">
        <v>45900</v>
      </c>
      <c r="E23" s="14">
        <v>262</v>
      </c>
      <c r="F23" t="s">
        <v>1557</v>
      </c>
      <c r="G23" s="11" t="s">
        <v>201</v>
      </c>
      <c r="H23" t="s">
        <v>1515</v>
      </c>
      <c r="I23" t="s">
        <v>1556</v>
      </c>
      <c r="J23" s="9">
        <v>10350000</v>
      </c>
      <c r="K23" s="15">
        <v>0.02</v>
      </c>
      <c r="L23" s="9">
        <v>51750</v>
      </c>
      <c r="M23" s="9">
        <v>0</v>
      </c>
      <c r="N23" s="15">
        <v>2.0100502512562814E-2</v>
      </c>
      <c r="O23" s="9">
        <f t="shared" si="0"/>
        <v>207000</v>
      </c>
      <c r="P23" s="9">
        <f t="shared" si="1"/>
        <v>208040.20100502513</v>
      </c>
    </row>
    <row r="24" spans="1:16" x14ac:dyDescent="0.25">
      <c r="A24" t="s">
        <v>210</v>
      </c>
      <c r="B24" s="28" t="s">
        <v>783</v>
      </c>
      <c r="C24" s="8">
        <v>45567</v>
      </c>
      <c r="D24" s="8">
        <v>45777</v>
      </c>
      <c r="E24" s="14">
        <v>211</v>
      </c>
      <c r="F24" t="s">
        <v>1555</v>
      </c>
      <c r="G24" s="11" t="s">
        <v>205</v>
      </c>
      <c r="H24" s="25" t="s">
        <v>31</v>
      </c>
      <c r="I24" t="s">
        <v>1554</v>
      </c>
      <c r="J24" s="9">
        <v>50000000</v>
      </c>
      <c r="K24" s="15">
        <v>5.0000000000000001E-3</v>
      </c>
      <c r="L24" s="9">
        <v>250000</v>
      </c>
      <c r="M24" s="9">
        <v>47250</v>
      </c>
      <c r="N24" s="15">
        <v>5.0299027719794172E-3</v>
      </c>
      <c r="O24" s="9">
        <f t="shared" si="0"/>
        <v>250000</v>
      </c>
      <c r="P24" s="9">
        <f t="shared" si="1"/>
        <v>251495.13859897087</v>
      </c>
    </row>
    <row r="25" spans="1:16" x14ac:dyDescent="0.25">
      <c r="A25" t="s">
        <v>210</v>
      </c>
      <c r="B25" s="28" t="s">
        <v>783</v>
      </c>
      <c r="C25" s="8">
        <v>45588</v>
      </c>
      <c r="D25" s="8">
        <v>45707</v>
      </c>
      <c r="E25" s="14">
        <v>120</v>
      </c>
      <c r="F25" t="s">
        <v>1553</v>
      </c>
      <c r="G25" s="11" t="s">
        <v>205</v>
      </c>
      <c r="H25" s="25" t="s">
        <v>31</v>
      </c>
      <c r="I25" t="s">
        <v>258</v>
      </c>
      <c r="J25" s="9">
        <v>1000000</v>
      </c>
      <c r="K25" s="15">
        <v>5.0000000000000001E-3</v>
      </c>
      <c r="L25" s="9">
        <v>5000</v>
      </c>
      <c r="M25" s="9">
        <v>945</v>
      </c>
      <c r="N25" s="15">
        <v>5.0299027719794172E-3</v>
      </c>
      <c r="O25" s="9">
        <f t="shared" si="0"/>
        <v>5000</v>
      </c>
      <c r="P25" s="9">
        <f t="shared" si="1"/>
        <v>5029.9027719794176</v>
      </c>
    </row>
    <row r="26" spans="1:16" x14ac:dyDescent="0.25">
      <c r="A26" t="s">
        <v>210</v>
      </c>
      <c r="B26" s="28" t="s">
        <v>783</v>
      </c>
      <c r="C26" s="8">
        <v>45595</v>
      </c>
      <c r="D26" s="8">
        <v>45657</v>
      </c>
      <c r="E26" s="14">
        <v>63</v>
      </c>
      <c r="F26" t="s">
        <v>1552</v>
      </c>
      <c r="G26" s="11" t="s">
        <v>205</v>
      </c>
      <c r="H26" s="25" t="s">
        <v>31</v>
      </c>
      <c r="I26" t="s">
        <v>1551</v>
      </c>
      <c r="J26" s="9">
        <v>30000000</v>
      </c>
      <c r="K26" s="15">
        <v>5.0000000000000001E-3</v>
      </c>
      <c r="L26" s="9">
        <v>300000</v>
      </c>
      <c r="M26" s="9">
        <v>56700</v>
      </c>
      <c r="N26" s="15">
        <v>5.0601653662041678E-3</v>
      </c>
      <c r="O26" s="9">
        <f t="shared" si="0"/>
        <v>150000</v>
      </c>
      <c r="P26" s="9">
        <f t="shared" si="1"/>
        <v>151804.96098612502</v>
      </c>
    </row>
    <row r="27" spans="1:16" x14ac:dyDescent="0.25">
      <c r="A27" t="s">
        <v>210</v>
      </c>
      <c r="B27" s="28" t="s">
        <v>783</v>
      </c>
      <c r="C27" s="8">
        <v>45595</v>
      </c>
      <c r="D27" s="8">
        <v>45657</v>
      </c>
      <c r="E27" s="14">
        <v>63</v>
      </c>
      <c r="F27" t="s">
        <v>1552</v>
      </c>
      <c r="G27" s="11" t="s">
        <v>205</v>
      </c>
      <c r="H27" s="25" t="s">
        <v>31</v>
      </c>
      <c r="I27" t="s">
        <v>1551</v>
      </c>
      <c r="J27" s="9">
        <v>50000000</v>
      </c>
      <c r="K27" s="15">
        <v>5.0000000000000001E-3</v>
      </c>
      <c r="L27" s="9">
        <v>500000</v>
      </c>
      <c r="M27" s="9">
        <v>94500</v>
      </c>
      <c r="N27" s="15">
        <v>5.0601653662041678E-3</v>
      </c>
      <c r="O27" s="9">
        <f t="shared" si="0"/>
        <v>250000</v>
      </c>
      <c r="P27" s="9">
        <f t="shared" si="1"/>
        <v>253008.2683102084</v>
      </c>
    </row>
    <row r="28" spans="1:16" x14ac:dyDescent="0.25">
      <c r="A28" t="s">
        <v>210</v>
      </c>
      <c r="B28" s="28" t="s">
        <v>783</v>
      </c>
      <c r="C28" s="8">
        <v>45614</v>
      </c>
      <c r="D28" s="8">
        <v>45974</v>
      </c>
      <c r="E28" s="14">
        <v>361</v>
      </c>
      <c r="F28" t="s">
        <v>1550</v>
      </c>
      <c r="G28" s="11" t="s">
        <v>205</v>
      </c>
      <c r="H28" t="s">
        <v>1515</v>
      </c>
      <c r="I28" t="s">
        <v>1549</v>
      </c>
      <c r="J28" s="9">
        <v>3436163</v>
      </c>
      <c r="K28" s="15">
        <v>5.0000000000000001E-3</v>
      </c>
      <c r="L28" s="9">
        <v>17181</v>
      </c>
      <c r="M28" s="9">
        <v>3247.2089999999998</v>
      </c>
      <c r="N28" s="15">
        <v>5.0299030958929035E-3</v>
      </c>
      <c r="O28" s="9">
        <f t="shared" si="0"/>
        <v>17180.814999999999</v>
      </c>
      <c r="P28" s="9">
        <f t="shared" si="1"/>
        <v>17283.566911692647</v>
      </c>
    </row>
    <row r="29" spans="1:16" x14ac:dyDescent="0.25">
      <c r="A29" t="s">
        <v>210</v>
      </c>
      <c r="B29" s="28" t="s">
        <v>783</v>
      </c>
      <c r="C29" s="8">
        <v>45631</v>
      </c>
      <c r="D29" s="8">
        <v>45992</v>
      </c>
      <c r="E29" s="14">
        <v>362</v>
      </c>
      <c r="F29" t="s">
        <v>1548</v>
      </c>
      <c r="G29" s="11" t="s">
        <v>205</v>
      </c>
      <c r="H29" s="25" t="s">
        <v>31</v>
      </c>
      <c r="I29" t="s">
        <v>785</v>
      </c>
      <c r="J29" s="9">
        <v>5966500</v>
      </c>
      <c r="K29" s="15">
        <v>5.0000000000000001E-3</v>
      </c>
      <c r="L29" s="9">
        <v>29833</v>
      </c>
      <c r="M29" s="9">
        <v>5638.4369999999999</v>
      </c>
      <c r="N29" s="15">
        <v>5.029903276154565E-3</v>
      </c>
      <c r="O29" s="9">
        <f t="shared" si="0"/>
        <v>29832.5</v>
      </c>
      <c r="P29" s="9">
        <f t="shared" si="1"/>
        <v>30010.917897176212</v>
      </c>
    </row>
    <row r="30" spans="1:16" x14ac:dyDescent="0.25">
      <c r="A30" t="s">
        <v>259</v>
      </c>
      <c r="B30">
        <v>30013</v>
      </c>
      <c r="C30" s="8">
        <v>45582</v>
      </c>
      <c r="D30" s="8">
        <v>45946</v>
      </c>
      <c r="E30" s="14">
        <v>360</v>
      </c>
      <c r="F30" t="s">
        <v>1547</v>
      </c>
      <c r="G30" s="11" t="s">
        <v>205</v>
      </c>
      <c r="H30" s="25" t="s">
        <v>31</v>
      </c>
      <c r="I30" t="s">
        <v>695</v>
      </c>
      <c r="J30" s="9">
        <v>1048231</v>
      </c>
      <c r="K30" s="26">
        <v>3.0000000000000001E-3</v>
      </c>
      <c r="L30" s="9">
        <v>374</v>
      </c>
      <c r="M30" s="9">
        <v>28765</v>
      </c>
      <c r="N30" s="15">
        <v>3.0857793015743431E-3</v>
      </c>
      <c r="O30" s="9">
        <f t="shared" si="0"/>
        <v>3144.6930000000002</v>
      </c>
      <c r="P30" s="9">
        <f t="shared" si="1"/>
        <v>3234.6095230685751</v>
      </c>
    </row>
    <row r="31" spans="1:16" x14ac:dyDescent="0.25">
      <c r="A31" t="s">
        <v>259</v>
      </c>
      <c r="B31">
        <v>30013</v>
      </c>
      <c r="C31" s="8">
        <v>45586</v>
      </c>
      <c r="D31" s="8">
        <v>45676</v>
      </c>
      <c r="E31" s="14">
        <v>90</v>
      </c>
      <c r="F31" t="s">
        <v>1546</v>
      </c>
      <c r="G31" s="11" t="s">
        <v>205</v>
      </c>
      <c r="H31" s="25" t="s">
        <v>31</v>
      </c>
      <c r="I31" t="s">
        <v>1545</v>
      </c>
      <c r="J31" s="9">
        <v>18500000</v>
      </c>
      <c r="K31" s="15">
        <v>1.4999999999999999E-2</v>
      </c>
      <c r="L31" s="9">
        <v>65990</v>
      </c>
      <c r="M31" s="9">
        <v>0</v>
      </c>
      <c r="N31" s="15">
        <v>1.5053696943855407E-2</v>
      </c>
      <c r="O31" s="9">
        <f t="shared" si="0"/>
        <v>277500</v>
      </c>
      <c r="P31" s="9">
        <f t="shared" si="1"/>
        <v>278493.39346132503</v>
      </c>
    </row>
    <row r="32" spans="1:16" x14ac:dyDescent="0.25">
      <c r="A32" t="s">
        <v>259</v>
      </c>
      <c r="B32">
        <v>30013</v>
      </c>
      <c r="C32" s="8">
        <v>45622</v>
      </c>
      <c r="D32" s="8">
        <v>45657</v>
      </c>
      <c r="E32" s="14">
        <v>35</v>
      </c>
      <c r="F32" t="s">
        <v>1544</v>
      </c>
      <c r="G32" s="11" t="s">
        <v>201</v>
      </c>
      <c r="H32" s="25" t="s">
        <v>31</v>
      </c>
      <c r="I32" t="s">
        <v>1543</v>
      </c>
      <c r="J32" s="9">
        <v>60191479</v>
      </c>
      <c r="K32" s="15">
        <v>1.4999999999999999E-2</v>
      </c>
      <c r="L32" s="9"/>
      <c r="M32" s="9">
        <v>9334</v>
      </c>
      <c r="N32" s="15">
        <v>1.5002326437517303E-2</v>
      </c>
      <c r="O32" s="9">
        <f t="shared" si="0"/>
        <v>902872.18499999994</v>
      </c>
      <c r="P32" s="9">
        <f t="shared" si="1"/>
        <v>903012.21671496762</v>
      </c>
    </row>
    <row r="33" spans="1:16" x14ac:dyDescent="0.25">
      <c r="A33" t="s">
        <v>259</v>
      </c>
      <c r="B33">
        <v>30013</v>
      </c>
      <c r="C33" s="8">
        <v>45630</v>
      </c>
      <c r="D33" s="8">
        <v>45657</v>
      </c>
      <c r="E33" s="14">
        <v>30</v>
      </c>
      <c r="F33" t="s">
        <v>1544</v>
      </c>
      <c r="G33" s="11" t="s">
        <v>201</v>
      </c>
      <c r="H33" s="25" t="s">
        <v>31</v>
      </c>
      <c r="I33" t="s">
        <v>1543</v>
      </c>
      <c r="J33" s="9">
        <v>25000000</v>
      </c>
      <c r="K33" s="15">
        <v>1.4999999999999999E-2</v>
      </c>
      <c r="L33" s="9"/>
      <c r="M33" s="9">
        <v>2378</v>
      </c>
      <c r="N33" s="15">
        <v>1.5001426935730127E-2</v>
      </c>
      <c r="O33" s="9">
        <f t="shared" si="0"/>
        <v>375000</v>
      </c>
      <c r="P33" s="9">
        <f t="shared" si="1"/>
        <v>375035.67339325318</v>
      </c>
    </row>
    <row r="34" spans="1:16" x14ac:dyDescent="0.25">
      <c r="A34" t="s">
        <v>259</v>
      </c>
      <c r="B34">
        <v>30013</v>
      </c>
      <c r="C34" s="8">
        <v>45630</v>
      </c>
      <c r="D34" s="8">
        <v>45657</v>
      </c>
      <c r="E34" s="14">
        <v>31</v>
      </c>
      <c r="F34" t="s">
        <v>1544</v>
      </c>
      <c r="G34" s="11" t="s">
        <v>201</v>
      </c>
      <c r="H34" s="25" t="s">
        <v>31</v>
      </c>
      <c r="I34" t="s">
        <v>1543</v>
      </c>
      <c r="J34" s="9">
        <v>15000000</v>
      </c>
      <c r="K34" s="15">
        <v>1.4999999999999999E-2</v>
      </c>
      <c r="L34" s="9"/>
      <c r="M34" s="9">
        <v>2378</v>
      </c>
      <c r="N34" s="15">
        <v>1.5002378377052043E-2</v>
      </c>
      <c r="O34" s="9">
        <f t="shared" ref="O34:O65" si="2">K34*J34</f>
        <v>225000</v>
      </c>
      <c r="P34" s="9">
        <f t="shared" ref="P34:P65" si="3">N34*J34</f>
        <v>225035.67565578065</v>
      </c>
    </row>
    <row r="35" spans="1:16" x14ac:dyDescent="0.25">
      <c r="A35" t="s">
        <v>259</v>
      </c>
      <c r="B35">
        <v>30013</v>
      </c>
      <c r="C35" s="8">
        <v>45656</v>
      </c>
      <c r="D35" s="8">
        <v>46020</v>
      </c>
      <c r="E35" s="14">
        <v>360</v>
      </c>
      <c r="F35" t="s">
        <v>1542</v>
      </c>
      <c r="G35" s="11" t="s">
        <v>201</v>
      </c>
      <c r="H35" t="s">
        <v>1515</v>
      </c>
      <c r="I35" t="s">
        <v>1170</v>
      </c>
      <c r="J35" s="9">
        <v>3000000</v>
      </c>
      <c r="K35" s="15">
        <v>5.0000000000000001E-3</v>
      </c>
      <c r="L35" s="9"/>
      <c r="M35" s="9">
        <v>77801</v>
      </c>
      <c r="N35" s="15">
        <v>5.1331206396278964E-3</v>
      </c>
      <c r="O35" s="9">
        <f t="shared" si="2"/>
        <v>15000</v>
      </c>
      <c r="P35" s="9">
        <f t="shared" si="3"/>
        <v>15399.361918883689</v>
      </c>
    </row>
    <row r="36" spans="1:16" x14ac:dyDescent="0.25">
      <c r="A36" t="s">
        <v>272</v>
      </c>
      <c r="B36">
        <v>30008</v>
      </c>
      <c r="C36" s="8">
        <v>45572</v>
      </c>
      <c r="D36" s="8">
        <v>45745</v>
      </c>
      <c r="E36" s="14">
        <v>173</v>
      </c>
      <c r="F36" t="s">
        <v>1541</v>
      </c>
      <c r="G36" s="11" t="s">
        <v>201</v>
      </c>
      <c r="H36" s="25" t="s">
        <v>31</v>
      </c>
      <c r="I36" t="s">
        <v>430</v>
      </c>
      <c r="J36" s="9">
        <v>146882575</v>
      </c>
      <c r="K36" s="15">
        <v>1.4999999999999999E-2</v>
      </c>
      <c r="L36" s="9">
        <v>650810</v>
      </c>
      <c r="M36" s="9">
        <v>118900</v>
      </c>
      <c r="N36" s="15">
        <v>1.5079018709269715E-2</v>
      </c>
      <c r="O36" s="9">
        <f t="shared" si="2"/>
        <v>2203238.625</v>
      </c>
      <c r="P36" s="9">
        <f t="shared" si="3"/>
        <v>2214845.0964907124</v>
      </c>
    </row>
    <row r="37" spans="1:16" x14ac:dyDescent="0.25">
      <c r="A37" t="s">
        <v>272</v>
      </c>
      <c r="B37">
        <v>30008</v>
      </c>
      <c r="C37" s="8">
        <v>45579</v>
      </c>
      <c r="D37" s="8">
        <v>45822</v>
      </c>
      <c r="E37" s="14">
        <v>243</v>
      </c>
      <c r="F37" t="s">
        <v>1540</v>
      </c>
      <c r="G37" s="11" t="s">
        <v>201</v>
      </c>
      <c r="H37" s="25" t="s">
        <v>31</v>
      </c>
      <c r="I37" t="s">
        <v>374</v>
      </c>
      <c r="J37" s="9">
        <v>4806676</v>
      </c>
      <c r="K37" s="15">
        <v>0.02</v>
      </c>
      <c r="L37" s="9">
        <v>164033</v>
      </c>
      <c r="M37" s="9">
        <v>70000</v>
      </c>
      <c r="N37" s="15">
        <v>2.1023622443300295E-2</v>
      </c>
      <c r="O37" s="9">
        <f t="shared" si="2"/>
        <v>96133.52</v>
      </c>
      <c r="P37" s="9">
        <f t="shared" si="3"/>
        <v>101053.74143127288</v>
      </c>
    </row>
    <row r="38" spans="1:16" x14ac:dyDescent="0.25">
      <c r="A38" t="s">
        <v>272</v>
      </c>
      <c r="B38">
        <v>30008</v>
      </c>
      <c r="C38" s="8">
        <v>45609</v>
      </c>
      <c r="D38" s="8">
        <v>45657</v>
      </c>
      <c r="E38" s="14">
        <v>48</v>
      </c>
      <c r="F38" t="s">
        <v>1539</v>
      </c>
      <c r="G38" s="11" t="s">
        <v>201</v>
      </c>
      <c r="H38" t="s">
        <v>274</v>
      </c>
      <c r="I38" t="s">
        <v>438</v>
      </c>
      <c r="J38" s="9">
        <v>143340776</v>
      </c>
      <c r="K38" s="15">
        <v>0.02</v>
      </c>
      <c r="L38" s="9">
        <v>816704</v>
      </c>
      <c r="M38" s="9">
        <v>118900</v>
      </c>
      <c r="N38" s="15">
        <v>2.0131400283691942E-2</v>
      </c>
      <c r="O38" s="9">
        <f t="shared" si="2"/>
        <v>2866815.52</v>
      </c>
      <c r="P38" s="9">
        <f t="shared" si="3"/>
        <v>2885650.5386310229</v>
      </c>
    </row>
    <row r="39" spans="1:16" x14ac:dyDescent="0.25">
      <c r="A39" t="s">
        <v>272</v>
      </c>
      <c r="B39">
        <v>30008</v>
      </c>
      <c r="C39" s="8">
        <v>45609</v>
      </c>
      <c r="D39" s="8">
        <v>45658</v>
      </c>
      <c r="E39" s="14">
        <v>49</v>
      </c>
      <c r="F39" t="s">
        <v>1539</v>
      </c>
      <c r="G39" s="11" t="s">
        <v>201</v>
      </c>
      <c r="H39" t="s">
        <v>274</v>
      </c>
      <c r="I39" t="s">
        <v>438</v>
      </c>
      <c r="J39" s="9">
        <v>148413209</v>
      </c>
      <c r="K39" s="15">
        <v>0.02</v>
      </c>
      <c r="L39" s="9">
        <v>842066</v>
      </c>
      <c r="M39" s="9">
        <v>118900</v>
      </c>
      <c r="N39" s="15">
        <v>2.013034267644203E-2</v>
      </c>
      <c r="O39" s="9">
        <f t="shared" si="2"/>
        <v>2968264.18</v>
      </c>
      <c r="P39" s="9">
        <f t="shared" si="3"/>
        <v>2987608.7548804102</v>
      </c>
    </row>
    <row r="40" spans="1:16" x14ac:dyDescent="0.25">
      <c r="A40" t="s">
        <v>272</v>
      </c>
      <c r="B40">
        <v>30008</v>
      </c>
      <c r="C40" s="8">
        <v>45609</v>
      </c>
      <c r="D40" s="8">
        <v>45729</v>
      </c>
      <c r="E40" s="14">
        <v>120</v>
      </c>
      <c r="F40" t="s">
        <v>1538</v>
      </c>
      <c r="G40" s="11" t="s">
        <v>205</v>
      </c>
      <c r="H40" t="s">
        <v>274</v>
      </c>
      <c r="I40" t="s">
        <v>374</v>
      </c>
      <c r="J40" s="9">
        <v>1000000</v>
      </c>
      <c r="K40" s="15">
        <v>0.02</v>
      </c>
      <c r="L40" s="9">
        <v>105000</v>
      </c>
      <c r="M40" s="9">
        <v>20000</v>
      </c>
      <c r="N40" s="15">
        <v>2.2857142857142857E-2</v>
      </c>
      <c r="O40" s="9">
        <f t="shared" si="2"/>
        <v>20000</v>
      </c>
      <c r="P40" s="9">
        <f t="shared" si="3"/>
        <v>22857.142857142859</v>
      </c>
    </row>
    <row r="41" spans="1:16" x14ac:dyDescent="0.25">
      <c r="A41" t="s">
        <v>272</v>
      </c>
      <c r="B41">
        <v>30008</v>
      </c>
      <c r="C41" s="8">
        <v>45630</v>
      </c>
      <c r="D41" s="8">
        <v>45947</v>
      </c>
      <c r="E41" s="14">
        <v>317</v>
      </c>
      <c r="F41" t="s">
        <v>1537</v>
      </c>
      <c r="G41" s="11" t="s">
        <v>205</v>
      </c>
      <c r="H41" t="s">
        <v>274</v>
      </c>
      <c r="I41" t="s">
        <v>1536</v>
      </c>
      <c r="J41" s="9">
        <v>20000000</v>
      </c>
      <c r="K41" s="15">
        <v>0.02</v>
      </c>
      <c r="L41" s="9">
        <v>118900</v>
      </c>
      <c r="M41" s="9">
        <v>590000</v>
      </c>
      <c r="N41" s="15">
        <v>2.073495031387531E-2</v>
      </c>
      <c r="O41" s="9">
        <f t="shared" si="2"/>
        <v>400000</v>
      </c>
      <c r="P41" s="9">
        <f t="shared" si="3"/>
        <v>414699.00627750618</v>
      </c>
    </row>
    <row r="42" spans="1:16" x14ac:dyDescent="0.25">
      <c r="A42" t="s">
        <v>272</v>
      </c>
      <c r="B42">
        <v>30008</v>
      </c>
      <c r="C42" s="8">
        <v>45629</v>
      </c>
      <c r="D42" s="8">
        <v>45990</v>
      </c>
      <c r="E42" s="14">
        <v>361</v>
      </c>
      <c r="F42" t="s">
        <v>1535</v>
      </c>
      <c r="G42" s="11" t="s">
        <v>205</v>
      </c>
      <c r="H42" t="s">
        <v>274</v>
      </c>
      <c r="I42" t="s">
        <v>1534</v>
      </c>
      <c r="J42" s="9">
        <v>50000000</v>
      </c>
      <c r="K42" s="15">
        <v>0.02</v>
      </c>
      <c r="L42" s="9">
        <v>237800</v>
      </c>
      <c r="M42" s="9">
        <v>899900</v>
      </c>
      <c r="N42" s="15">
        <v>2.0465675991510834E-2</v>
      </c>
      <c r="O42" s="9">
        <f t="shared" si="2"/>
        <v>1000000</v>
      </c>
      <c r="P42" s="9">
        <f t="shared" si="3"/>
        <v>1023283.7995755418</v>
      </c>
    </row>
    <row r="43" spans="1:16" x14ac:dyDescent="0.25">
      <c r="A43" t="s">
        <v>761</v>
      </c>
      <c r="B43" s="28" t="s">
        <v>786</v>
      </c>
      <c r="C43" s="8">
        <v>45572</v>
      </c>
      <c r="D43" s="8">
        <v>45665</v>
      </c>
      <c r="E43" s="14">
        <v>93</v>
      </c>
      <c r="F43" t="s">
        <v>1533</v>
      </c>
      <c r="G43" s="11" t="s">
        <v>201</v>
      </c>
      <c r="H43" s="25" t="s">
        <v>31</v>
      </c>
      <c r="I43" t="s">
        <v>1532</v>
      </c>
      <c r="J43" s="9">
        <v>2000000</v>
      </c>
      <c r="K43" s="15">
        <v>0.02</v>
      </c>
      <c r="L43" s="9">
        <v>10000</v>
      </c>
      <c r="M43" s="9">
        <v>59450</v>
      </c>
      <c r="N43" s="15">
        <v>2.071948408484629E-2</v>
      </c>
      <c r="O43" s="9">
        <f t="shared" si="2"/>
        <v>40000</v>
      </c>
      <c r="P43" s="9">
        <f t="shared" si="3"/>
        <v>41438.968169692576</v>
      </c>
    </row>
    <row r="44" spans="1:16" x14ac:dyDescent="0.25">
      <c r="A44" t="s">
        <v>761</v>
      </c>
      <c r="B44" s="28" t="s">
        <v>786</v>
      </c>
      <c r="C44" s="8">
        <v>45603</v>
      </c>
      <c r="D44" s="8">
        <v>45723</v>
      </c>
      <c r="E44" s="14">
        <v>120</v>
      </c>
      <c r="F44" t="s">
        <v>1491</v>
      </c>
      <c r="G44" s="11" t="s">
        <v>201</v>
      </c>
      <c r="H44" s="25" t="s">
        <v>31</v>
      </c>
      <c r="I44" t="s">
        <v>1527</v>
      </c>
      <c r="J44" s="9">
        <v>30000000</v>
      </c>
      <c r="K44" s="15">
        <v>0.02</v>
      </c>
      <c r="L44" s="9">
        <v>0</v>
      </c>
      <c r="M44" s="9">
        <v>59450</v>
      </c>
      <c r="N44" s="15">
        <v>2.0039712029338137E-2</v>
      </c>
      <c r="O44" s="9">
        <f t="shared" si="2"/>
        <v>600000</v>
      </c>
      <c r="P44" s="9">
        <f t="shared" si="3"/>
        <v>601191.36088014417</v>
      </c>
    </row>
    <row r="45" spans="1:16" x14ac:dyDescent="0.25">
      <c r="A45" t="s">
        <v>761</v>
      </c>
      <c r="B45" s="28" t="s">
        <v>786</v>
      </c>
      <c r="C45" s="8">
        <v>45628</v>
      </c>
      <c r="D45" s="8">
        <v>45714</v>
      </c>
      <c r="E45" s="14">
        <v>86</v>
      </c>
      <c r="F45" t="s">
        <v>1529</v>
      </c>
      <c r="G45" s="11" t="s">
        <v>201</v>
      </c>
      <c r="H45" s="25" t="s">
        <v>31</v>
      </c>
      <c r="I45" t="s">
        <v>1528</v>
      </c>
      <c r="J45" s="9">
        <v>14779907</v>
      </c>
      <c r="K45" s="15">
        <v>0.02</v>
      </c>
      <c r="L45" s="9">
        <v>73900</v>
      </c>
      <c r="M45" s="9">
        <v>59450</v>
      </c>
      <c r="N45" s="15">
        <v>2.0182090575962666E-2</v>
      </c>
      <c r="O45" s="9">
        <f t="shared" si="2"/>
        <v>295598.14</v>
      </c>
      <c r="P45" s="9">
        <f t="shared" si="3"/>
        <v>298289.42177830462</v>
      </c>
    </row>
    <row r="46" spans="1:16" x14ac:dyDescent="0.25">
      <c r="A46" t="s">
        <v>761</v>
      </c>
      <c r="B46" s="28" t="s">
        <v>786</v>
      </c>
      <c r="C46" s="8">
        <v>45649</v>
      </c>
      <c r="D46" s="8">
        <v>46014</v>
      </c>
      <c r="E46" s="14">
        <v>365</v>
      </c>
      <c r="F46" t="s">
        <v>1531</v>
      </c>
      <c r="G46" s="11" t="s">
        <v>201</v>
      </c>
      <c r="H46" s="25" t="s">
        <v>31</v>
      </c>
      <c r="I46" t="s">
        <v>1530</v>
      </c>
      <c r="J46" s="9">
        <v>30000000</v>
      </c>
      <c r="K46" s="15">
        <v>0.02</v>
      </c>
      <c r="L46" s="9">
        <v>150000</v>
      </c>
      <c r="M46" s="9">
        <v>59450</v>
      </c>
      <c r="N46" s="15">
        <v>2.0140615060816266E-2</v>
      </c>
      <c r="O46" s="9">
        <f t="shared" si="2"/>
        <v>600000</v>
      </c>
      <c r="P46" s="9">
        <f t="shared" si="3"/>
        <v>604218.451824488</v>
      </c>
    </row>
    <row r="47" spans="1:16" x14ac:dyDescent="0.25">
      <c r="A47" t="s">
        <v>761</v>
      </c>
      <c r="B47" s="28" t="s">
        <v>786</v>
      </c>
      <c r="C47" s="8">
        <v>45609</v>
      </c>
      <c r="D47" s="8">
        <v>45701</v>
      </c>
      <c r="E47" s="14">
        <v>92</v>
      </c>
      <c r="F47" t="s">
        <v>1526</v>
      </c>
      <c r="G47" s="11" t="s">
        <v>201</v>
      </c>
      <c r="H47" s="25" t="s">
        <v>31</v>
      </c>
      <c r="I47" t="s">
        <v>1525</v>
      </c>
      <c r="J47" s="9">
        <v>1358055</v>
      </c>
      <c r="K47" s="15">
        <v>0.02</v>
      </c>
      <c r="L47" s="9">
        <v>6790</v>
      </c>
      <c r="M47" s="9">
        <v>59450</v>
      </c>
      <c r="N47" s="15">
        <v>2.1025533841920088E-2</v>
      </c>
      <c r="O47" s="9">
        <f t="shared" si="2"/>
        <v>27161.100000000002</v>
      </c>
      <c r="P47" s="9">
        <f t="shared" si="3"/>
        <v>28553.831361688786</v>
      </c>
    </row>
    <row r="48" spans="1:16" x14ac:dyDescent="0.25">
      <c r="A48" t="s">
        <v>761</v>
      </c>
      <c r="B48" s="28" t="s">
        <v>786</v>
      </c>
      <c r="C48" s="8">
        <v>45628</v>
      </c>
      <c r="D48" s="8">
        <v>45714</v>
      </c>
      <c r="E48" s="14">
        <v>86</v>
      </c>
      <c r="F48" t="s">
        <v>1529</v>
      </c>
      <c r="G48" s="11" t="s">
        <v>201</v>
      </c>
      <c r="H48" s="25" t="s">
        <v>31</v>
      </c>
      <c r="I48" t="s">
        <v>1528</v>
      </c>
      <c r="J48" s="9">
        <v>6477362</v>
      </c>
      <c r="K48" s="15">
        <v>0.02</v>
      </c>
      <c r="L48" s="9">
        <v>32387</v>
      </c>
      <c r="M48" s="9">
        <v>59450</v>
      </c>
      <c r="N48" s="15">
        <v>2.0287641188469232E-2</v>
      </c>
      <c r="O48" s="9">
        <f t="shared" si="2"/>
        <v>129547.24</v>
      </c>
      <c r="P48" s="9">
        <f t="shared" si="3"/>
        <v>131410.39610382545</v>
      </c>
    </row>
    <row r="49" spans="1:16" x14ac:dyDescent="0.25">
      <c r="A49" t="s">
        <v>761</v>
      </c>
      <c r="B49" s="28" t="s">
        <v>786</v>
      </c>
      <c r="C49" s="8">
        <v>45603</v>
      </c>
      <c r="D49" s="8">
        <v>45727</v>
      </c>
      <c r="E49" s="14">
        <v>124</v>
      </c>
      <c r="F49" t="s">
        <v>1491</v>
      </c>
      <c r="G49" s="11" t="s">
        <v>201</v>
      </c>
      <c r="H49" s="25" t="s">
        <v>31</v>
      </c>
      <c r="I49" t="s">
        <v>1527</v>
      </c>
      <c r="J49" s="9">
        <v>30000000</v>
      </c>
      <c r="K49" s="15">
        <v>0.02</v>
      </c>
      <c r="L49" s="9">
        <v>150000</v>
      </c>
      <c r="M49" s="9">
        <v>59450</v>
      </c>
      <c r="N49" s="15">
        <v>2.0140615060816262E-2</v>
      </c>
      <c r="O49" s="9">
        <f t="shared" si="2"/>
        <v>600000</v>
      </c>
      <c r="P49" s="9">
        <f t="shared" si="3"/>
        <v>604218.45182448789</v>
      </c>
    </row>
    <row r="50" spans="1:16" x14ac:dyDescent="0.25">
      <c r="A50" t="s">
        <v>761</v>
      </c>
      <c r="B50" s="28" t="s">
        <v>786</v>
      </c>
      <c r="C50" s="8">
        <v>45572</v>
      </c>
      <c r="D50" s="8">
        <v>45751</v>
      </c>
      <c r="E50" s="14">
        <v>179</v>
      </c>
      <c r="F50" t="s">
        <v>1526</v>
      </c>
      <c r="G50" s="11" t="s">
        <v>201</v>
      </c>
      <c r="H50" s="25" t="s">
        <v>31</v>
      </c>
      <c r="I50" t="s">
        <v>1525</v>
      </c>
      <c r="J50" s="9">
        <v>50000000</v>
      </c>
      <c r="K50" s="15">
        <v>0.02</v>
      </c>
      <c r="L50" s="9">
        <v>250000</v>
      </c>
      <c r="M50" s="9">
        <v>59450</v>
      </c>
      <c r="N50" s="15">
        <v>2.0124550845180823E-2</v>
      </c>
      <c r="O50" s="9">
        <f t="shared" si="2"/>
        <v>1000000</v>
      </c>
      <c r="P50" s="9">
        <f t="shared" si="3"/>
        <v>1006227.5422590411</v>
      </c>
    </row>
    <row r="51" spans="1:16" x14ac:dyDescent="0.25">
      <c r="A51" t="s">
        <v>763</v>
      </c>
      <c r="B51" s="27" t="s">
        <v>764</v>
      </c>
      <c r="C51" s="8">
        <v>45589</v>
      </c>
      <c r="D51" s="8">
        <v>45954</v>
      </c>
      <c r="E51" s="14">
        <v>365</v>
      </c>
      <c r="F51" t="s">
        <v>1524</v>
      </c>
      <c r="G51" s="11" t="s">
        <v>759</v>
      </c>
      <c r="H51" t="s">
        <v>1515</v>
      </c>
      <c r="I51" t="s">
        <v>765</v>
      </c>
      <c r="J51" s="9">
        <v>3000000</v>
      </c>
      <c r="K51" s="15">
        <v>0.01</v>
      </c>
      <c r="L51" s="9">
        <v>30530</v>
      </c>
      <c r="M51" s="9">
        <v>0</v>
      </c>
      <c r="N51" s="15">
        <v>1.0102812959888465E-2</v>
      </c>
      <c r="O51" s="9">
        <f t="shared" si="2"/>
        <v>30000</v>
      </c>
      <c r="P51" s="9">
        <f t="shared" si="3"/>
        <v>30308.438879665395</v>
      </c>
    </row>
    <row r="52" spans="1:16" x14ac:dyDescent="0.25">
      <c r="A52" t="s">
        <v>763</v>
      </c>
      <c r="B52" s="27" t="s">
        <v>764</v>
      </c>
      <c r="C52" s="8">
        <v>45593</v>
      </c>
      <c r="D52" s="8">
        <v>46688</v>
      </c>
      <c r="E52" s="14">
        <v>1095</v>
      </c>
      <c r="F52" t="s">
        <v>1523</v>
      </c>
      <c r="G52" s="11" t="s">
        <v>201</v>
      </c>
      <c r="H52" t="s">
        <v>1515</v>
      </c>
      <c r="I52" t="s">
        <v>767</v>
      </c>
      <c r="J52" s="9">
        <v>1700000</v>
      </c>
      <c r="K52" s="15">
        <v>0.02</v>
      </c>
      <c r="L52" s="9">
        <v>30919</v>
      </c>
      <c r="M52" s="9">
        <v>0</v>
      </c>
      <c r="N52" s="15">
        <v>2.0370491306293703E-2</v>
      </c>
      <c r="O52" s="9">
        <f t="shared" si="2"/>
        <v>34000</v>
      </c>
      <c r="P52" s="9">
        <f t="shared" si="3"/>
        <v>34629.835220699293</v>
      </c>
    </row>
    <row r="53" spans="1:16" x14ac:dyDescent="0.25">
      <c r="A53" t="s">
        <v>763</v>
      </c>
      <c r="B53" s="27" t="s">
        <v>764</v>
      </c>
      <c r="C53" s="8">
        <v>45611</v>
      </c>
      <c r="D53" s="8">
        <v>45731</v>
      </c>
      <c r="E53" s="14">
        <v>120</v>
      </c>
      <c r="F53" t="s">
        <v>1522</v>
      </c>
      <c r="G53" s="11" t="s">
        <v>201</v>
      </c>
      <c r="H53" t="s">
        <v>1515</v>
      </c>
      <c r="I53" t="s">
        <v>771</v>
      </c>
      <c r="J53" s="9">
        <v>2500000</v>
      </c>
      <c r="K53" s="15">
        <v>0.02</v>
      </c>
      <c r="L53" s="9">
        <v>31308</v>
      </c>
      <c r="M53" s="9">
        <v>0</v>
      </c>
      <c r="N53" s="15">
        <v>2.0253640389323577E-2</v>
      </c>
      <c r="O53" s="9">
        <f t="shared" si="2"/>
        <v>50000</v>
      </c>
      <c r="P53" s="9">
        <f t="shared" si="3"/>
        <v>50634.100973308945</v>
      </c>
    </row>
    <row r="54" spans="1:16" x14ac:dyDescent="0.25">
      <c r="A54" t="s">
        <v>763</v>
      </c>
      <c r="B54" s="27" t="s">
        <v>764</v>
      </c>
      <c r="C54" s="8">
        <v>45611</v>
      </c>
      <c r="D54" s="8">
        <v>45731</v>
      </c>
      <c r="E54" s="14">
        <v>120</v>
      </c>
      <c r="F54" t="s">
        <v>1521</v>
      </c>
      <c r="G54" s="11" t="s">
        <v>201</v>
      </c>
      <c r="H54" t="s">
        <v>1515</v>
      </c>
      <c r="I54" t="s">
        <v>771</v>
      </c>
      <c r="J54" s="9">
        <v>1000000</v>
      </c>
      <c r="K54" s="15">
        <v>0.02</v>
      </c>
      <c r="L54" s="9">
        <v>27391</v>
      </c>
      <c r="M54" s="9">
        <v>0</v>
      </c>
      <c r="N54" s="15">
        <v>2.0563247923883084E-2</v>
      </c>
      <c r="O54" s="9">
        <f t="shared" si="2"/>
        <v>20000</v>
      </c>
      <c r="P54" s="9">
        <f t="shared" si="3"/>
        <v>20563.247923883086</v>
      </c>
    </row>
    <row r="55" spans="1:16" x14ac:dyDescent="0.25">
      <c r="A55" t="s">
        <v>763</v>
      </c>
      <c r="B55" s="27" t="s">
        <v>764</v>
      </c>
      <c r="C55" s="8">
        <v>45611</v>
      </c>
      <c r="D55" s="8">
        <v>45731</v>
      </c>
      <c r="E55" s="14">
        <v>120</v>
      </c>
      <c r="F55" t="s">
        <v>1520</v>
      </c>
      <c r="G55" s="11" t="s">
        <v>201</v>
      </c>
      <c r="H55" t="s">
        <v>1515</v>
      </c>
      <c r="I55" t="s">
        <v>771</v>
      </c>
      <c r="J55" s="9">
        <v>2500000</v>
      </c>
      <c r="K55" s="15">
        <v>0.02</v>
      </c>
      <c r="L55" s="9">
        <v>24780</v>
      </c>
      <c r="M55" s="9">
        <v>0</v>
      </c>
      <c r="N55" s="15">
        <v>2.0200224626497846E-2</v>
      </c>
      <c r="O55" s="9">
        <f t="shared" si="2"/>
        <v>50000</v>
      </c>
      <c r="P55" s="9">
        <f t="shared" si="3"/>
        <v>50500.561566244614</v>
      </c>
    </row>
    <row r="56" spans="1:16" x14ac:dyDescent="0.25">
      <c r="A56" t="s">
        <v>763</v>
      </c>
      <c r="B56" s="27" t="s">
        <v>764</v>
      </c>
      <c r="C56" s="8">
        <v>45625</v>
      </c>
      <c r="D56" s="8">
        <v>45747</v>
      </c>
      <c r="E56" s="14">
        <v>122</v>
      </c>
      <c r="F56" t="s">
        <v>1519</v>
      </c>
      <c r="G56" s="11" t="s">
        <v>674</v>
      </c>
      <c r="H56" t="s">
        <v>1515</v>
      </c>
      <c r="I56" t="s">
        <v>775</v>
      </c>
      <c r="J56" s="9">
        <v>9457025</v>
      </c>
      <c r="K56" s="15">
        <v>1.7500000000000002E-2</v>
      </c>
      <c r="L56" s="9">
        <v>16171</v>
      </c>
      <c r="M56" s="9">
        <v>0</v>
      </c>
      <c r="N56" s="15">
        <v>1.7529975307318597E-2</v>
      </c>
      <c r="O56" s="9">
        <f t="shared" si="2"/>
        <v>165497.93750000003</v>
      </c>
      <c r="P56" s="9">
        <f t="shared" si="3"/>
        <v>165781.41473069467</v>
      </c>
    </row>
    <row r="57" spans="1:16" x14ac:dyDescent="0.25">
      <c r="A57" t="s">
        <v>763</v>
      </c>
      <c r="B57" s="27" t="s">
        <v>764</v>
      </c>
      <c r="C57" s="8">
        <v>45601</v>
      </c>
      <c r="D57" s="8">
        <v>45966</v>
      </c>
      <c r="E57" s="14">
        <v>365</v>
      </c>
      <c r="F57" t="s">
        <v>1514</v>
      </c>
      <c r="G57" s="11" t="s">
        <v>759</v>
      </c>
      <c r="H57" t="s">
        <v>1515</v>
      </c>
      <c r="I57" t="s">
        <v>770</v>
      </c>
      <c r="J57" s="9">
        <v>59048172</v>
      </c>
      <c r="K57" s="15">
        <v>0.02</v>
      </c>
      <c r="L57" s="9">
        <v>211766</v>
      </c>
      <c r="M57" s="9">
        <v>0</v>
      </c>
      <c r="N57" s="15">
        <v>2.007198468240905E-2</v>
      </c>
      <c r="O57" s="9">
        <f t="shared" si="2"/>
        <v>1180963.44</v>
      </c>
      <c r="P57" s="9">
        <f t="shared" si="3"/>
        <v>1185214.0039082549</v>
      </c>
    </row>
    <row r="58" spans="1:16" x14ac:dyDescent="0.25">
      <c r="A58" t="s">
        <v>763</v>
      </c>
      <c r="B58" s="27" t="s">
        <v>764</v>
      </c>
      <c r="C58" s="8">
        <v>45630</v>
      </c>
      <c r="D58" s="8">
        <v>45746</v>
      </c>
      <c r="E58" s="14">
        <v>116</v>
      </c>
      <c r="F58" t="s">
        <v>1518</v>
      </c>
      <c r="G58" s="11" t="s">
        <v>201</v>
      </c>
      <c r="H58" t="s">
        <v>1515</v>
      </c>
      <c r="I58" t="s">
        <v>766</v>
      </c>
      <c r="J58" s="9">
        <v>25000000</v>
      </c>
      <c r="K58" s="15">
        <v>1.9E-2</v>
      </c>
      <c r="L58" s="9">
        <v>119750</v>
      </c>
      <c r="M58" s="9">
        <v>0</v>
      </c>
      <c r="N58" s="15">
        <v>1.9091448036092886E-2</v>
      </c>
      <c r="O58" s="9">
        <f t="shared" si="2"/>
        <v>475000</v>
      </c>
      <c r="P58" s="9">
        <f t="shared" si="3"/>
        <v>477286.20090232213</v>
      </c>
    </row>
    <row r="59" spans="1:16" x14ac:dyDescent="0.25">
      <c r="A59" t="s">
        <v>763</v>
      </c>
      <c r="B59" s="27" t="s">
        <v>764</v>
      </c>
      <c r="C59" s="8">
        <v>45630</v>
      </c>
      <c r="D59" s="8">
        <v>45746</v>
      </c>
      <c r="E59" s="14">
        <v>116</v>
      </c>
      <c r="F59" t="s">
        <v>1517</v>
      </c>
      <c r="G59" s="11" t="s">
        <v>201</v>
      </c>
      <c r="H59" t="s">
        <v>1515</v>
      </c>
      <c r="I59" t="s">
        <v>766</v>
      </c>
      <c r="J59" s="9">
        <v>15000000</v>
      </c>
      <c r="K59" s="15">
        <v>1.9E-2</v>
      </c>
      <c r="L59" s="9">
        <v>72250</v>
      </c>
      <c r="M59" s="9">
        <v>0</v>
      </c>
      <c r="N59" s="15">
        <v>1.9091959605432834E-2</v>
      </c>
      <c r="O59" s="9">
        <f t="shared" si="2"/>
        <v>285000</v>
      </c>
      <c r="P59" s="9">
        <f t="shared" si="3"/>
        <v>286379.3940814925</v>
      </c>
    </row>
    <row r="60" spans="1:16" x14ac:dyDescent="0.25">
      <c r="A60" t="s">
        <v>763</v>
      </c>
      <c r="B60" s="27" t="s">
        <v>764</v>
      </c>
      <c r="C60" s="8">
        <v>45628</v>
      </c>
      <c r="D60" s="8">
        <v>45991</v>
      </c>
      <c r="E60" s="14">
        <v>363</v>
      </c>
      <c r="F60" t="s">
        <v>1516</v>
      </c>
      <c r="G60" s="11" t="s">
        <v>205</v>
      </c>
      <c r="H60" s="25" t="s">
        <v>31</v>
      </c>
      <c r="I60" t="s">
        <v>773</v>
      </c>
      <c r="J60" s="9">
        <v>25000000</v>
      </c>
      <c r="K60" s="15">
        <v>0.02</v>
      </c>
      <c r="L60" s="9">
        <v>149780</v>
      </c>
      <c r="M60" s="9">
        <v>0</v>
      </c>
      <c r="N60" s="15">
        <v>2.0120546216492247E-2</v>
      </c>
      <c r="O60" s="9">
        <f t="shared" si="2"/>
        <v>500000</v>
      </c>
      <c r="P60" s="9">
        <f t="shared" si="3"/>
        <v>503013.65541230619</v>
      </c>
    </row>
    <row r="61" spans="1:16" x14ac:dyDescent="0.25">
      <c r="A61" t="s">
        <v>763</v>
      </c>
      <c r="B61" s="27" t="s">
        <v>764</v>
      </c>
      <c r="C61" s="8">
        <v>45643</v>
      </c>
      <c r="D61" s="8">
        <v>46007</v>
      </c>
      <c r="E61" s="14">
        <v>364</v>
      </c>
      <c r="F61" t="s">
        <v>1514</v>
      </c>
      <c r="G61" s="11" t="s">
        <v>759</v>
      </c>
      <c r="H61" t="s">
        <v>1515</v>
      </c>
      <c r="I61" t="s">
        <v>773</v>
      </c>
      <c r="J61" s="9">
        <v>30000000</v>
      </c>
      <c r="K61" s="15">
        <v>0.01</v>
      </c>
      <c r="L61" s="9">
        <v>99780</v>
      </c>
      <c r="M61" s="9">
        <v>0</v>
      </c>
      <c r="N61" s="15">
        <v>1.0033370991919123E-2</v>
      </c>
      <c r="O61" s="9">
        <f t="shared" si="2"/>
        <v>300000</v>
      </c>
      <c r="P61" s="9">
        <f t="shared" si="3"/>
        <v>301001.12975757371</v>
      </c>
    </row>
    <row r="62" spans="1:16" x14ac:dyDescent="0.25">
      <c r="A62" t="s">
        <v>763</v>
      </c>
      <c r="B62" s="27" t="s">
        <v>764</v>
      </c>
      <c r="C62" s="8">
        <v>45643</v>
      </c>
      <c r="D62" s="8">
        <v>46022</v>
      </c>
      <c r="E62" s="14">
        <v>379</v>
      </c>
      <c r="F62" t="s">
        <v>1514</v>
      </c>
      <c r="G62" s="11" t="s">
        <v>759</v>
      </c>
      <c r="H62" s="25" t="s">
        <v>31</v>
      </c>
      <c r="I62" t="s">
        <v>767</v>
      </c>
      <c r="J62" s="9">
        <v>30000000</v>
      </c>
      <c r="K62" s="15">
        <v>1.9E-2</v>
      </c>
      <c r="L62" s="9">
        <v>143500</v>
      </c>
      <c r="M62" s="9">
        <v>0</v>
      </c>
      <c r="N62" s="15">
        <v>1.9091320148041466E-2</v>
      </c>
      <c r="O62" s="9">
        <f t="shared" si="2"/>
        <v>570000</v>
      </c>
      <c r="P62" s="9">
        <f t="shared" si="3"/>
        <v>572739.60444124404</v>
      </c>
    </row>
    <row r="63" spans="1:16" x14ac:dyDescent="0.25">
      <c r="A63" t="s">
        <v>777</v>
      </c>
      <c r="B63" t="s">
        <v>1512</v>
      </c>
      <c r="C63" s="8">
        <v>45583</v>
      </c>
      <c r="D63" s="8">
        <v>45707</v>
      </c>
      <c r="E63" s="14">
        <v>365</v>
      </c>
      <c r="F63" t="s">
        <v>1513</v>
      </c>
      <c r="G63" s="11" t="s">
        <v>201</v>
      </c>
      <c r="H63" s="25" t="s">
        <v>31</v>
      </c>
      <c r="J63" s="9">
        <v>1000000</v>
      </c>
      <c r="K63" s="15">
        <v>1.4999999999999999E-2</v>
      </c>
      <c r="L63" s="9">
        <v>7500</v>
      </c>
      <c r="N63" s="15">
        <v>1.5113350125944584E-2</v>
      </c>
      <c r="O63" s="9">
        <f t="shared" si="2"/>
        <v>15000</v>
      </c>
      <c r="P63" s="9">
        <f t="shared" si="3"/>
        <v>15113.350125944584</v>
      </c>
    </row>
    <row r="64" spans="1:16" x14ac:dyDescent="0.25">
      <c r="A64" t="s">
        <v>777</v>
      </c>
      <c r="B64" t="s">
        <v>1512</v>
      </c>
      <c r="C64" s="8">
        <v>45587</v>
      </c>
      <c r="D64" s="8">
        <v>45707</v>
      </c>
      <c r="E64" s="14">
        <v>365</v>
      </c>
      <c r="F64" t="s">
        <v>1513</v>
      </c>
      <c r="G64" s="11" t="s">
        <v>201</v>
      </c>
      <c r="H64" s="25" t="s">
        <v>31</v>
      </c>
      <c r="J64" s="9">
        <v>1000000</v>
      </c>
      <c r="K64" s="15">
        <v>1.4999999999999999E-2</v>
      </c>
      <c r="L64" s="9">
        <v>7500</v>
      </c>
      <c r="N64" s="15">
        <v>1.5113350125944584E-2</v>
      </c>
      <c r="O64" s="9">
        <f t="shared" si="2"/>
        <v>15000</v>
      </c>
      <c r="P64" s="9">
        <f t="shared" si="3"/>
        <v>15113.350125944584</v>
      </c>
    </row>
    <row r="65" spans="1:16" x14ac:dyDescent="0.25">
      <c r="A65" t="s">
        <v>777</v>
      </c>
      <c r="B65" t="s">
        <v>1512</v>
      </c>
      <c r="C65" s="8">
        <v>45657</v>
      </c>
      <c r="D65" s="8">
        <v>46022</v>
      </c>
      <c r="E65" s="14">
        <v>365</v>
      </c>
      <c r="F65" t="s">
        <v>1511</v>
      </c>
      <c r="G65" s="11" t="s">
        <v>201</v>
      </c>
      <c r="H65" s="25" t="s">
        <v>31</v>
      </c>
      <c r="J65" s="9">
        <v>400000000</v>
      </c>
      <c r="K65" s="15">
        <v>5.0000000000000001E-3</v>
      </c>
      <c r="L65" s="9">
        <v>2000000</v>
      </c>
      <c r="N65" s="15">
        <v>5.0251256281407036E-3</v>
      </c>
      <c r="O65" s="9">
        <f t="shared" si="2"/>
        <v>2000000</v>
      </c>
      <c r="P65" s="9">
        <f t="shared" si="3"/>
        <v>2010050.2512562815</v>
      </c>
    </row>
  </sheetData>
  <autoFilter ref="A1:P65"/>
  <pageMargins left="0.7" right="0.7" top="0.75" bottom="0.75" header="0.3" footer="0.3"/>
  <pageSetup paperSize="9" scale="4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zoomScaleNormal="100" workbookViewId="0">
      <pane ySplit="1" topLeftCell="A2" activePane="bottomLeft" state="frozen"/>
      <selection pane="bottomLeft" activeCell="C28" sqref="C28"/>
    </sheetView>
  </sheetViews>
  <sheetFormatPr baseColWidth="10" defaultRowHeight="15" x14ac:dyDescent="0.25"/>
  <cols>
    <col min="1" max="1" width="13.140625" customWidth="1"/>
    <col min="2" max="2" width="17.42578125" customWidth="1"/>
    <col min="3" max="3" width="18.7109375" customWidth="1"/>
    <col min="4" max="4" width="18.5703125" customWidth="1"/>
    <col min="5" max="5" width="11.7109375" customWidth="1"/>
    <col min="6" max="6" width="40.85546875" customWidth="1"/>
    <col min="7" max="7" width="18.5703125" customWidth="1"/>
    <col min="8" max="8" width="23.85546875" customWidth="1"/>
    <col min="9" max="9" width="34.42578125" customWidth="1"/>
    <col min="10" max="10" width="19.140625" bestFit="1" customWidth="1"/>
    <col min="11" max="11" width="20" bestFit="1" customWidth="1"/>
    <col min="12" max="12" width="17.5703125" customWidth="1"/>
    <col min="13" max="13" width="28.28515625" bestFit="1" customWidth="1"/>
    <col min="14" max="14" width="13.140625" customWidth="1"/>
    <col min="15" max="15" width="17" customWidth="1"/>
    <col min="16" max="17" width="14.28515625" bestFit="1" customWidth="1"/>
  </cols>
  <sheetData>
    <row r="1" spans="1:17" x14ac:dyDescent="0.25">
      <c r="A1" s="23" t="s">
        <v>1636</v>
      </c>
      <c r="B1" s="23" t="s">
        <v>1635</v>
      </c>
      <c r="C1" s="23" t="s">
        <v>1634</v>
      </c>
      <c r="D1" s="23" t="s">
        <v>1633</v>
      </c>
      <c r="E1" s="23" t="s">
        <v>1632</v>
      </c>
      <c r="F1" s="23" t="s">
        <v>1631</v>
      </c>
      <c r="G1" s="23" t="s">
        <v>1630</v>
      </c>
      <c r="H1" s="23" t="s">
        <v>1629</v>
      </c>
      <c r="I1" s="23" t="s">
        <v>1628</v>
      </c>
      <c r="J1" s="23" t="s">
        <v>1627</v>
      </c>
      <c r="K1" s="23" t="s">
        <v>1626</v>
      </c>
      <c r="L1" s="23" t="s">
        <v>1625</v>
      </c>
      <c r="M1" s="23" t="s">
        <v>1624</v>
      </c>
      <c r="N1" s="23" t="s">
        <v>1623</v>
      </c>
      <c r="O1" s="23" t="s">
        <v>1637</v>
      </c>
      <c r="P1" s="23" t="s">
        <v>1638</v>
      </c>
      <c r="Q1" s="23" t="s">
        <v>1639</v>
      </c>
    </row>
    <row r="2" spans="1:17" x14ac:dyDescent="0.25">
      <c r="A2" t="s">
        <v>761</v>
      </c>
      <c r="B2" t="s">
        <v>786</v>
      </c>
      <c r="C2" s="8">
        <v>45628</v>
      </c>
      <c r="D2" s="8">
        <v>45991</v>
      </c>
      <c r="E2" s="14">
        <v>363</v>
      </c>
      <c r="F2" t="s">
        <v>1573</v>
      </c>
      <c r="G2" s="14">
        <v>1</v>
      </c>
      <c r="H2" t="s">
        <v>1574</v>
      </c>
      <c r="I2" t="s">
        <v>1527</v>
      </c>
      <c r="J2" s="29">
        <v>0.08</v>
      </c>
      <c r="K2" s="9">
        <v>34996622</v>
      </c>
      <c r="L2" s="9">
        <v>0</v>
      </c>
      <c r="M2" s="9">
        <v>2846392</v>
      </c>
      <c r="N2" s="9">
        <v>0</v>
      </c>
      <c r="O2" s="15">
        <v>8.7082728801629095E-2</v>
      </c>
      <c r="P2" s="9">
        <f>K2*J2</f>
        <v>2799729.7600000002</v>
      </c>
      <c r="Q2" s="9">
        <f>O2*K2</f>
        <v>3047601.3425991265</v>
      </c>
    </row>
    <row r="3" spans="1:17" x14ac:dyDescent="0.25">
      <c r="A3" t="s">
        <v>761</v>
      </c>
      <c r="B3" t="s">
        <v>786</v>
      </c>
      <c r="C3" s="8">
        <v>45583</v>
      </c>
      <c r="D3" s="8">
        <v>45746</v>
      </c>
      <c r="E3" s="14">
        <v>163</v>
      </c>
      <c r="F3" t="s">
        <v>1573</v>
      </c>
      <c r="G3" s="14">
        <v>1</v>
      </c>
      <c r="H3" t="s">
        <v>1574</v>
      </c>
      <c r="I3" t="s">
        <v>1527</v>
      </c>
      <c r="J3" s="29">
        <v>0.08</v>
      </c>
      <c r="K3" s="9">
        <v>34996622</v>
      </c>
      <c r="L3" s="9">
        <v>0</v>
      </c>
      <c r="M3" s="9">
        <v>1290987</v>
      </c>
      <c r="N3" s="9">
        <v>0</v>
      </c>
      <c r="O3" s="15">
        <v>8.3064145208953943E-2</v>
      </c>
      <c r="P3" s="9">
        <f t="shared" ref="P3:P28" si="0">K3*J3</f>
        <v>2799729.7600000002</v>
      </c>
      <c r="Q3" s="9">
        <f t="shared" ref="Q3:Q28" si="1">O3*K3</f>
        <v>2906964.4916308722</v>
      </c>
    </row>
    <row r="4" spans="1:17" x14ac:dyDescent="0.25">
      <c r="A4" t="s">
        <v>761</v>
      </c>
      <c r="B4" t="s">
        <v>786</v>
      </c>
      <c r="C4" s="8">
        <v>45583</v>
      </c>
      <c r="D4" s="8">
        <v>45716</v>
      </c>
      <c r="E4" s="14">
        <v>133</v>
      </c>
      <c r="F4" t="s">
        <v>1573</v>
      </c>
      <c r="G4" s="14">
        <v>1</v>
      </c>
      <c r="H4" t="s">
        <v>1574</v>
      </c>
      <c r="I4" t="s">
        <v>1527</v>
      </c>
      <c r="J4" s="29">
        <v>0.08</v>
      </c>
      <c r="K4" s="9">
        <v>34996622</v>
      </c>
      <c r="L4" s="9">
        <v>0</v>
      </c>
      <c r="M4" s="9">
        <v>1049899</v>
      </c>
      <c r="N4" s="9">
        <v>0</v>
      </c>
      <c r="O4" s="15">
        <v>8.2474227630160352E-2</v>
      </c>
      <c r="P4" s="9">
        <f t="shared" si="0"/>
        <v>2799729.7600000002</v>
      </c>
      <c r="Q4" s="9">
        <f t="shared" si="1"/>
        <v>2886319.3691146774</v>
      </c>
    </row>
    <row r="5" spans="1:17" x14ac:dyDescent="0.25">
      <c r="A5" t="s">
        <v>761</v>
      </c>
      <c r="B5" t="s">
        <v>786</v>
      </c>
      <c r="C5" s="8">
        <v>45625</v>
      </c>
      <c r="D5" s="8">
        <v>45672</v>
      </c>
      <c r="E5" s="14">
        <v>47</v>
      </c>
      <c r="F5" t="s">
        <v>1575</v>
      </c>
      <c r="G5" s="14">
        <v>1</v>
      </c>
      <c r="H5" t="s">
        <v>1574</v>
      </c>
      <c r="I5" t="s">
        <v>1576</v>
      </c>
      <c r="J5" s="29">
        <v>0.08</v>
      </c>
      <c r="K5" s="9">
        <v>250000000</v>
      </c>
      <c r="L5" s="9">
        <v>0</v>
      </c>
      <c r="M5" s="9">
        <v>2722222</v>
      </c>
      <c r="N5" s="9">
        <v>0</v>
      </c>
      <c r="O5" s="15">
        <v>8.0880700893389626E-2</v>
      </c>
      <c r="P5" s="9">
        <f t="shared" si="0"/>
        <v>20000000</v>
      </c>
      <c r="Q5" s="9">
        <f t="shared" si="1"/>
        <v>20220175.223347407</v>
      </c>
    </row>
    <row r="6" spans="1:17" x14ac:dyDescent="0.25">
      <c r="A6" t="s">
        <v>761</v>
      </c>
      <c r="B6" t="s">
        <v>786</v>
      </c>
      <c r="C6" s="8">
        <v>45625</v>
      </c>
      <c r="D6" s="8">
        <v>45731</v>
      </c>
      <c r="E6" s="14">
        <v>106</v>
      </c>
      <c r="F6" t="s">
        <v>758</v>
      </c>
      <c r="G6" s="14">
        <v>1</v>
      </c>
      <c r="H6" t="s">
        <v>1574</v>
      </c>
      <c r="I6" t="s">
        <v>1576</v>
      </c>
      <c r="J6" s="29">
        <v>0.08</v>
      </c>
      <c r="K6" s="9">
        <v>250000000</v>
      </c>
      <c r="L6" s="9">
        <v>0</v>
      </c>
      <c r="M6" s="9">
        <v>6111111</v>
      </c>
      <c r="N6" s="9">
        <v>0</v>
      </c>
      <c r="O6" s="15">
        <v>8.2004555771296325E-2</v>
      </c>
      <c r="P6" s="9">
        <f t="shared" si="0"/>
        <v>20000000</v>
      </c>
      <c r="Q6" s="9">
        <f t="shared" si="1"/>
        <v>20501138.942824081</v>
      </c>
    </row>
    <row r="7" spans="1:17" x14ac:dyDescent="0.25">
      <c r="A7" t="s">
        <v>761</v>
      </c>
      <c r="B7" t="s">
        <v>786</v>
      </c>
      <c r="C7" s="8">
        <v>45625</v>
      </c>
      <c r="D7" s="8">
        <v>45762</v>
      </c>
      <c r="E7" s="14">
        <v>137</v>
      </c>
      <c r="F7" t="s">
        <v>758</v>
      </c>
      <c r="G7" s="14">
        <v>1</v>
      </c>
      <c r="H7" t="s">
        <v>1574</v>
      </c>
      <c r="I7" t="s">
        <v>1576</v>
      </c>
      <c r="J7" s="29">
        <v>0.08</v>
      </c>
      <c r="K7" s="9">
        <v>250000000</v>
      </c>
      <c r="L7" s="9">
        <v>0</v>
      </c>
      <c r="M7" s="9">
        <v>7722222</v>
      </c>
      <c r="N7" s="9">
        <v>0</v>
      </c>
      <c r="O7" s="15">
        <v>8.2549873806420676E-2</v>
      </c>
      <c r="P7" s="9">
        <f t="shared" si="0"/>
        <v>20000000</v>
      </c>
      <c r="Q7" s="9">
        <f t="shared" si="1"/>
        <v>20637468.451605167</v>
      </c>
    </row>
    <row r="8" spans="1:17" x14ac:dyDescent="0.25">
      <c r="A8" t="s">
        <v>761</v>
      </c>
      <c r="B8" t="s">
        <v>786</v>
      </c>
      <c r="C8" s="8">
        <v>45583</v>
      </c>
      <c r="D8" s="8">
        <v>45747</v>
      </c>
      <c r="E8" s="14">
        <v>164</v>
      </c>
      <c r="F8" t="s">
        <v>758</v>
      </c>
      <c r="G8" s="14">
        <v>1</v>
      </c>
      <c r="H8" t="s">
        <v>1574</v>
      </c>
      <c r="I8" t="s">
        <v>1577</v>
      </c>
      <c r="J8" s="29">
        <v>0.08</v>
      </c>
      <c r="K8" s="9">
        <v>842088452</v>
      </c>
      <c r="L8" s="9">
        <v>0</v>
      </c>
      <c r="M8" s="9">
        <v>31063707</v>
      </c>
      <c r="N8" s="9">
        <v>0</v>
      </c>
      <c r="O8" s="15">
        <v>8.3064143942981672E-2</v>
      </c>
      <c r="P8" s="9">
        <f t="shared" si="0"/>
        <v>67367076.159999996</v>
      </c>
      <c r="Q8" s="9">
        <f t="shared" si="1"/>
        <v>69947356.389650613</v>
      </c>
    </row>
    <row r="9" spans="1:17" x14ac:dyDescent="0.25">
      <c r="A9" t="s">
        <v>761</v>
      </c>
      <c r="B9" t="s">
        <v>786</v>
      </c>
      <c r="C9" s="8">
        <v>45583</v>
      </c>
      <c r="D9" s="8">
        <v>45808</v>
      </c>
      <c r="E9" s="14">
        <v>225</v>
      </c>
      <c r="F9" t="s">
        <v>758</v>
      </c>
      <c r="G9" s="14">
        <v>1</v>
      </c>
      <c r="H9" t="s">
        <v>1574</v>
      </c>
      <c r="I9" t="s">
        <v>1577</v>
      </c>
      <c r="J9" s="29">
        <v>0.08</v>
      </c>
      <c r="K9" s="9">
        <v>842088452</v>
      </c>
      <c r="L9" s="9">
        <v>0</v>
      </c>
      <c r="M9" s="9">
        <v>42852946</v>
      </c>
      <c r="N9" s="9">
        <v>0</v>
      </c>
      <c r="O9" s="15">
        <v>8.42893936196073E-2</v>
      </c>
      <c r="P9" s="9">
        <f t="shared" si="0"/>
        <v>67367076.159999996</v>
      </c>
      <c r="Q9" s="9">
        <f t="shared" si="1"/>
        <v>70979124.993153796</v>
      </c>
    </row>
    <row r="10" spans="1:17" x14ac:dyDescent="0.25">
      <c r="A10" t="s">
        <v>761</v>
      </c>
      <c r="B10" t="s">
        <v>786</v>
      </c>
      <c r="C10" s="8">
        <v>45567</v>
      </c>
      <c r="D10" s="8">
        <v>45879</v>
      </c>
      <c r="E10" s="14">
        <v>312</v>
      </c>
      <c r="F10" t="s">
        <v>758</v>
      </c>
      <c r="G10" s="14">
        <v>1</v>
      </c>
      <c r="H10" t="s">
        <v>1578</v>
      </c>
      <c r="I10" t="s">
        <v>1579</v>
      </c>
      <c r="J10" s="29">
        <v>0.08</v>
      </c>
      <c r="K10" s="9">
        <v>443396228</v>
      </c>
      <c r="L10" s="9">
        <v>0</v>
      </c>
      <c r="M10" s="9">
        <v>31037736</v>
      </c>
      <c r="N10" s="9">
        <v>0</v>
      </c>
      <c r="O10" s="15">
        <v>8.6021505384688418E-2</v>
      </c>
      <c r="P10" s="9">
        <f t="shared" si="0"/>
        <v>35471698.240000002</v>
      </c>
      <c r="Q10" s="9">
        <f t="shared" si="1"/>
        <v>38141611.014452532</v>
      </c>
    </row>
    <row r="11" spans="1:17" x14ac:dyDescent="0.25">
      <c r="A11" t="s">
        <v>761</v>
      </c>
      <c r="B11" t="s">
        <v>786</v>
      </c>
      <c r="C11" s="8">
        <v>45595</v>
      </c>
      <c r="D11" s="8">
        <v>45960</v>
      </c>
      <c r="E11" s="14">
        <v>365</v>
      </c>
      <c r="F11" t="s">
        <v>1580</v>
      </c>
      <c r="G11" s="14">
        <v>1</v>
      </c>
      <c r="H11" t="s">
        <v>1574</v>
      </c>
      <c r="I11" t="s">
        <v>1527</v>
      </c>
      <c r="J11" s="29">
        <v>0.08</v>
      </c>
      <c r="K11" s="9">
        <v>34997622</v>
      </c>
      <c r="L11" s="9">
        <v>0</v>
      </c>
      <c r="M11" s="9">
        <v>2854251</v>
      </c>
      <c r="N11" s="9">
        <v>0</v>
      </c>
      <c r="O11" s="15">
        <v>8.7103800033916795E-2</v>
      </c>
      <c r="P11" s="9">
        <f t="shared" si="0"/>
        <v>2799809.7600000002</v>
      </c>
      <c r="Q11" s="9">
        <f t="shared" si="1"/>
        <v>3048425.8683506073</v>
      </c>
    </row>
    <row r="12" spans="1:17" x14ac:dyDescent="0.25">
      <c r="A12" t="s">
        <v>761</v>
      </c>
      <c r="B12" t="s">
        <v>786</v>
      </c>
      <c r="C12" s="8">
        <v>45583</v>
      </c>
      <c r="D12" s="8">
        <v>45868</v>
      </c>
      <c r="E12" s="14">
        <v>285</v>
      </c>
      <c r="F12" t="s">
        <v>1580</v>
      </c>
      <c r="G12" s="14">
        <v>1</v>
      </c>
      <c r="H12" t="s">
        <v>1574</v>
      </c>
      <c r="I12" t="s">
        <v>1527</v>
      </c>
      <c r="J12" s="29">
        <v>0.08</v>
      </c>
      <c r="K12" s="9">
        <v>34996622</v>
      </c>
      <c r="L12" s="9">
        <v>0</v>
      </c>
      <c r="M12" s="9">
        <v>2232007</v>
      </c>
      <c r="N12" s="9">
        <v>0</v>
      </c>
      <c r="O12" s="15">
        <v>8.544979881497157E-2</v>
      </c>
      <c r="P12" s="9">
        <f t="shared" si="0"/>
        <v>2799729.7600000002</v>
      </c>
      <c r="Q12" s="9">
        <f t="shared" si="1"/>
        <v>2990454.3091036081</v>
      </c>
    </row>
    <row r="13" spans="1:17" x14ac:dyDescent="0.25">
      <c r="A13" t="s">
        <v>761</v>
      </c>
      <c r="B13" t="s">
        <v>786</v>
      </c>
      <c r="C13" s="8">
        <v>45583</v>
      </c>
      <c r="D13" s="8">
        <v>45930</v>
      </c>
      <c r="E13" s="14">
        <v>347</v>
      </c>
      <c r="F13" t="s">
        <v>1580</v>
      </c>
      <c r="G13" s="14">
        <v>1</v>
      </c>
      <c r="H13" t="s">
        <v>1574</v>
      </c>
      <c r="I13" t="s">
        <v>1527</v>
      </c>
      <c r="J13" s="29">
        <v>0.08</v>
      </c>
      <c r="K13" s="9">
        <v>34996622</v>
      </c>
      <c r="L13" s="9">
        <v>0</v>
      </c>
      <c r="M13" s="9">
        <v>2714182</v>
      </c>
      <c r="N13" s="9">
        <v>0</v>
      </c>
      <c r="O13" s="15">
        <v>8.6726088858215172E-2</v>
      </c>
      <c r="P13" s="9">
        <f t="shared" si="0"/>
        <v>2799729.7600000002</v>
      </c>
      <c r="Q13" s="9">
        <f t="shared" si="1"/>
        <v>3035120.1493093679</v>
      </c>
    </row>
    <row r="14" spans="1:17" x14ac:dyDescent="0.25">
      <c r="A14" t="s">
        <v>761</v>
      </c>
      <c r="B14" t="s">
        <v>786</v>
      </c>
      <c r="C14" s="8">
        <v>45567</v>
      </c>
      <c r="D14" s="8">
        <v>45910</v>
      </c>
      <c r="E14" s="14">
        <v>343</v>
      </c>
      <c r="F14" t="s">
        <v>758</v>
      </c>
      <c r="G14" s="14">
        <v>1</v>
      </c>
      <c r="H14" t="s">
        <v>1578</v>
      </c>
      <c r="I14" t="s">
        <v>1579</v>
      </c>
      <c r="J14" s="29">
        <v>0.08</v>
      </c>
      <c r="K14" s="9">
        <v>443396232</v>
      </c>
      <c r="L14" s="9">
        <v>0</v>
      </c>
      <c r="M14" s="9">
        <v>33993711</v>
      </c>
      <c r="N14" s="9">
        <v>0</v>
      </c>
      <c r="O14" s="15">
        <v>8.6642599252582511E-2</v>
      </c>
      <c r="P14" s="9">
        <f t="shared" si="0"/>
        <v>35471698.560000002</v>
      </c>
      <c r="Q14" s="9">
        <f t="shared" si="1"/>
        <v>38417002.0392811</v>
      </c>
    </row>
    <row r="15" spans="1:17" x14ac:dyDescent="0.25">
      <c r="A15" t="s">
        <v>761</v>
      </c>
      <c r="B15" t="s">
        <v>786</v>
      </c>
      <c r="C15" s="8">
        <v>45625</v>
      </c>
      <c r="D15" s="8">
        <v>45792</v>
      </c>
      <c r="E15" s="14">
        <v>167</v>
      </c>
      <c r="F15" t="s">
        <v>758</v>
      </c>
      <c r="G15" s="14">
        <v>1</v>
      </c>
      <c r="H15" t="s">
        <v>1574</v>
      </c>
      <c r="I15" t="s">
        <v>1576</v>
      </c>
      <c r="J15" s="29">
        <v>0.08</v>
      </c>
      <c r="K15" s="9">
        <v>250000000</v>
      </c>
      <c r="L15" s="9">
        <v>0</v>
      </c>
      <c r="M15" s="9">
        <v>9388889</v>
      </c>
      <c r="N15" s="9">
        <v>0</v>
      </c>
      <c r="O15" s="15">
        <v>8.3121680943487278E-2</v>
      </c>
      <c r="P15" s="9">
        <f t="shared" si="0"/>
        <v>20000000</v>
      </c>
      <c r="Q15" s="9">
        <f t="shared" si="1"/>
        <v>20780420.235871818</v>
      </c>
    </row>
    <row r="16" spans="1:17" x14ac:dyDescent="0.25">
      <c r="A16" t="s">
        <v>761</v>
      </c>
      <c r="B16" t="s">
        <v>786</v>
      </c>
      <c r="C16" s="8">
        <v>45583</v>
      </c>
      <c r="D16" s="8">
        <v>45716</v>
      </c>
      <c r="E16" s="14">
        <v>133</v>
      </c>
      <c r="F16" t="s">
        <v>758</v>
      </c>
      <c r="G16" s="14">
        <v>1</v>
      </c>
      <c r="H16" t="s">
        <v>1574</v>
      </c>
      <c r="I16" t="s">
        <v>1577</v>
      </c>
      <c r="J16" s="29">
        <v>0.08</v>
      </c>
      <c r="K16" s="9">
        <v>842088452</v>
      </c>
      <c r="L16" s="9">
        <v>0</v>
      </c>
      <c r="M16" s="9">
        <v>25262654</v>
      </c>
      <c r="N16" s="9">
        <v>0</v>
      </c>
      <c r="O16" s="15">
        <v>8.2474226848550158E-2</v>
      </c>
      <c r="P16" s="9">
        <f t="shared" si="0"/>
        <v>67367076.159999996</v>
      </c>
      <c r="Q16" s="9">
        <f t="shared" si="1"/>
        <v>69450594.016792446</v>
      </c>
    </row>
    <row r="17" spans="1:17" x14ac:dyDescent="0.25">
      <c r="A17" t="s">
        <v>761</v>
      </c>
      <c r="B17" t="s">
        <v>786</v>
      </c>
      <c r="C17" s="8">
        <v>45625</v>
      </c>
      <c r="D17" s="8">
        <v>45703</v>
      </c>
      <c r="E17" s="14">
        <v>78</v>
      </c>
      <c r="F17" t="s">
        <v>758</v>
      </c>
      <c r="G17" s="14">
        <v>1</v>
      </c>
      <c r="H17" t="s">
        <v>1574</v>
      </c>
      <c r="I17" t="s">
        <v>1576</v>
      </c>
      <c r="J17" s="29">
        <v>0.08</v>
      </c>
      <c r="K17" s="9">
        <v>250000000</v>
      </c>
      <c r="L17" s="9">
        <v>0</v>
      </c>
      <c r="M17" s="9">
        <v>4555556</v>
      </c>
      <c r="N17" s="9">
        <v>0</v>
      </c>
      <c r="O17" s="15">
        <v>8.1484834914413468E-2</v>
      </c>
      <c r="P17" s="9">
        <f t="shared" si="0"/>
        <v>20000000</v>
      </c>
      <c r="Q17" s="9">
        <f t="shared" si="1"/>
        <v>20371208.728603367</v>
      </c>
    </row>
    <row r="18" spans="1:17" x14ac:dyDescent="0.25">
      <c r="A18" t="s">
        <v>761</v>
      </c>
      <c r="B18" t="s">
        <v>786</v>
      </c>
      <c r="C18" s="8">
        <v>45583</v>
      </c>
      <c r="D18" s="8">
        <v>45777</v>
      </c>
      <c r="E18" s="14">
        <v>194</v>
      </c>
      <c r="F18" t="s">
        <v>758</v>
      </c>
      <c r="G18" s="14">
        <v>1</v>
      </c>
      <c r="H18" t="s">
        <v>1574</v>
      </c>
      <c r="I18" t="s">
        <v>1577</v>
      </c>
      <c r="J18" s="29">
        <v>0.08</v>
      </c>
      <c r="K18" s="9">
        <v>842088452</v>
      </c>
      <c r="L18" s="9">
        <v>0</v>
      </c>
      <c r="M18" s="9">
        <v>36677630</v>
      </c>
      <c r="N18" s="9">
        <v>0</v>
      </c>
      <c r="O18" s="15">
        <v>8.3643122639839584E-2</v>
      </c>
      <c r="P18" s="9">
        <f t="shared" si="0"/>
        <v>67367076.159999996</v>
      </c>
      <c r="Q18" s="9">
        <f t="shared" si="1"/>
        <v>70434907.664228663</v>
      </c>
    </row>
    <row r="19" spans="1:17" x14ac:dyDescent="0.25">
      <c r="A19" t="s">
        <v>761</v>
      </c>
      <c r="B19" t="s">
        <v>786</v>
      </c>
      <c r="C19" s="8">
        <v>45583</v>
      </c>
      <c r="D19" s="8">
        <v>45899</v>
      </c>
      <c r="E19" s="14">
        <v>316</v>
      </c>
      <c r="F19" t="s">
        <v>1580</v>
      </c>
      <c r="G19" s="14">
        <v>1</v>
      </c>
      <c r="H19" t="s">
        <v>1574</v>
      </c>
      <c r="I19" t="s">
        <v>1527</v>
      </c>
      <c r="J19" s="29">
        <v>0.08</v>
      </c>
      <c r="K19" s="9">
        <v>34996622</v>
      </c>
      <c r="L19" s="9">
        <v>0</v>
      </c>
      <c r="M19" s="9">
        <v>2488649</v>
      </c>
      <c r="N19" s="9">
        <v>0</v>
      </c>
      <c r="O19" s="15">
        <v>8.612440277343654E-2</v>
      </c>
      <c r="P19" s="9">
        <f t="shared" si="0"/>
        <v>2799729.7600000002</v>
      </c>
      <c r="Q19" s="9">
        <f t="shared" si="1"/>
        <v>3014063.1688377103</v>
      </c>
    </row>
    <row r="20" spans="1:17" x14ac:dyDescent="0.25">
      <c r="A20" t="s">
        <v>761</v>
      </c>
      <c r="B20" t="s">
        <v>786</v>
      </c>
      <c r="C20" s="8">
        <v>45625</v>
      </c>
      <c r="D20" s="8">
        <v>45823</v>
      </c>
      <c r="E20" s="14">
        <v>198</v>
      </c>
      <c r="F20" t="s">
        <v>758</v>
      </c>
      <c r="G20" s="14">
        <v>1</v>
      </c>
      <c r="H20" t="s">
        <v>1574</v>
      </c>
      <c r="I20" t="s">
        <v>1576</v>
      </c>
      <c r="J20" s="29">
        <v>0.08</v>
      </c>
      <c r="K20" s="9">
        <v>250000000</v>
      </c>
      <c r="L20" s="9">
        <v>0</v>
      </c>
      <c r="M20" s="9">
        <v>11166667</v>
      </c>
      <c r="N20" s="9">
        <v>0</v>
      </c>
      <c r="O20" s="15">
        <v>8.3740404862163859E-2</v>
      </c>
      <c r="P20" s="9">
        <f t="shared" si="0"/>
        <v>20000000</v>
      </c>
      <c r="Q20" s="9">
        <f t="shared" si="1"/>
        <v>20935101.215540964</v>
      </c>
    </row>
    <row r="21" spans="1:17" x14ac:dyDescent="0.25">
      <c r="A21" t="s">
        <v>761</v>
      </c>
      <c r="B21" t="s">
        <v>786</v>
      </c>
      <c r="C21" s="8">
        <v>45625</v>
      </c>
      <c r="D21" s="8">
        <v>45853</v>
      </c>
      <c r="E21" s="14">
        <v>228</v>
      </c>
      <c r="F21" t="s">
        <v>758</v>
      </c>
      <c r="G21" s="14">
        <v>1</v>
      </c>
      <c r="H21" t="s">
        <v>1574</v>
      </c>
      <c r="I21" t="s">
        <v>1576</v>
      </c>
      <c r="J21" s="29">
        <v>0.08</v>
      </c>
      <c r="K21" s="9">
        <v>250000000</v>
      </c>
      <c r="L21" s="9">
        <v>0</v>
      </c>
      <c r="M21" s="9">
        <v>12777778</v>
      </c>
      <c r="N21" s="9">
        <v>0</v>
      </c>
      <c r="O21" s="15">
        <v>8.4309133568439457E-2</v>
      </c>
      <c r="P21" s="9">
        <f t="shared" si="0"/>
        <v>20000000</v>
      </c>
      <c r="Q21" s="9">
        <f t="shared" si="1"/>
        <v>21077283.392109863</v>
      </c>
    </row>
    <row r="22" spans="1:17" x14ac:dyDescent="0.25">
      <c r="A22" t="s">
        <v>761</v>
      </c>
      <c r="B22" t="s">
        <v>786</v>
      </c>
      <c r="C22" s="8">
        <v>45625</v>
      </c>
      <c r="D22" s="8">
        <v>45884</v>
      </c>
      <c r="E22" s="14">
        <v>259</v>
      </c>
      <c r="F22" t="s">
        <v>758</v>
      </c>
      <c r="G22" s="14">
        <v>1</v>
      </c>
      <c r="H22" t="s">
        <v>1574</v>
      </c>
      <c r="I22" t="s">
        <v>1576</v>
      </c>
      <c r="J22" s="29">
        <v>0.08</v>
      </c>
      <c r="K22" s="9">
        <v>250000000</v>
      </c>
      <c r="L22" s="9">
        <v>0</v>
      </c>
      <c r="M22" s="9">
        <v>14666667</v>
      </c>
      <c r="N22" s="9">
        <v>0</v>
      </c>
      <c r="O22" s="15">
        <v>8.4985835814427521E-2</v>
      </c>
      <c r="P22" s="9">
        <f t="shared" si="0"/>
        <v>20000000</v>
      </c>
      <c r="Q22" s="9">
        <f t="shared" si="1"/>
        <v>21246458.953606881</v>
      </c>
    </row>
    <row r="23" spans="1:17" x14ac:dyDescent="0.25">
      <c r="A23" t="s">
        <v>761</v>
      </c>
      <c r="B23" t="s">
        <v>786</v>
      </c>
      <c r="C23" s="8">
        <v>45583</v>
      </c>
      <c r="D23" s="8">
        <v>45687</v>
      </c>
      <c r="E23" s="14">
        <v>104</v>
      </c>
      <c r="F23" t="s">
        <v>1580</v>
      </c>
      <c r="G23" s="14">
        <v>1</v>
      </c>
      <c r="H23" t="s">
        <v>1574</v>
      </c>
      <c r="I23" t="s">
        <v>1527</v>
      </c>
      <c r="J23" s="29">
        <v>0.08</v>
      </c>
      <c r="K23" s="9">
        <v>34996622</v>
      </c>
      <c r="L23" s="9">
        <v>0</v>
      </c>
      <c r="M23" s="9">
        <v>824365</v>
      </c>
      <c r="N23" s="9">
        <v>0</v>
      </c>
      <c r="O23" s="15">
        <v>8.1929904717736396E-2</v>
      </c>
      <c r="P23" s="9">
        <f t="shared" si="0"/>
        <v>2799729.7600000002</v>
      </c>
      <c r="Q23" s="9">
        <f t="shared" si="1"/>
        <v>2867269.9059026372</v>
      </c>
    </row>
    <row r="24" spans="1:17" x14ac:dyDescent="0.25">
      <c r="A24" t="s">
        <v>761</v>
      </c>
      <c r="B24" t="s">
        <v>786</v>
      </c>
      <c r="C24" s="8">
        <v>45583</v>
      </c>
      <c r="D24" s="8">
        <v>45838</v>
      </c>
      <c r="E24" s="14">
        <v>255</v>
      </c>
      <c r="F24" t="s">
        <v>1580</v>
      </c>
      <c r="G24" s="14">
        <v>1</v>
      </c>
      <c r="H24" t="s">
        <v>1574</v>
      </c>
      <c r="I24" t="s">
        <v>1527</v>
      </c>
      <c r="J24" s="29">
        <v>0.08</v>
      </c>
      <c r="K24" s="9">
        <v>34996622</v>
      </c>
      <c r="L24" s="9">
        <v>0</v>
      </c>
      <c r="M24" s="9">
        <v>1998696</v>
      </c>
      <c r="N24" s="9">
        <v>0</v>
      </c>
      <c r="O24" s="15">
        <v>8.4845628176752674E-2</v>
      </c>
      <c r="P24" s="9">
        <f t="shared" si="0"/>
        <v>2799729.7600000002</v>
      </c>
      <c r="Q24" s="9">
        <f t="shared" si="1"/>
        <v>2969310.3776543625</v>
      </c>
    </row>
    <row r="25" spans="1:17" x14ac:dyDescent="0.25">
      <c r="A25" t="s">
        <v>761</v>
      </c>
      <c r="B25" t="s">
        <v>786</v>
      </c>
      <c r="C25" s="8">
        <v>45583</v>
      </c>
      <c r="D25" s="8">
        <v>45777</v>
      </c>
      <c r="E25" s="14">
        <v>194</v>
      </c>
      <c r="F25" t="s">
        <v>1580</v>
      </c>
      <c r="G25" s="14">
        <v>1</v>
      </c>
      <c r="H25" t="s">
        <v>1574</v>
      </c>
      <c r="I25" t="s">
        <v>1527</v>
      </c>
      <c r="J25" s="29">
        <v>0.08</v>
      </c>
      <c r="K25" s="9">
        <v>34996622</v>
      </c>
      <c r="L25" s="9">
        <v>0</v>
      </c>
      <c r="M25" s="9">
        <v>1524297</v>
      </c>
      <c r="N25" s="9">
        <v>0</v>
      </c>
      <c r="O25" s="15">
        <v>8.3643121892488792E-2</v>
      </c>
      <c r="P25" s="9">
        <f t="shared" si="0"/>
        <v>2799729.7600000002</v>
      </c>
      <c r="Q25" s="9">
        <f t="shared" si="1"/>
        <v>2927226.7197713549</v>
      </c>
    </row>
    <row r="26" spans="1:17" x14ac:dyDescent="0.25">
      <c r="A26" t="s">
        <v>761</v>
      </c>
      <c r="B26" t="s">
        <v>786</v>
      </c>
      <c r="C26" s="8">
        <v>45583</v>
      </c>
      <c r="D26" s="8">
        <v>45807</v>
      </c>
      <c r="E26" s="14">
        <v>224</v>
      </c>
      <c r="F26" t="s">
        <v>1580</v>
      </c>
      <c r="G26" s="14">
        <v>1</v>
      </c>
      <c r="H26" t="s">
        <v>1574</v>
      </c>
      <c r="I26" t="s">
        <v>1527</v>
      </c>
      <c r="J26" s="29">
        <v>0.08</v>
      </c>
      <c r="K26" s="9">
        <v>34996622</v>
      </c>
      <c r="L26" s="9">
        <v>0</v>
      </c>
      <c r="M26" s="9">
        <v>1757608</v>
      </c>
      <c r="N26" s="9">
        <v>0</v>
      </c>
      <c r="O26" s="15">
        <v>8.4230228971292592E-2</v>
      </c>
      <c r="P26" s="9">
        <f t="shared" si="0"/>
        <v>2799729.7600000002</v>
      </c>
      <c r="Q26" s="9">
        <f t="shared" si="1"/>
        <v>2947773.4842817755</v>
      </c>
    </row>
    <row r="27" spans="1:17" x14ac:dyDescent="0.25">
      <c r="A27" t="s">
        <v>1496</v>
      </c>
      <c r="B27" t="s">
        <v>764</v>
      </c>
      <c r="C27" s="8">
        <v>45572</v>
      </c>
      <c r="D27" s="8">
        <v>45595</v>
      </c>
      <c r="E27" s="14">
        <v>23</v>
      </c>
      <c r="F27" t="s">
        <v>1581</v>
      </c>
      <c r="G27" s="14">
        <v>32</v>
      </c>
      <c r="H27" t="s">
        <v>779</v>
      </c>
      <c r="I27" t="s">
        <v>770</v>
      </c>
      <c r="J27" s="29">
        <v>0.09</v>
      </c>
      <c r="K27" s="9">
        <v>9892091</v>
      </c>
      <c r="L27" s="9">
        <v>0</v>
      </c>
      <c r="M27" s="9">
        <v>123854</v>
      </c>
      <c r="N27" s="9">
        <v>0</v>
      </c>
      <c r="O27" s="15">
        <v>9.1141133246459921E-2</v>
      </c>
      <c r="P27" s="9">
        <f t="shared" si="0"/>
        <v>890288.19</v>
      </c>
      <c r="Q27" s="9">
        <f t="shared" si="1"/>
        <v>901576.38391710701</v>
      </c>
    </row>
    <row r="28" spans="1:17" x14ac:dyDescent="0.25">
      <c r="A28" t="s">
        <v>1496</v>
      </c>
      <c r="B28" t="s">
        <v>764</v>
      </c>
      <c r="C28" s="8">
        <v>45572</v>
      </c>
      <c r="D28" s="8">
        <v>45595</v>
      </c>
      <c r="E28" s="14">
        <v>23</v>
      </c>
      <c r="F28" t="s">
        <v>1581</v>
      </c>
      <c r="G28" s="14">
        <v>32</v>
      </c>
      <c r="H28" t="s">
        <v>779</v>
      </c>
      <c r="I28" t="s">
        <v>770</v>
      </c>
      <c r="J28" s="29">
        <v>0.09</v>
      </c>
      <c r="K28" s="9">
        <v>321030</v>
      </c>
      <c r="L28" s="9">
        <v>0</v>
      </c>
      <c r="M28" s="9">
        <v>7406</v>
      </c>
      <c r="N28" s="9">
        <v>0</v>
      </c>
      <c r="O28" s="15">
        <v>9.2125283779302611E-2</v>
      </c>
      <c r="P28" s="9">
        <f t="shared" si="0"/>
        <v>28892.7</v>
      </c>
      <c r="Q28" s="9">
        <f t="shared" si="1"/>
        <v>29574.979851669515</v>
      </c>
    </row>
  </sheetData>
  <autoFilter ref="A1:Q28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0"/>
  <sheetViews>
    <sheetView zoomScale="110" zoomScaleNormal="110" zoomScaleSheetLayoutView="70" workbookViewId="0">
      <pane ySplit="1" topLeftCell="A306" activePane="bottomLeft" state="frozen"/>
      <selection pane="bottomLeft"/>
    </sheetView>
  </sheetViews>
  <sheetFormatPr baseColWidth="10" defaultColWidth="9.140625" defaultRowHeight="15" x14ac:dyDescent="0.25"/>
  <cols>
    <col min="1" max="1" width="10.28515625" style="30" customWidth="1"/>
    <col min="2" max="2" width="10.7109375" style="30" customWidth="1"/>
    <col min="3" max="3" width="14.7109375" style="32" customWidth="1"/>
    <col min="4" max="4" width="14.140625" style="32" customWidth="1"/>
    <col min="5" max="5" width="11.85546875" style="30" customWidth="1"/>
    <col min="6" max="6" width="38.140625" style="30" customWidth="1"/>
    <col min="7" max="7" width="9.5703125" style="30" customWidth="1"/>
    <col min="8" max="8" width="15.28515625" style="30" customWidth="1"/>
    <col min="9" max="9" width="30.85546875" style="30" customWidth="1"/>
    <col min="10" max="10" width="16.85546875" style="31" bestFit="1" customWidth="1"/>
    <col min="11" max="11" width="12.28515625" style="30" bestFit="1" customWidth="1"/>
    <col min="12" max="12" width="9.140625" style="30"/>
    <col min="13" max="13" width="11.140625" style="30" bestFit="1" customWidth="1"/>
    <col min="14" max="14" width="9.140625" style="30"/>
    <col min="15" max="15" width="15.7109375" style="30" bestFit="1" customWidth="1"/>
    <col min="16" max="16384" width="9.140625" style="30"/>
  </cols>
  <sheetData>
    <row r="1" spans="1:15" s="38" customFormat="1" x14ac:dyDescent="0.25">
      <c r="A1" s="40" t="s">
        <v>1636</v>
      </c>
      <c r="B1" s="40" t="s">
        <v>1635</v>
      </c>
      <c r="C1" s="42" t="s">
        <v>1634</v>
      </c>
      <c r="D1" s="42" t="s">
        <v>1633</v>
      </c>
      <c r="E1" s="40" t="s">
        <v>1632</v>
      </c>
      <c r="F1" s="40" t="s">
        <v>1631</v>
      </c>
      <c r="G1" s="40" t="s">
        <v>1630</v>
      </c>
      <c r="H1" s="40" t="s">
        <v>1629</v>
      </c>
      <c r="I1" s="40" t="s">
        <v>1628</v>
      </c>
      <c r="J1" s="41" t="s">
        <v>1627</v>
      </c>
      <c r="K1" s="40" t="s">
        <v>1626</v>
      </c>
      <c r="L1" s="40" t="s">
        <v>1625</v>
      </c>
      <c r="M1" s="40" t="s">
        <v>1624</v>
      </c>
      <c r="N1" s="40" t="s">
        <v>1623</v>
      </c>
      <c r="O1" s="39" t="s">
        <v>28</v>
      </c>
    </row>
    <row r="2" spans="1:15" x14ac:dyDescent="0.25">
      <c r="A2" s="30" t="s">
        <v>728</v>
      </c>
      <c r="B2" s="30">
        <v>30019</v>
      </c>
      <c r="C2" s="32">
        <v>45567</v>
      </c>
      <c r="D2" s="32">
        <v>45645</v>
      </c>
      <c r="E2" s="37">
        <f t="shared" ref="E2:E65" si="0">DATEDIF(C2,D2,"yd")</f>
        <v>78</v>
      </c>
      <c r="F2" s="30" t="s">
        <v>1602</v>
      </c>
      <c r="G2" s="37">
        <v>32</v>
      </c>
      <c r="I2" s="30" t="s">
        <v>1601</v>
      </c>
      <c r="J2" s="36">
        <v>135000</v>
      </c>
      <c r="K2" s="35">
        <f t="shared" ref="K2:K65" si="1">J2*1.5%</f>
        <v>2025</v>
      </c>
      <c r="L2" s="35">
        <f t="shared" ref="L2:L65" si="2">(J2*7%)/360</f>
        <v>26.25</v>
      </c>
      <c r="M2" s="35">
        <f t="shared" ref="M2:M65" si="3">J2*0.5%</f>
        <v>675</v>
      </c>
      <c r="N2" s="34">
        <v>9.3205128205128204E-2</v>
      </c>
      <c r="O2" s="33">
        <f t="shared" ref="O2:O65" si="4">N2*J2</f>
        <v>12582.692307692307</v>
      </c>
    </row>
    <row r="3" spans="1:15" x14ac:dyDescent="0.25">
      <c r="A3" s="30" t="s">
        <v>728</v>
      </c>
      <c r="B3" s="30">
        <v>30019</v>
      </c>
      <c r="C3" s="32">
        <v>45567</v>
      </c>
      <c r="D3" s="32">
        <v>45645</v>
      </c>
      <c r="E3" s="37">
        <f t="shared" si="0"/>
        <v>78</v>
      </c>
      <c r="F3" s="30" t="s">
        <v>1602</v>
      </c>
      <c r="G3" s="37">
        <v>32</v>
      </c>
      <c r="I3" s="30" t="s">
        <v>1601</v>
      </c>
      <c r="J3" s="36">
        <v>189000</v>
      </c>
      <c r="K3" s="35">
        <f t="shared" si="1"/>
        <v>2835</v>
      </c>
      <c r="L3" s="35">
        <f t="shared" si="2"/>
        <v>36.750000000000007</v>
      </c>
      <c r="M3" s="35">
        <f t="shared" si="3"/>
        <v>945</v>
      </c>
      <c r="N3" s="34">
        <v>9.3205128205128204E-2</v>
      </c>
      <c r="O3" s="33">
        <f t="shared" si="4"/>
        <v>17615.76923076923</v>
      </c>
    </row>
    <row r="4" spans="1:15" x14ac:dyDescent="0.25">
      <c r="A4" s="30" t="s">
        <v>728</v>
      </c>
      <c r="B4" s="30">
        <v>30019</v>
      </c>
      <c r="C4" s="32">
        <v>45567</v>
      </c>
      <c r="D4" s="32">
        <v>45645</v>
      </c>
      <c r="E4" s="37">
        <f t="shared" si="0"/>
        <v>78</v>
      </c>
      <c r="F4" s="30" t="s">
        <v>1602</v>
      </c>
      <c r="G4" s="37">
        <v>32</v>
      </c>
      <c r="I4" s="30" t="s">
        <v>1601</v>
      </c>
      <c r="J4" s="36">
        <v>225000</v>
      </c>
      <c r="K4" s="35">
        <f t="shared" si="1"/>
        <v>3375</v>
      </c>
      <c r="L4" s="35">
        <f t="shared" si="2"/>
        <v>43.750000000000007</v>
      </c>
      <c r="M4" s="35">
        <f t="shared" si="3"/>
        <v>1125</v>
      </c>
      <c r="N4" s="34">
        <v>9.3205128205128204E-2</v>
      </c>
      <c r="O4" s="33">
        <f t="shared" si="4"/>
        <v>20971.153846153848</v>
      </c>
    </row>
    <row r="5" spans="1:15" x14ac:dyDescent="0.25">
      <c r="A5" s="30" t="s">
        <v>728</v>
      </c>
      <c r="B5" s="30">
        <v>30019</v>
      </c>
      <c r="C5" s="32">
        <v>45567</v>
      </c>
      <c r="D5" s="32">
        <v>45645</v>
      </c>
      <c r="E5" s="37">
        <f t="shared" si="0"/>
        <v>78</v>
      </c>
      <c r="F5" s="30" t="s">
        <v>1602</v>
      </c>
      <c r="G5" s="37">
        <v>32</v>
      </c>
      <c r="I5" s="30" t="s">
        <v>1601</v>
      </c>
      <c r="J5" s="36">
        <v>450000</v>
      </c>
      <c r="K5" s="35">
        <f t="shared" si="1"/>
        <v>6750</v>
      </c>
      <c r="L5" s="35">
        <f t="shared" si="2"/>
        <v>87.500000000000014</v>
      </c>
      <c r="M5" s="35">
        <f t="shared" si="3"/>
        <v>2250</v>
      </c>
      <c r="N5" s="34">
        <v>9.3205128205128204E-2</v>
      </c>
      <c r="O5" s="33">
        <f t="shared" si="4"/>
        <v>41942.307692307695</v>
      </c>
    </row>
    <row r="6" spans="1:15" x14ac:dyDescent="0.25">
      <c r="A6" s="30" t="s">
        <v>728</v>
      </c>
      <c r="B6" s="30">
        <v>30019</v>
      </c>
      <c r="C6" s="32">
        <v>45567</v>
      </c>
      <c r="D6" s="32">
        <v>45645</v>
      </c>
      <c r="E6" s="37">
        <f t="shared" si="0"/>
        <v>78</v>
      </c>
      <c r="F6" s="30" t="s">
        <v>1602</v>
      </c>
      <c r="G6" s="37">
        <v>32</v>
      </c>
      <c r="I6" s="30" t="s">
        <v>1601</v>
      </c>
      <c r="J6" s="36">
        <v>486000</v>
      </c>
      <c r="K6" s="35">
        <f t="shared" si="1"/>
        <v>7290</v>
      </c>
      <c r="L6" s="35">
        <f t="shared" si="2"/>
        <v>94.5</v>
      </c>
      <c r="M6" s="35">
        <f t="shared" si="3"/>
        <v>2430</v>
      </c>
      <c r="N6" s="34">
        <v>9.3205128205128204E-2</v>
      </c>
      <c r="O6" s="33">
        <f t="shared" si="4"/>
        <v>45297.692307692305</v>
      </c>
    </row>
    <row r="7" spans="1:15" x14ac:dyDescent="0.25">
      <c r="A7" s="30" t="s">
        <v>728</v>
      </c>
      <c r="B7" s="30">
        <v>30019</v>
      </c>
      <c r="C7" s="32">
        <v>45567</v>
      </c>
      <c r="D7" s="32">
        <v>45645</v>
      </c>
      <c r="E7" s="37">
        <f t="shared" si="0"/>
        <v>78</v>
      </c>
      <c r="F7" s="30" t="s">
        <v>1602</v>
      </c>
      <c r="G7" s="37">
        <v>32</v>
      </c>
      <c r="I7" s="30" t="s">
        <v>1601</v>
      </c>
      <c r="J7" s="36">
        <v>922500</v>
      </c>
      <c r="K7" s="35">
        <f t="shared" si="1"/>
        <v>13837.5</v>
      </c>
      <c r="L7" s="35">
        <f t="shared" si="2"/>
        <v>179.37500000000003</v>
      </c>
      <c r="M7" s="35">
        <f t="shared" si="3"/>
        <v>4612.5</v>
      </c>
      <c r="N7" s="34">
        <v>9.3205128205128204E-2</v>
      </c>
      <c r="O7" s="33">
        <f t="shared" si="4"/>
        <v>85981.730769230766</v>
      </c>
    </row>
    <row r="8" spans="1:15" x14ac:dyDescent="0.25">
      <c r="A8" s="30" t="s">
        <v>728</v>
      </c>
      <c r="B8" s="30">
        <v>30019</v>
      </c>
      <c r="C8" s="32">
        <v>45568</v>
      </c>
      <c r="D8" s="32">
        <v>45590</v>
      </c>
      <c r="E8" s="37">
        <f t="shared" si="0"/>
        <v>22</v>
      </c>
      <c r="F8" s="30" t="s">
        <v>1604</v>
      </c>
      <c r="G8" s="37">
        <v>32</v>
      </c>
      <c r="I8" s="30" t="s">
        <v>1603</v>
      </c>
      <c r="J8" s="36">
        <v>2116418</v>
      </c>
      <c r="K8" s="35">
        <f t="shared" si="1"/>
        <v>31746.27</v>
      </c>
      <c r="L8" s="35">
        <f t="shared" si="2"/>
        <v>411.52572222222227</v>
      </c>
      <c r="M8" s="35">
        <f t="shared" si="3"/>
        <v>10582.09</v>
      </c>
      <c r="N8" s="34">
        <v>0.3304545454545455</v>
      </c>
      <c r="O8" s="33">
        <f t="shared" si="4"/>
        <v>699379.94818181824</v>
      </c>
    </row>
    <row r="9" spans="1:15" x14ac:dyDescent="0.25">
      <c r="A9" s="30" t="s">
        <v>728</v>
      </c>
      <c r="B9" s="30">
        <v>30019</v>
      </c>
      <c r="C9" s="32">
        <v>45568</v>
      </c>
      <c r="D9" s="32">
        <v>45616</v>
      </c>
      <c r="E9" s="37">
        <f t="shared" si="0"/>
        <v>48</v>
      </c>
      <c r="F9" s="30" t="s">
        <v>1602</v>
      </c>
      <c r="G9" s="37">
        <v>32</v>
      </c>
      <c r="I9" s="30" t="s">
        <v>1601</v>
      </c>
      <c r="J9" s="36">
        <v>225000</v>
      </c>
      <c r="K9" s="35">
        <f t="shared" si="1"/>
        <v>3375</v>
      </c>
      <c r="L9" s="35">
        <f t="shared" si="2"/>
        <v>43.750000000000007</v>
      </c>
      <c r="M9" s="35">
        <f t="shared" si="3"/>
        <v>1125</v>
      </c>
      <c r="N9" s="34">
        <v>0.15145833333333333</v>
      </c>
      <c r="O9" s="33">
        <f t="shared" si="4"/>
        <v>34078.125</v>
      </c>
    </row>
    <row r="10" spans="1:15" x14ac:dyDescent="0.25">
      <c r="A10" s="30" t="s">
        <v>728</v>
      </c>
      <c r="B10" s="30">
        <v>30019</v>
      </c>
      <c r="C10" s="32">
        <v>45568</v>
      </c>
      <c r="D10" s="32">
        <v>45616</v>
      </c>
      <c r="E10" s="37">
        <f t="shared" si="0"/>
        <v>48</v>
      </c>
      <c r="F10" s="30" t="s">
        <v>1602</v>
      </c>
      <c r="G10" s="37">
        <v>32</v>
      </c>
      <c r="I10" s="30" t="s">
        <v>1601</v>
      </c>
      <c r="J10" s="36">
        <v>450000</v>
      </c>
      <c r="K10" s="35">
        <f t="shared" si="1"/>
        <v>6750</v>
      </c>
      <c r="L10" s="35">
        <f t="shared" si="2"/>
        <v>87.500000000000014</v>
      </c>
      <c r="M10" s="35">
        <f t="shared" si="3"/>
        <v>2250</v>
      </c>
      <c r="N10" s="34">
        <v>0.15145833333333333</v>
      </c>
      <c r="O10" s="33">
        <f t="shared" si="4"/>
        <v>68156.25</v>
      </c>
    </row>
    <row r="11" spans="1:15" x14ac:dyDescent="0.25">
      <c r="A11" s="30" t="s">
        <v>728</v>
      </c>
      <c r="B11" s="30">
        <v>30019</v>
      </c>
      <c r="C11" s="32">
        <v>45568</v>
      </c>
      <c r="D11" s="32">
        <v>45616</v>
      </c>
      <c r="E11" s="37">
        <f t="shared" si="0"/>
        <v>48</v>
      </c>
      <c r="F11" s="30" t="s">
        <v>1602</v>
      </c>
      <c r="G11" s="37">
        <v>32</v>
      </c>
      <c r="I11" s="30" t="s">
        <v>1601</v>
      </c>
      <c r="J11" s="36">
        <v>787500</v>
      </c>
      <c r="K11" s="35">
        <f t="shared" si="1"/>
        <v>11812.5</v>
      </c>
      <c r="L11" s="35">
        <f t="shared" si="2"/>
        <v>153.12500000000003</v>
      </c>
      <c r="M11" s="35">
        <f t="shared" si="3"/>
        <v>3937.5</v>
      </c>
      <c r="N11" s="34">
        <v>0.15145833333333333</v>
      </c>
      <c r="O11" s="33">
        <f t="shared" si="4"/>
        <v>119273.4375</v>
      </c>
    </row>
    <row r="12" spans="1:15" x14ac:dyDescent="0.25">
      <c r="A12" s="30" t="s">
        <v>728</v>
      </c>
      <c r="B12" s="30">
        <v>30019</v>
      </c>
      <c r="C12" s="32">
        <v>45568</v>
      </c>
      <c r="D12" s="32">
        <v>45616</v>
      </c>
      <c r="E12" s="37">
        <f t="shared" si="0"/>
        <v>48</v>
      </c>
      <c r="F12" s="30" t="s">
        <v>1602</v>
      </c>
      <c r="G12" s="37">
        <v>32</v>
      </c>
      <c r="I12" s="30" t="s">
        <v>1601</v>
      </c>
      <c r="J12" s="36">
        <v>9612540</v>
      </c>
      <c r="K12" s="35">
        <f t="shared" si="1"/>
        <v>144188.1</v>
      </c>
      <c r="L12" s="35">
        <f t="shared" si="2"/>
        <v>1869.105</v>
      </c>
      <c r="M12" s="35">
        <f t="shared" si="3"/>
        <v>48062.700000000004</v>
      </c>
      <c r="N12" s="34">
        <v>0.15145833333333336</v>
      </c>
      <c r="O12" s="33">
        <f t="shared" si="4"/>
        <v>1455899.2875000003</v>
      </c>
    </row>
    <row r="13" spans="1:15" x14ac:dyDescent="0.25">
      <c r="A13" s="30" t="s">
        <v>728</v>
      </c>
      <c r="B13" s="30">
        <v>30019</v>
      </c>
      <c r="C13" s="32">
        <v>45568</v>
      </c>
      <c r="D13" s="32">
        <v>45617</v>
      </c>
      <c r="E13" s="37">
        <f t="shared" si="0"/>
        <v>49</v>
      </c>
      <c r="F13" s="30" t="s">
        <v>1602</v>
      </c>
      <c r="G13" s="37">
        <v>32</v>
      </c>
      <c r="I13" s="30" t="s">
        <v>1601</v>
      </c>
      <c r="J13" s="36">
        <v>191700</v>
      </c>
      <c r="K13" s="35">
        <f t="shared" si="1"/>
        <v>2875.5</v>
      </c>
      <c r="L13" s="35">
        <f t="shared" si="2"/>
        <v>37.275000000000006</v>
      </c>
      <c r="M13" s="35">
        <f t="shared" si="3"/>
        <v>958.5</v>
      </c>
      <c r="N13" s="34">
        <v>0.14836734693877551</v>
      </c>
      <c r="O13" s="33">
        <f t="shared" si="4"/>
        <v>28442.020408163266</v>
      </c>
    </row>
    <row r="14" spans="1:15" x14ac:dyDescent="0.25">
      <c r="A14" s="30" t="s">
        <v>728</v>
      </c>
      <c r="B14" s="30">
        <v>30019</v>
      </c>
      <c r="C14" s="32">
        <v>45568</v>
      </c>
      <c r="D14" s="32">
        <v>45617</v>
      </c>
      <c r="E14" s="37">
        <f t="shared" si="0"/>
        <v>49</v>
      </c>
      <c r="F14" s="30" t="s">
        <v>1602</v>
      </c>
      <c r="G14" s="37">
        <v>32</v>
      </c>
      <c r="I14" s="30" t="s">
        <v>1601</v>
      </c>
      <c r="J14" s="36">
        <v>306720</v>
      </c>
      <c r="K14" s="35">
        <f t="shared" si="1"/>
        <v>4600.8</v>
      </c>
      <c r="L14" s="35">
        <f t="shared" si="2"/>
        <v>59.64</v>
      </c>
      <c r="M14" s="35">
        <f t="shared" si="3"/>
        <v>1533.6000000000001</v>
      </c>
      <c r="N14" s="34">
        <v>0.14836734693877554</v>
      </c>
      <c r="O14" s="33">
        <f t="shared" si="4"/>
        <v>45507.232653061234</v>
      </c>
    </row>
    <row r="15" spans="1:15" x14ac:dyDescent="0.25">
      <c r="A15" s="30" t="s">
        <v>728</v>
      </c>
      <c r="B15" s="30">
        <v>30019</v>
      </c>
      <c r="C15" s="32">
        <v>45568</v>
      </c>
      <c r="D15" s="32">
        <v>45617</v>
      </c>
      <c r="E15" s="37">
        <f t="shared" si="0"/>
        <v>49</v>
      </c>
      <c r="F15" s="30" t="s">
        <v>1602</v>
      </c>
      <c r="G15" s="37">
        <v>32</v>
      </c>
      <c r="I15" s="30" t="s">
        <v>1601</v>
      </c>
      <c r="J15" s="36">
        <v>530100</v>
      </c>
      <c r="K15" s="35">
        <f t="shared" si="1"/>
        <v>7951.5</v>
      </c>
      <c r="L15" s="35">
        <f t="shared" si="2"/>
        <v>103.075</v>
      </c>
      <c r="M15" s="35">
        <f t="shared" si="3"/>
        <v>2650.5</v>
      </c>
      <c r="N15" s="34">
        <v>0.14836734693877551</v>
      </c>
      <c r="O15" s="33">
        <f t="shared" si="4"/>
        <v>78649.530612244896</v>
      </c>
    </row>
    <row r="16" spans="1:15" x14ac:dyDescent="0.25">
      <c r="A16" s="30" t="s">
        <v>728</v>
      </c>
      <c r="B16" s="30">
        <v>30019</v>
      </c>
      <c r="C16" s="32">
        <v>45568</v>
      </c>
      <c r="D16" s="32">
        <v>45617</v>
      </c>
      <c r="E16" s="37">
        <f t="shared" si="0"/>
        <v>49</v>
      </c>
      <c r="F16" s="30" t="s">
        <v>1602</v>
      </c>
      <c r="G16" s="37">
        <v>32</v>
      </c>
      <c r="I16" s="30" t="s">
        <v>1601</v>
      </c>
      <c r="J16" s="36">
        <v>553500</v>
      </c>
      <c r="K16" s="35">
        <f t="shared" si="1"/>
        <v>8302.5</v>
      </c>
      <c r="L16" s="35">
        <f t="shared" si="2"/>
        <v>107.62500000000001</v>
      </c>
      <c r="M16" s="35">
        <f t="shared" si="3"/>
        <v>2767.5</v>
      </c>
      <c r="N16" s="34">
        <v>0.14836734693877551</v>
      </c>
      <c r="O16" s="33">
        <f t="shared" si="4"/>
        <v>82121.326530612248</v>
      </c>
    </row>
    <row r="17" spans="1:15" x14ac:dyDescent="0.25">
      <c r="A17" s="30" t="s">
        <v>728</v>
      </c>
      <c r="B17" s="30">
        <v>30019</v>
      </c>
      <c r="C17" s="32">
        <v>45568</v>
      </c>
      <c r="D17" s="32">
        <v>45617</v>
      </c>
      <c r="E17" s="37">
        <f t="shared" si="0"/>
        <v>49</v>
      </c>
      <c r="F17" s="30" t="s">
        <v>1602</v>
      </c>
      <c r="G17" s="37">
        <v>32</v>
      </c>
      <c r="I17" s="30" t="s">
        <v>1601</v>
      </c>
      <c r="J17" s="36">
        <v>693000</v>
      </c>
      <c r="K17" s="35">
        <f t="shared" si="1"/>
        <v>10395</v>
      </c>
      <c r="L17" s="35">
        <f t="shared" si="2"/>
        <v>134.75000000000003</v>
      </c>
      <c r="M17" s="35">
        <f t="shared" si="3"/>
        <v>3465</v>
      </c>
      <c r="N17" s="34">
        <v>0.14836734693877551</v>
      </c>
      <c r="O17" s="33">
        <f t="shared" si="4"/>
        <v>102818.57142857143</v>
      </c>
    </row>
    <row r="18" spans="1:15" x14ac:dyDescent="0.25">
      <c r="A18" s="30" t="s">
        <v>728</v>
      </c>
      <c r="B18" s="30">
        <v>30019</v>
      </c>
      <c r="C18" s="32">
        <v>45568</v>
      </c>
      <c r="D18" s="32">
        <v>45617</v>
      </c>
      <c r="E18" s="37">
        <f t="shared" si="0"/>
        <v>49</v>
      </c>
      <c r="F18" s="30" t="s">
        <v>1602</v>
      </c>
      <c r="G18" s="37">
        <v>32</v>
      </c>
      <c r="I18" s="30" t="s">
        <v>1601</v>
      </c>
      <c r="J18" s="36">
        <v>718200</v>
      </c>
      <c r="K18" s="35">
        <f t="shared" si="1"/>
        <v>10773</v>
      </c>
      <c r="L18" s="35">
        <f t="shared" si="2"/>
        <v>139.65000000000003</v>
      </c>
      <c r="M18" s="35">
        <f t="shared" si="3"/>
        <v>3591</v>
      </c>
      <c r="N18" s="34">
        <v>0.14836734693877551</v>
      </c>
      <c r="O18" s="33">
        <f t="shared" si="4"/>
        <v>106557.42857142858</v>
      </c>
    </row>
    <row r="19" spans="1:15" x14ac:dyDescent="0.25">
      <c r="A19" s="30" t="s">
        <v>728</v>
      </c>
      <c r="B19" s="30">
        <v>30019</v>
      </c>
      <c r="C19" s="32">
        <v>45568</v>
      </c>
      <c r="D19" s="32">
        <v>45617</v>
      </c>
      <c r="E19" s="37">
        <f t="shared" si="0"/>
        <v>49</v>
      </c>
      <c r="F19" s="30" t="s">
        <v>1602</v>
      </c>
      <c r="G19" s="37">
        <v>32</v>
      </c>
      <c r="I19" s="30" t="s">
        <v>1601</v>
      </c>
      <c r="J19" s="36">
        <v>843480</v>
      </c>
      <c r="K19" s="35">
        <f t="shared" si="1"/>
        <v>12652.199999999999</v>
      </c>
      <c r="L19" s="35">
        <f t="shared" si="2"/>
        <v>164.01000000000002</v>
      </c>
      <c r="M19" s="35">
        <f t="shared" si="3"/>
        <v>4217.3999999999996</v>
      </c>
      <c r="N19" s="34">
        <v>0.14836734693877551</v>
      </c>
      <c r="O19" s="33">
        <f t="shared" si="4"/>
        <v>125144.88979591837</v>
      </c>
    </row>
    <row r="20" spans="1:15" x14ac:dyDescent="0.25">
      <c r="A20" s="30" t="s">
        <v>728</v>
      </c>
      <c r="B20" s="30">
        <v>30019</v>
      </c>
      <c r="C20" s="32">
        <v>45568</v>
      </c>
      <c r="D20" s="32">
        <v>45617</v>
      </c>
      <c r="E20" s="37">
        <f t="shared" si="0"/>
        <v>49</v>
      </c>
      <c r="F20" s="30" t="s">
        <v>1602</v>
      </c>
      <c r="G20" s="37">
        <v>32</v>
      </c>
      <c r="I20" s="30" t="s">
        <v>1601</v>
      </c>
      <c r="J20" s="36">
        <v>848700</v>
      </c>
      <c r="K20" s="35">
        <f t="shared" si="1"/>
        <v>12730.5</v>
      </c>
      <c r="L20" s="35">
        <f t="shared" si="2"/>
        <v>165.02500000000003</v>
      </c>
      <c r="M20" s="35">
        <f t="shared" si="3"/>
        <v>4243.5</v>
      </c>
      <c r="N20" s="34">
        <v>0.14836734693877551</v>
      </c>
      <c r="O20" s="33">
        <f t="shared" si="4"/>
        <v>125919.36734693877</v>
      </c>
    </row>
    <row r="21" spans="1:15" x14ac:dyDescent="0.25">
      <c r="A21" s="30" t="s">
        <v>728</v>
      </c>
      <c r="B21" s="30">
        <v>30019</v>
      </c>
      <c r="C21" s="32">
        <v>45568</v>
      </c>
      <c r="D21" s="32">
        <v>45617</v>
      </c>
      <c r="E21" s="37">
        <f t="shared" si="0"/>
        <v>49</v>
      </c>
      <c r="F21" s="30" t="s">
        <v>1602</v>
      </c>
      <c r="G21" s="37">
        <v>32</v>
      </c>
      <c r="I21" s="30" t="s">
        <v>1601</v>
      </c>
      <c r="J21" s="36">
        <v>922500</v>
      </c>
      <c r="K21" s="35">
        <f t="shared" si="1"/>
        <v>13837.5</v>
      </c>
      <c r="L21" s="35">
        <f t="shared" si="2"/>
        <v>179.37500000000003</v>
      </c>
      <c r="M21" s="35">
        <f t="shared" si="3"/>
        <v>4612.5</v>
      </c>
      <c r="N21" s="34">
        <v>0.14836734693877551</v>
      </c>
      <c r="O21" s="33">
        <f t="shared" si="4"/>
        <v>136868.87755102041</v>
      </c>
    </row>
    <row r="22" spans="1:15" x14ac:dyDescent="0.25">
      <c r="A22" s="30" t="s">
        <v>728</v>
      </c>
      <c r="B22" s="30">
        <v>30019</v>
      </c>
      <c r="C22" s="32">
        <v>45568</v>
      </c>
      <c r="D22" s="32">
        <v>45617</v>
      </c>
      <c r="E22" s="37">
        <f t="shared" si="0"/>
        <v>49</v>
      </c>
      <c r="F22" s="30" t="s">
        <v>1602</v>
      </c>
      <c r="G22" s="37">
        <v>32</v>
      </c>
      <c r="I22" s="30" t="s">
        <v>1601</v>
      </c>
      <c r="J22" s="36">
        <v>1254600</v>
      </c>
      <c r="K22" s="35">
        <f t="shared" si="1"/>
        <v>18819</v>
      </c>
      <c r="L22" s="35">
        <f t="shared" si="2"/>
        <v>243.95000000000005</v>
      </c>
      <c r="M22" s="35">
        <f t="shared" si="3"/>
        <v>6273</v>
      </c>
      <c r="N22" s="34">
        <v>0.14836734693877551</v>
      </c>
      <c r="O22" s="33">
        <f t="shared" si="4"/>
        <v>186141.67346938775</v>
      </c>
    </row>
    <row r="23" spans="1:15" x14ac:dyDescent="0.25">
      <c r="A23" s="30" t="s">
        <v>728</v>
      </c>
      <c r="B23" s="30">
        <v>30019</v>
      </c>
      <c r="C23" s="32">
        <v>45568</v>
      </c>
      <c r="D23" s="32">
        <v>45617</v>
      </c>
      <c r="E23" s="37">
        <f t="shared" si="0"/>
        <v>49</v>
      </c>
      <c r="F23" s="30" t="s">
        <v>1602</v>
      </c>
      <c r="G23" s="37">
        <v>32</v>
      </c>
      <c r="I23" s="30" t="s">
        <v>1601</v>
      </c>
      <c r="J23" s="36">
        <v>1419480</v>
      </c>
      <c r="K23" s="35">
        <f t="shared" si="1"/>
        <v>21292.2</v>
      </c>
      <c r="L23" s="35">
        <f t="shared" si="2"/>
        <v>276.01</v>
      </c>
      <c r="M23" s="35">
        <f t="shared" si="3"/>
        <v>7097.4000000000005</v>
      </c>
      <c r="N23" s="34">
        <v>0.14836734693877551</v>
      </c>
      <c r="O23" s="33">
        <f t="shared" si="4"/>
        <v>210604.48163265307</v>
      </c>
    </row>
    <row r="24" spans="1:15" x14ac:dyDescent="0.25">
      <c r="A24" s="30" t="s">
        <v>728</v>
      </c>
      <c r="B24" s="30">
        <v>30019</v>
      </c>
      <c r="C24" s="32">
        <v>45568</v>
      </c>
      <c r="D24" s="32">
        <v>45617</v>
      </c>
      <c r="E24" s="37">
        <f t="shared" si="0"/>
        <v>49</v>
      </c>
      <c r="F24" s="30" t="s">
        <v>1602</v>
      </c>
      <c r="G24" s="37">
        <v>32</v>
      </c>
      <c r="I24" s="30" t="s">
        <v>1601</v>
      </c>
      <c r="J24" s="36">
        <v>2025000</v>
      </c>
      <c r="K24" s="35">
        <f t="shared" si="1"/>
        <v>30375</v>
      </c>
      <c r="L24" s="35">
        <f t="shared" si="2"/>
        <v>393.75</v>
      </c>
      <c r="M24" s="35">
        <f t="shared" si="3"/>
        <v>10125</v>
      </c>
      <c r="N24" s="34">
        <v>0.14836734693877551</v>
      </c>
      <c r="O24" s="33">
        <f t="shared" si="4"/>
        <v>300443.87755102041</v>
      </c>
    </row>
    <row r="25" spans="1:15" x14ac:dyDescent="0.25">
      <c r="A25" s="30" t="s">
        <v>728</v>
      </c>
      <c r="B25" s="30">
        <v>30019</v>
      </c>
      <c r="C25" s="32">
        <v>45568</v>
      </c>
      <c r="D25" s="32">
        <v>45617</v>
      </c>
      <c r="E25" s="37">
        <f t="shared" si="0"/>
        <v>49</v>
      </c>
      <c r="F25" s="30" t="s">
        <v>1602</v>
      </c>
      <c r="G25" s="37">
        <v>32</v>
      </c>
      <c r="I25" s="30" t="s">
        <v>1601</v>
      </c>
      <c r="J25" s="36">
        <v>6439500</v>
      </c>
      <c r="K25" s="35">
        <f t="shared" si="1"/>
        <v>96592.5</v>
      </c>
      <c r="L25" s="35">
        <f t="shared" si="2"/>
        <v>1252.1250000000002</v>
      </c>
      <c r="M25" s="35">
        <f t="shared" si="3"/>
        <v>32197.5</v>
      </c>
      <c r="N25" s="34">
        <v>0.14836734693877551</v>
      </c>
      <c r="O25" s="33">
        <f t="shared" si="4"/>
        <v>955411.53061224497</v>
      </c>
    </row>
    <row r="26" spans="1:15" x14ac:dyDescent="0.25">
      <c r="A26" s="30" t="s">
        <v>728</v>
      </c>
      <c r="B26" s="30">
        <v>30019</v>
      </c>
      <c r="C26" s="32">
        <v>45568</v>
      </c>
      <c r="D26" s="32">
        <v>45617</v>
      </c>
      <c r="E26" s="37">
        <f t="shared" si="0"/>
        <v>49</v>
      </c>
      <c r="F26" s="30" t="s">
        <v>1602</v>
      </c>
      <c r="G26" s="37">
        <v>32</v>
      </c>
      <c r="I26" s="30" t="s">
        <v>1601</v>
      </c>
      <c r="J26" s="36">
        <v>21184302</v>
      </c>
      <c r="K26" s="35">
        <f t="shared" si="1"/>
        <v>317764.52999999997</v>
      </c>
      <c r="L26" s="35">
        <f t="shared" si="2"/>
        <v>4119.1698333333334</v>
      </c>
      <c r="M26" s="35">
        <f t="shared" si="3"/>
        <v>105921.51000000001</v>
      </c>
      <c r="N26" s="34">
        <v>0.14836734693877551</v>
      </c>
      <c r="O26" s="33">
        <f t="shared" si="4"/>
        <v>3143058.6844897959</v>
      </c>
    </row>
    <row r="27" spans="1:15" x14ac:dyDescent="0.25">
      <c r="A27" s="30" t="s">
        <v>728</v>
      </c>
      <c r="B27" s="30">
        <v>30019</v>
      </c>
      <c r="C27" s="32">
        <v>45568</v>
      </c>
      <c r="D27" s="32">
        <v>45618</v>
      </c>
      <c r="E27" s="37">
        <f t="shared" si="0"/>
        <v>50</v>
      </c>
      <c r="F27" s="30" t="s">
        <v>1602</v>
      </c>
      <c r="G27" s="37">
        <v>32</v>
      </c>
      <c r="I27" s="30" t="s">
        <v>1601</v>
      </c>
      <c r="J27" s="36">
        <v>696960</v>
      </c>
      <c r="K27" s="35">
        <f t="shared" si="1"/>
        <v>10454.4</v>
      </c>
      <c r="L27" s="35">
        <f t="shared" si="2"/>
        <v>135.52000000000001</v>
      </c>
      <c r="M27" s="35">
        <f t="shared" si="3"/>
        <v>3484.8</v>
      </c>
      <c r="N27" s="34">
        <v>0.1454</v>
      </c>
      <c r="O27" s="33">
        <f t="shared" si="4"/>
        <v>101337.984</v>
      </c>
    </row>
    <row r="28" spans="1:15" x14ac:dyDescent="0.25">
      <c r="A28" s="30" t="s">
        <v>728</v>
      </c>
      <c r="B28" s="30">
        <v>30019</v>
      </c>
      <c r="C28" s="32">
        <v>45568</v>
      </c>
      <c r="D28" s="32">
        <v>45618</v>
      </c>
      <c r="E28" s="37">
        <f t="shared" si="0"/>
        <v>50</v>
      </c>
      <c r="F28" s="30" t="s">
        <v>1602</v>
      </c>
      <c r="G28" s="37">
        <v>32</v>
      </c>
      <c r="I28" s="30" t="s">
        <v>1601</v>
      </c>
      <c r="J28" s="36">
        <v>2917890</v>
      </c>
      <c r="K28" s="35">
        <f t="shared" si="1"/>
        <v>43768.35</v>
      </c>
      <c r="L28" s="35">
        <f t="shared" si="2"/>
        <v>567.36750000000006</v>
      </c>
      <c r="M28" s="35">
        <f t="shared" si="3"/>
        <v>14589.45</v>
      </c>
      <c r="N28" s="34">
        <v>0.14539999999999997</v>
      </c>
      <c r="O28" s="33">
        <f t="shared" si="4"/>
        <v>424261.20599999995</v>
      </c>
    </row>
    <row r="29" spans="1:15" x14ac:dyDescent="0.25">
      <c r="A29" s="30" t="s">
        <v>728</v>
      </c>
      <c r="B29" s="30">
        <v>30019</v>
      </c>
      <c r="C29" s="32">
        <v>45568</v>
      </c>
      <c r="D29" s="32">
        <v>45650</v>
      </c>
      <c r="E29" s="37">
        <f t="shared" si="0"/>
        <v>82</v>
      </c>
      <c r="F29" s="30" t="s">
        <v>1622</v>
      </c>
      <c r="G29" s="37">
        <v>32</v>
      </c>
      <c r="I29" s="30" t="s">
        <v>1589</v>
      </c>
      <c r="J29" s="36">
        <v>360000</v>
      </c>
      <c r="K29" s="35">
        <f t="shared" si="1"/>
        <v>5400</v>
      </c>
      <c r="L29" s="35">
        <f t="shared" si="2"/>
        <v>70.000000000000014</v>
      </c>
      <c r="M29" s="35">
        <f t="shared" si="3"/>
        <v>1800</v>
      </c>
      <c r="N29" s="34">
        <v>8.8658536585365863E-2</v>
      </c>
      <c r="O29" s="33">
        <f t="shared" si="4"/>
        <v>31917.07317073171</v>
      </c>
    </row>
    <row r="30" spans="1:15" x14ac:dyDescent="0.25">
      <c r="A30" s="30" t="s">
        <v>728</v>
      </c>
      <c r="B30" s="30">
        <v>30019</v>
      </c>
      <c r="C30" s="32">
        <v>45568</v>
      </c>
      <c r="D30" s="32">
        <v>45650</v>
      </c>
      <c r="E30" s="37">
        <f t="shared" si="0"/>
        <v>82</v>
      </c>
      <c r="F30" s="30" t="s">
        <v>1622</v>
      </c>
      <c r="G30" s="37">
        <v>32</v>
      </c>
      <c r="I30" s="30" t="s">
        <v>1589</v>
      </c>
      <c r="J30" s="36">
        <v>388800</v>
      </c>
      <c r="K30" s="35">
        <f t="shared" si="1"/>
        <v>5832</v>
      </c>
      <c r="L30" s="35">
        <f t="shared" si="2"/>
        <v>75.600000000000009</v>
      </c>
      <c r="M30" s="35">
        <f t="shared" si="3"/>
        <v>1944</v>
      </c>
      <c r="N30" s="34">
        <v>8.8658536585365863E-2</v>
      </c>
      <c r="O30" s="33">
        <f t="shared" si="4"/>
        <v>34470.439024390245</v>
      </c>
    </row>
    <row r="31" spans="1:15" x14ac:dyDescent="0.25">
      <c r="A31" s="30" t="s">
        <v>728</v>
      </c>
      <c r="B31" s="30">
        <v>30019</v>
      </c>
      <c r="C31" s="32">
        <v>45568</v>
      </c>
      <c r="D31" s="32">
        <v>45650</v>
      </c>
      <c r="E31" s="37">
        <f t="shared" si="0"/>
        <v>82</v>
      </c>
      <c r="F31" s="30" t="s">
        <v>1622</v>
      </c>
      <c r="G31" s="37">
        <v>32</v>
      </c>
      <c r="I31" s="30" t="s">
        <v>1589</v>
      </c>
      <c r="J31" s="36">
        <v>403200</v>
      </c>
      <c r="K31" s="35">
        <f t="shared" si="1"/>
        <v>6048</v>
      </c>
      <c r="L31" s="35">
        <f t="shared" si="2"/>
        <v>78.400000000000006</v>
      </c>
      <c r="M31" s="35">
        <f t="shared" si="3"/>
        <v>2016</v>
      </c>
      <c r="N31" s="34">
        <v>8.8658536585365835E-2</v>
      </c>
      <c r="O31" s="33">
        <f t="shared" si="4"/>
        <v>35747.121951219502</v>
      </c>
    </row>
    <row r="32" spans="1:15" x14ac:dyDescent="0.25">
      <c r="A32" s="30" t="s">
        <v>728</v>
      </c>
      <c r="B32" s="30">
        <v>30019</v>
      </c>
      <c r="C32" s="32">
        <v>45568</v>
      </c>
      <c r="D32" s="32">
        <v>45650</v>
      </c>
      <c r="E32" s="37">
        <f t="shared" si="0"/>
        <v>82</v>
      </c>
      <c r="F32" s="30" t="s">
        <v>1622</v>
      </c>
      <c r="G32" s="37">
        <v>32</v>
      </c>
      <c r="I32" s="30" t="s">
        <v>1589</v>
      </c>
      <c r="J32" s="36">
        <v>564300</v>
      </c>
      <c r="K32" s="35">
        <f t="shared" si="1"/>
        <v>8464.5</v>
      </c>
      <c r="L32" s="35">
        <f t="shared" si="2"/>
        <v>109.72500000000002</v>
      </c>
      <c r="M32" s="35">
        <f t="shared" si="3"/>
        <v>2821.5</v>
      </c>
      <c r="N32" s="34">
        <v>8.8658536585365863E-2</v>
      </c>
      <c r="O32" s="33">
        <f t="shared" si="4"/>
        <v>50030.012195121955</v>
      </c>
    </row>
    <row r="33" spans="1:15" x14ac:dyDescent="0.25">
      <c r="A33" s="30" t="s">
        <v>728</v>
      </c>
      <c r="B33" s="30">
        <v>30019</v>
      </c>
      <c r="C33" s="32">
        <v>45568</v>
      </c>
      <c r="D33" s="32">
        <v>45654</v>
      </c>
      <c r="E33" s="37">
        <f t="shared" si="0"/>
        <v>86</v>
      </c>
      <c r="F33" s="30" t="s">
        <v>1602</v>
      </c>
      <c r="G33" s="37">
        <v>32</v>
      </c>
      <c r="I33" s="30" t="s">
        <v>1601</v>
      </c>
      <c r="J33" s="36">
        <v>22500000</v>
      </c>
      <c r="K33" s="35">
        <f t="shared" si="1"/>
        <v>337500</v>
      </c>
      <c r="L33" s="35">
        <f t="shared" si="2"/>
        <v>4375.0000000000009</v>
      </c>
      <c r="M33" s="35">
        <f t="shared" si="3"/>
        <v>112500</v>
      </c>
      <c r="N33" s="34">
        <v>8.4534883720930237E-2</v>
      </c>
      <c r="O33" s="33">
        <f t="shared" si="4"/>
        <v>1902034.8837209304</v>
      </c>
    </row>
    <row r="34" spans="1:15" x14ac:dyDescent="0.25">
      <c r="A34" s="30" t="s">
        <v>728</v>
      </c>
      <c r="B34" s="30">
        <v>30019</v>
      </c>
      <c r="C34" s="32">
        <v>45569</v>
      </c>
      <c r="D34" s="32">
        <v>45635</v>
      </c>
      <c r="E34" s="37">
        <f t="shared" si="0"/>
        <v>66</v>
      </c>
      <c r="F34" s="30" t="s">
        <v>1590</v>
      </c>
      <c r="G34" s="37">
        <v>32</v>
      </c>
      <c r="I34" s="30" t="s">
        <v>1589</v>
      </c>
      <c r="J34" s="36">
        <v>175500</v>
      </c>
      <c r="K34" s="35">
        <f t="shared" si="1"/>
        <v>2632.5</v>
      </c>
      <c r="L34" s="35">
        <f t="shared" si="2"/>
        <v>34.125000000000007</v>
      </c>
      <c r="M34" s="35">
        <f t="shared" si="3"/>
        <v>877.5</v>
      </c>
      <c r="N34" s="34">
        <v>0.11015151515151515</v>
      </c>
      <c r="O34" s="33">
        <f t="shared" si="4"/>
        <v>19331.590909090908</v>
      </c>
    </row>
    <row r="35" spans="1:15" x14ac:dyDescent="0.25">
      <c r="A35" s="30" t="s">
        <v>728</v>
      </c>
      <c r="B35" s="30">
        <v>30019</v>
      </c>
      <c r="C35" s="32">
        <v>45569</v>
      </c>
      <c r="D35" s="32">
        <v>45635</v>
      </c>
      <c r="E35" s="37">
        <f t="shared" si="0"/>
        <v>66</v>
      </c>
      <c r="F35" s="30" t="s">
        <v>1590</v>
      </c>
      <c r="G35" s="37">
        <v>32</v>
      </c>
      <c r="I35" s="30" t="s">
        <v>1589</v>
      </c>
      <c r="J35" s="36">
        <v>526500</v>
      </c>
      <c r="K35" s="35">
        <f t="shared" si="1"/>
        <v>7897.5</v>
      </c>
      <c r="L35" s="35">
        <f t="shared" si="2"/>
        <v>102.375</v>
      </c>
      <c r="M35" s="35">
        <f t="shared" si="3"/>
        <v>2632.5</v>
      </c>
      <c r="N35" s="34">
        <v>0.11015151515151515</v>
      </c>
      <c r="O35" s="33">
        <f t="shared" si="4"/>
        <v>57994.772727272728</v>
      </c>
    </row>
    <row r="36" spans="1:15" x14ac:dyDescent="0.25">
      <c r="A36" s="30" t="s">
        <v>728</v>
      </c>
      <c r="B36" s="30">
        <v>30019</v>
      </c>
      <c r="C36" s="32">
        <v>45569</v>
      </c>
      <c r="D36" s="32">
        <v>45635</v>
      </c>
      <c r="E36" s="37">
        <f t="shared" si="0"/>
        <v>66</v>
      </c>
      <c r="F36" s="30" t="s">
        <v>1590</v>
      </c>
      <c r="G36" s="37">
        <v>32</v>
      </c>
      <c r="I36" s="30" t="s">
        <v>1589</v>
      </c>
      <c r="J36" s="36">
        <v>1228500</v>
      </c>
      <c r="K36" s="35">
        <f t="shared" si="1"/>
        <v>18427.5</v>
      </c>
      <c r="L36" s="35">
        <f t="shared" si="2"/>
        <v>238.87500000000003</v>
      </c>
      <c r="M36" s="35">
        <f t="shared" si="3"/>
        <v>6142.5</v>
      </c>
      <c r="N36" s="34">
        <v>0.11015151515151515</v>
      </c>
      <c r="O36" s="33">
        <f t="shared" si="4"/>
        <v>135321.13636363635</v>
      </c>
    </row>
    <row r="37" spans="1:15" x14ac:dyDescent="0.25">
      <c r="A37" s="30" t="s">
        <v>728</v>
      </c>
      <c r="B37" s="30">
        <v>30019</v>
      </c>
      <c r="C37" s="32">
        <v>45569</v>
      </c>
      <c r="D37" s="32">
        <v>45635</v>
      </c>
      <c r="E37" s="37">
        <f t="shared" si="0"/>
        <v>66</v>
      </c>
      <c r="F37" s="30" t="s">
        <v>1590</v>
      </c>
      <c r="G37" s="37">
        <v>32</v>
      </c>
      <c r="I37" s="30" t="s">
        <v>1589</v>
      </c>
      <c r="J37" s="36">
        <v>1491750</v>
      </c>
      <c r="K37" s="35">
        <f t="shared" si="1"/>
        <v>22376.25</v>
      </c>
      <c r="L37" s="35">
        <f t="shared" si="2"/>
        <v>290.06250000000006</v>
      </c>
      <c r="M37" s="35">
        <f t="shared" si="3"/>
        <v>7458.75</v>
      </c>
      <c r="N37" s="34">
        <v>0.11015151515151515</v>
      </c>
      <c r="O37" s="33">
        <f t="shared" si="4"/>
        <v>164318.52272727274</v>
      </c>
    </row>
    <row r="38" spans="1:15" x14ac:dyDescent="0.25">
      <c r="A38" s="30" t="s">
        <v>728</v>
      </c>
      <c r="B38" s="30">
        <v>30019</v>
      </c>
      <c r="C38" s="32">
        <v>45569</v>
      </c>
      <c r="D38" s="32">
        <v>45645</v>
      </c>
      <c r="E38" s="37">
        <f t="shared" si="0"/>
        <v>76</v>
      </c>
      <c r="F38" s="30" t="s">
        <v>1592</v>
      </c>
      <c r="G38" s="37">
        <v>32</v>
      </c>
      <c r="I38" s="30" t="s">
        <v>1591</v>
      </c>
      <c r="J38" s="36">
        <v>9099502</v>
      </c>
      <c r="K38" s="35">
        <f t="shared" si="1"/>
        <v>136492.53</v>
      </c>
      <c r="L38" s="35">
        <f t="shared" si="2"/>
        <v>1769.3476111111111</v>
      </c>
      <c r="M38" s="35">
        <f t="shared" si="3"/>
        <v>45497.51</v>
      </c>
      <c r="N38" s="34">
        <v>9.5657894736842108E-2</v>
      </c>
      <c r="O38" s="33">
        <f t="shared" si="4"/>
        <v>870439.20447368419</v>
      </c>
    </row>
    <row r="39" spans="1:15" x14ac:dyDescent="0.25">
      <c r="A39" s="30" t="s">
        <v>728</v>
      </c>
      <c r="B39" s="30">
        <v>30019</v>
      </c>
      <c r="C39" s="32">
        <v>45569</v>
      </c>
      <c r="D39" s="32">
        <v>45656</v>
      </c>
      <c r="E39" s="37">
        <f t="shared" si="0"/>
        <v>87</v>
      </c>
      <c r="F39" s="30" t="s">
        <v>1605</v>
      </c>
      <c r="G39" s="37">
        <v>32</v>
      </c>
      <c r="H39" s="30" t="s">
        <v>784</v>
      </c>
      <c r="I39" s="30" t="s">
        <v>1586</v>
      </c>
      <c r="J39" s="36">
        <v>3780000</v>
      </c>
      <c r="K39" s="35">
        <f t="shared" si="1"/>
        <v>56700</v>
      </c>
      <c r="L39" s="35">
        <f t="shared" si="2"/>
        <v>735</v>
      </c>
      <c r="M39" s="35">
        <f t="shared" si="3"/>
        <v>18900</v>
      </c>
      <c r="N39" s="34">
        <v>8.3563218390804606E-2</v>
      </c>
      <c r="O39" s="33">
        <f t="shared" si="4"/>
        <v>315868.96551724139</v>
      </c>
    </row>
    <row r="40" spans="1:15" x14ac:dyDescent="0.25">
      <c r="A40" s="30" t="s">
        <v>728</v>
      </c>
      <c r="B40" s="30">
        <v>30019</v>
      </c>
      <c r="C40" s="32">
        <v>45569</v>
      </c>
      <c r="D40" s="32">
        <v>45687</v>
      </c>
      <c r="E40" s="37">
        <f t="shared" si="0"/>
        <v>118</v>
      </c>
      <c r="F40" s="30" t="s">
        <v>1600</v>
      </c>
      <c r="G40" s="37">
        <v>32</v>
      </c>
      <c r="I40" s="30" t="s">
        <v>1599</v>
      </c>
      <c r="J40" s="36">
        <v>37699893</v>
      </c>
      <c r="K40" s="35">
        <f t="shared" si="1"/>
        <v>565498.39500000002</v>
      </c>
      <c r="L40" s="35">
        <f t="shared" si="2"/>
        <v>7330.5347500000007</v>
      </c>
      <c r="M40" s="35">
        <f t="shared" si="3"/>
        <v>188499.465</v>
      </c>
      <c r="N40" s="34">
        <v>6.1610169491525431E-2</v>
      </c>
      <c r="O40" s="33">
        <f t="shared" si="4"/>
        <v>2322696.7975423732</v>
      </c>
    </row>
    <row r="41" spans="1:15" x14ac:dyDescent="0.25">
      <c r="A41" s="30" t="s">
        <v>728</v>
      </c>
      <c r="B41" s="30">
        <v>30019</v>
      </c>
      <c r="C41" s="32">
        <v>45573</v>
      </c>
      <c r="D41" s="32">
        <v>45626</v>
      </c>
      <c r="E41" s="37">
        <f t="shared" si="0"/>
        <v>53</v>
      </c>
      <c r="F41" s="30" t="s">
        <v>1607</v>
      </c>
      <c r="G41" s="37">
        <v>32</v>
      </c>
      <c r="I41" s="30" t="s">
        <v>1586</v>
      </c>
      <c r="J41" s="36">
        <v>43602151</v>
      </c>
      <c r="K41" s="35">
        <f t="shared" si="1"/>
        <v>654032.26500000001</v>
      </c>
      <c r="L41" s="35">
        <f t="shared" si="2"/>
        <v>8478.196027777778</v>
      </c>
      <c r="M41" s="35">
        <f t="shared" si="3"/>
        <v>218010.755</v>
      </c>
      <c r="N41" s="34">
        <v>0.13716981132075473</v>
      </c>
      <c r="O41" s="33">
        <f t="shared" si="4"/>
        <v>5980898.8258490572</v>
      </c>
    </row>
    <row r="42" spans="1:15" x14ac:dyDescent="0.25">
      <c r="A42" s="30" t="s">
        <v>728</v>
      </c>
      <c r="B42" s="30">
        <v>30019</v>
      </c>
      <c r="C42" s="32">
        <v>45573</v>
      </c>
      <c r="D42" s="32">
        <v>45626</v>
      </c>
      <c r="E42" s="37">
        <f t="shared" si="0"/>
        <v>53</v>
      </c>
      <c r="F42" s="30" t="s">
        <v>1607</v>
      </c>
      <c r="G42" s="37">
        <v>32</v>
      </c>
      <c r="I42" s="30" t="s">
        <v>1586</v>
      </c>
      <c r="J42" s="36">
        <v>67813504</v>
      </c>
      <c r="K42" s="35">
        <f t="shared" si="1"/>
        <v>1017202.5599999999</v>
      </c>
      <c r="L42" s="35">
        <f t="shared" si="2"/>
        <v>13185.959111111111</v>
      </c>
      <c r="M42" s="35">
        <f t="shared" si="3"/>
        <v>339067.52</v>
      </c>
      <c r="N42" s="34">
        <v>0.13716981132075473</v>
      </c>
      <c r="O42" s="33">
        <f t="shared" si="4"/>
        <v>9301965.5486792456</v>
      </c>
    </row>
    <row r="43" spans="1:15" x14ac:dyDescent="0.25">
      <c r="A43" s="30" t="s">
        <v>728</v>
      </c>
      <c r="B43" s="30">
        <v>30019</v>
      </c>
      <c r="C43" s="32">
        <v>45573</v>
      </c>
      <c r="D43" s="32">
        <v>45670</v>
      </c>
      <c r="E43" s="37">
        <f t="shared" si="0"/>
        <v>97</v>
      </c>
      <c r="F43" s="30" t="s">
        <v>1583</v>
      </c>
      <c r="G43" s="37">
        <v>32</v>
      </c>
      <c r="I43" s="30" t="s">
        <v>727</v>
      </c>
      <c r="J43" s="36">
        <v>184057</v>
      </c>
      <c r="K43" s="35">
        <f t="shared" si="1"/>
        <v>2760.855</v>
      </c>
      <c r="L43" s="35">
        <f t="shared" si="2"/>
        <v>35.788861111111117</v>
      </c>
      <c r="M43" s="35">
        <f t="shared" si="3"/>
        <v>920.28499999999997</v>
      </c>
      <c r="N43" s="34">
        <v>7.4948453608247423E-2</v>
      </c>
      <c r="O43" s="33">
        <f t="shared" si="4"/>
        <v>13794.787525773196</v>
      </c>
    </row>
    <row r="44" spans="1:15" x14ac:dyDescent="0.25">
      <c r="A44" s="30" t="s">
        <v>728</v>
      </c>
      <c r="B44" s="30">
        <v>30019</v>
      </c>
      <c r="C44" s="32">
        <v>45579</v>
      </c>
      <c r="D44" s="32">
        <v>45610</v>
      </c>
      <c r="E44" s="37">
        <f t="shared" si="0"/>
        <v>31</v>
      </c>
      <c r="F44" s="30" t="s">
        <v>1598</v>
      </c>
      <c r="G44" s="37">
        <v>32</v>
      </c>
      <c r="I44" s="30" t="s">
        <v>1597</v>
      </c>
      <c r="J44" s="36">
        <v>183600</v>
      </c>
      <c r="K44" s="35">
        <f t="shared" si="1"/>
        <v>2754</v>
      </c>
      <c r="L44" s="35">
        <f t="shared" si="2"/>
        <v>35.700000000000003</v>
      </c>
      <c r="M44" s="35">
        <f t="shared" si="3"/>
        <v>918</v>
      </c>
      <c r="N44" s="34">
        <v>0.23451612903225802</v>
      </c>
      <c r="O44" s="33">
        <f t="shared" si="4"/>
        <v>43057.161290322576</v>
      </c>
    </row>
    <row r="45" spans="1:15" x14ac:dyDescent="0.25">
      <c r="A45" s="30" t="s">
        <v>728</v>
      </c>
      <c r="B45" s="30">
        <v>30019</v>
      </c>
      <c r="C45" s="32">
        <v>45579</v>
      </c>
      <c r="D45" s="32">
        <v>45639</v>
      </c>
      <c r="E45" s="37">
        <f t="shared" si="0"/>
        <v>60</v>
      </c>
      <c r="F45" s="30" t="s">
        <v>1620</v>
      </c>
      <c r="G45" s="37">
        <v>32</v>
      </c>
      <c r="H45" s="30" t="s">
        <v>1621</v>
      </c>
      <c r="I45" s="30" t="s">
        <v>1586</v>
      </c>
      <c r="J45" s="36">
        <v>16447357</v>
      </c>
      <c r="K45" s="35">
        <f t="shared" si="1"/>
        <v>246710.35499999998</v>
      </c>
      <c r="L45" s="35">
        <f t="shared" si="2"/>
        <v>3198.097194444445</v>
      </c>
      <c r="M45" s="35">
        <f t="shared" si="3"/>
        <v>82236.785000000003</v>
      </c>
      <c r="N45" s="34">
        <v>0.12116666666666664</v>
      </c>
      <c r="O45" s="33">
        <f t="shared" si="4"/>
        <v>1992871.4231666664</v>
      </c>
    </row>
    <row r="46" spans="1:15" x14ac:dyDescent="0.25">
      <c r="A46" s="30" t="s">
        <v>728</v>
      </c>
      <c r="B46" s="30">
        <v>30019</v>
      </c>
      <c r="C46" s="32">
        <v>45579</v>
      </c>
      <c r="D46" s="32">
        <v>45639</v>
      </c>
      <c r="E46" s="37">
        <f t="shared" si="0"/>
        <v>60</v>
      </c>
      <c r="F46" s="30" t="s">
        <v>1620</v>
      </c>
      <c r="G46" s="37">
        <v>32</v>
      </c>
      <c r="H46" s="30" t="s">
        <v>1621</v>
      </c>
      <c r="I46" s="30" t="s">
        <v>1586</v>
      </c>
      <c r="J46" s="36">
        <v>21782201</v>
      </c>
      <c r="K46" s="35">
        <f t="shared" si="1"/>
        <v>326733.01500000001</v>
      </c>
      <c r="L46" s="35">
        <f t="shared" si="2"/>
        <v>4235.4279722222227</v>
      </c>
      <c r="M46" s="35">
        <f t="shared" si="3"/>
        <v>108911.005</v>
      </c>
      <c r="N46" s="34">
        <v>0.12116666666666667</v>
      </c>
      <c r="O46" s="33">
        <f t="shared" si="4"/>
        <v>2639276.6878333334</v>
      </c>
    </row>
    <row r="47" spans="1:15" x14ac:dyDescent="0.25">
      <c r="A47" s="30" t="s">
        <v>728</v>
      </c>
      <c r="B47" s="30">
        <v>30019</v>
      </c>
      <c r="C47" s="32">
        <v>45579</v>
      </c>
      <c r="D47" s="32">
        <v>45639</v>
      </c>
      <c r="E47" s="37">
        <f t="shared" si="0"/>
        <v>60</v>
      </c>
      <c r="F47" s="30" t="s">
        <v>1620</v>
      </c>
      <c r="G47" s="37">
        <v>32</v>
      </c>
      <c r="H47" s="30" t="s">
        <v>1621</v>
      </c>
      <c r="I47" s="30" t="s">
        <v>1586</v>
      </c>
      <c r="J47" s="36">
        <v>33984857</v>
      </c>
      <c r="K47" s="35">
        <f t="shared" si="1"/>
        <v>509772.85499999998</v>
      </c>
      <c r="L47" s="35">
        <f t="shared" si="2"/>
        <v>6608.1666388888898</v>
      </c>
      <c r="M47" s="35">
        <f t="shared" si="3"/>
        <v>169924.285</v>
      </c>
      <c r="N47" s="34">
        <v>0.12116666666666667</v>
      </c>
      <c r="O47" s="33">
        <f t="shared" si="4"/>
        <v>4117831.8398333336</v>
      </c>
    </row>
    <row r="48" spans="1:15" x14ac:dyDescent="0.25">
      <c r="A48" s="30" t="s">
        <v>728</v>
      </c>
      <c r="B48" s="30">
        <v>30019</v>
      </c>
      <c r="C48" s="32">
        <v>45579</v>
      </c>
      <c r="D48" s="32">
        <v>45639</v>
      </c>
      <c r="E48" s="37">
        <f t="shared" si="0"/>
        <v>60</v>
      </c>
      <c r="F48" s="30" t="s">
        <v>1620</v>
      </c>
      <c r="G48" s="37">
        <v>32</v>
      </c>
      <c r="I48" s="30" t="s">
        <v>1586</v>
      </c>
      <c r="J48" s="36">
        <v>16447357</v>
      </c>
      <c r="K48" s="35">
        <f t="shared" si="1"/>
        <v>246710.35499999998</v>
      </c>
      <c r="L48" s="35">
        <f t="shared" si="2"/>
        <v>3198.097194444445</v>
      </c>
      <c r="M48" s="35">
        <f t="shared" si="3"/>
        <v>82236.785000000003</v>
      </c>
      <c r="N48" s="34">
        <v>0.12116666666666664</v>
      </c>
      <c r="O48" s="33">
        <f t="shared" si="4"/>
        <v>1992871.4231666664</v>
      </c>
    </row>
    <row r="49" spans="1:15" x14ac:dyDescent="0.25">
      <c r="A49" s="30" t="s">
        <v>728</v>
      </c>
      <c r="B49" s="30">
        <v>30019</v>
      </c>
      <c r="C49" s="32">
        <v>45579</v>
      </c>
      <c r="D49" s="32">
        <v>45639</v>
      </c>
      <c r="E49" s="37">
        <f t="shared" si="0"/>
        <v>60</v>
      </c>
      <c r="F49" s="30" t="s">
        <v>1620</v>
      </c>
      <c r="G49" s="37">
        <v>32</v>
      </c>
      <c r="I49" s="30" t="s">
        <v>1586</v>
      </c>
      <c r="J49" s="36">
        <v>21782201</v>
      </c>
      <c r="K49" s="35">
        <f t="shared" si="1"/>
        <v>326733.01500000001</v>
      </c>
      <c r="L49" s="35">
        <f t="shared" si="2"/>
        <v>4235.4279722222227</v>
      </c>
      <c r="M49" s="35">
        <f t="shared" si="3"/>
        <v>108911.005</v>
      </c>
      <c r="N49" s="34">
        <v>0.12116666666666667</v>
      </c>
      <c r="O49" s="33">
        <f t="shared" si="4"/>
        <v>2639276.6878333334</v>
      </c>
    </row>
    <row r="50" spans="1:15" x14ac:dyDescent="0.25">
      <c r="A50" s="30" t="s">
        <v>728</v>
      </c>
      <c r="B50" s="30">
        <v>30019</v>
      </c>
      <c r="C50" s="32">
        <v>45579</v>
      </c>
      <c r="D50" s="32">
        <v>45639</v>
      </c>
      <c r="E50" s="37">
        <f t="shared" si="0"/>
        <v>60</v>
      </c>
      <c r="F50" s="30" t="s">
        <v>1620</v>
      </c>
      <c r="G50" s="37">
        <v>32</v>
      </c>
      <c r="I50" s="30" t="s">
        <v>1586</v>
      </c>
      <c r="J50" s="36">
        <v>33984857</v>
      </c>
      <c r="K50" s="35">
        <f t="shared" si="1"/>
        <v>509772.85499999998</v>
      </c>
      <c r="L50" s="35">
        <f t="shared" si="2"/>
        <v>6608.1666388888898</v>
      </c>
      <c r="M50" s="35">
        <f t="shared" si="3"/>
        <v>169924.285</v>
      </c>
      <c r="N50" s="34">
        <v>0.12116666666666667</v>
      </c>
      <c r="O50" s="33">
        <f t="shared" si="4"/>
        <v>4117831.8398333336</v>
      </c>
    </row>
    <row r="51" spans="1:15" x14ac:dyDescent="0.25">
      <c r="A51" s="30" t="s">
        <v>728</v>
      </c>
      <c r="B51" s="30">
        <v>30019</v>
      </c>
      <c r="C51" s="32">
        <v>45579</v>
      </c>
      <c r="D51" s="32">
        <v>45656</v>
      </c>
      <c r="E51" s="37">
        <f t="shared" si="0"/>
        <v>77</v>
      </c>
      <c r="F51" s="30" t="s">
        <v>1604</v>
      </c>
      <c r="G51" s="37">
        <v>32</v>
      </c>
      <c r="I51" s="30" t="s">
        <v>1603</v>
      </c>
      <c r="J51" s="36">
        <v>2116418</v>
      </c>
      <c r="K51" s="35">
        <f t="shared" si="1"/>
        <v>31746.27</v>
      </c>
      <c r="L51" s="35">
        <f t="shared" si="2"/>
        <v>411.52572222222227</v>
      </c>
      <c r="M51" s="35">
        <f t="shared" si="3"/>
        <v>10582.09</v>
      </c>
      <c r="N51" s="34">
        <v>9.4415584415584425E-2</v>
      </c>
      <c r="O51" s="33">
        <f t="shared" si="4"/>
        <v>199822.84233766235</v>
      </c>
    </row>
    <row r="52" spans="1:15" x14ac:dyDescent="0.25">
      <c r="A52" s="30" t="s">
        <v>728</v>
      </c>
      <c r="B52" s="30">
        <v>30019</v>
      </c>
      <c r="C52" s="32">
        <v>45579</v>
      </c>
      <c r="D52" s="32">
        <v>45656</v>
      </c>
      <c r="E52" s="37">
        <f t="shared" si="0"/>
        <v>77</v>
      </c>
      <c r="F52" s="30" t="s">
        <v>1604</v>
      </c>
      <c r="G52" s="37">
        <v>32</v>
      </c>
      <c r="I52" s="30" t="s">
        <v>1603</v>
      </c>
      <c r="J52" s="36">
        <v>2223293</v>
      </c>
      <c r="K52" s="35">
        <f t="shared" si="1"/>
        <v>33349.394999999997</v>
      </c>
      <c r="L52" s="35">
        <f t="shared" si="2"/>
        <v>432.30697222222227</v>
      </c>
      <c r="M52" s="35">
        <f t="shared" si="3"/>
        <v>11116.465</v>
      </c>
      <c r="N52" s="34">
        <v>9.4415584415584397E-2</v>
      </c>
      <c r="O52" s="33">
        <f t="shared" si="4"/>
        <v>209913.50792207787</v>
      </c>
    </row>
    <row r="53" spans="1:15" x14ac:dyDescent="0.25">
      <c r="A53" s="30" t="s">
        <v>728</v>
      </c>
      <c r="B53" s="30">
        <v>30019</v>
      </c>
      <c r="C53" s="32">
        <v>45579</v>
      </c>
      <c r="D53" s="32">
        <v>45657</v>
      </c>
      <c r="E53" s="37">
        <f t="shared" si="0"/>
        <v>78</v>
      </c>
      <c r="F53" s="30" t="s">
        <v>1592</v>
      </c>
      <c r="G53" s="37">
        <v>32</v>
      </c>
      <c r="I53" s="30" t="s">
        <v>1591</v>
      </c>
      <c r="J53" s="36">
        <v>288927</v>
      </c>
      <c r="K53" s="35">
        <f t="shared" si="1"/>
        <v>4333.9049999999997</v>
      </c>
      <c r="L53" s="35">
        <f t="shared" si="2"/>
        <v>56.180250000000008</v>
      </c>
      <c r="M53" s="35">
        <f t="shared" si="3"/>
        <v>1444.635</v>
      </c>
      <c r="N53" s="34">
        <v>9.3205128205128204E-2</v>
      </c>
      <c r="O53" s="33">
        <f t="shared" si="4"/>
        <v>26929.478076923078</v>
      </c>
    </row>
    <row r="54" spans="1:15" x14ac:dyDescent="0.25">
      <c r="A54" s="30" t="s">
        <v>728</v>
      </c>
      <c r="B54" s="30">
        <v>30019</v>
      </c>
      <c r="C54" s="32">
        <v>45579</v>
      </c>
      <c r="D54" s="32">
        <v>45657</v>
      </c>
      <c r="E54" s="37">
        <f t="shared" si="0"/>
        <v>78</v>
      </c>
      <c r="F54" s="30" t="s">
        <v>1592</v>
      </c>
      <c r="G54" s="37">
        <v>32</v>
      </c>
      <c r="I54" s="30" t="s">
        <v>1591</v>
      </c>
      <c r="J54" s="36">
        <v>893534</v>
      </c>
      <c r="K54" s="35">
        <f t="shared" si="1"/>
        <v>13403.01</v>
      </c>
      <c r="L54" s="35">
        <f t="shared" si="2"/>
        <v>173.74272222222223</v>
      </c>
      <c r="M54" s="35">
        <f t="shared" si="3"/>
        <v>4467.67</v>
      </c>
      <c r="N54" s="34">
        <v>9.3205128205128204E-2</v>
      </c>
      <c r="O54" s="33">
        <f t="shared" si="4"/>
        <v>83281.951025641029</v>
      </c>
    </row>
    <row r="55" spans="1:15" x14ac:dyDescent="0.25">
      <c r="A55" s="30" t="s">
        <v>728</v>
      </c>
      <c r="B55" s="30">
        <v>30019</v>
      </c>
      <c r="C55" s="32">
        <v>45579</v>
      </c>
      <c r="D55" s="32">
        <v>45657</v>
      </c>
      <c r="E55" s="37">
        <f t="shared" si="0"/>
        <v>78</v>
      </c>
      <c r="F55" s="30" t="s">
        <v>1592</v>
      </c>
      <c r="G55" s="37">
        <v>32</v>
      </c>
      <c r="I55" s="30" t="s">
        <v>1591</v>
      </c>
      <c r="J55" s="36">
        <v>8935364</v>
      </c>
      <c r="K55" s="35">
        <f t="shared" si="1"/>
        <v>134030.46</v>
      </c>
      <c r="L55" s="35">
        <f t="shared" si="2"/>
        <v>1737.4318888888893</v>
      </c>
      <c r="M55" s="35">
        <f t="shared" si="3"/>
        <v>44676.82</v>
      </c>
      <c r="N55" s="34">
        <v>9.320512820512819E-2</v>
      </c>
      <c r="O55" s="33">
        <f t="shared" si="4"/>
        <v>832821.74717948702</v>
      </c>
    </row>
    <row r="56" spans="1:15" x14ac:dyDescent="0.25">
      <c r="A56" s="30" t="s">
        <v>728</v>
      </c>
      <c r="B56" s="30">
        <v>30019</v>
      </c>
      <c r="C56" s="32">
        <v>45579</v>
      </c>
      <c r="D56" s="32">
        <v>45658</v>
      </c>
      <c r="E56" s="37">
        <f t="shared" si="0"/>
        <v>79</v>
      </c>
      <c r="F56" s="30" t="s">
        <v>1608</v>
      </c>
      <c r="G56" s="37">
        <v>32</v>
      </c>
      <c r="H56" s="30" t="s">
        <v>784</v>
      </c>
      <c r="I56" s="30" t="s">
        <v>730</v>
      </c>
      <c r="J56" s="36">
        <v>14212800</v>
      </c>
      <c r="K56" s="35">
        <f t="shared" si="1"/>
        <v>213192</v>
      </c>
      <c r="L56" s="35">
        <f t="shared" si="2"/>
        <v>2763.6000000000004</v>
      </c>
      <c r="M56" s="35">
        <f t="shared" si="3"/>
        <v>71064</v>
      </c>
      <c r="N56" s="34">
        <v>9.2025316455696185E-2</v>
      </c>
      <c r="O56" s="33">
        <f t="shared" si="4"/>
        <v>1307937.4177215188</v>
      </c>
    </row>
    <row r="57" spans="1:15" x14ac:dyDescent="0.25">
      <c r="A57" s="30" t="s">
        <v>728</v>
      </c>
      <c r="B57" s="30">
        <v>30019</v>
      </c>
      <c r="C57" s="32">
        <v>45579</v>
      </c>
      <c r="D57" s="32">
        <v>45658</v>
      </c>
      <c r="E57" s="37">
        <f t="shared" si="0"/>
        <v>79</v>
      </c>
      <c r="F57" s="30" t="s">
        <v>1604</v>
      </c>
      <c r="G57" s="37">
        <v>32</v>
      </c>
      <c r="I57" s="30" t="s">
        <v>1603</v>
      </c>
      <c r="J57" s="36">
        <v>2223293</v>
      </c>
      <c r="K57" s="35">
        <f t="shared" si="1"/>
        <v>33349.394999999997</v>
      </c>
      <c r="L57" s="35">
        <f t="shared" si="2"/>
        <v>432.30697222222227</v>
      </c>
      <c r="M57" s="35">
        <f t="shared" si="3"/>
        <v>11116.465</v>
      </c>
      <c r="N57" s="34">
        <v>9.2025316455696185E-2</v>
      </c>
      <c r="O57" s="33">
        <f t="shared" si="4"/>
        <v>204599.24189873415</v>
      </c>
    </row>
    <row r="58" spans="1:15" x14ac:dyDescent="0.25">
      <c r="A58" s="30" t="s">
        <v>728</v>
      </c>
      <c r="B58" s="30">
        <v>30019</v>
      </c>
      <c r="C58" s="32">
        <v>45579</v>
      </c>
      <c r="D58" s="32">
        <v>45658</v>
      </c>
      <c r="E58" s="37">
        <f t="shared" si="0"/>
        <v>79</v>
      </c>
      <c r="F58" s="30" t="s">
        <v>1605</v>
      </c>
      <c r="G58" s="37">
        <v>32</v>
      </c>
      <c r="H58" s="30" t="s">
        <v>784</v>
      </c>
      <c r="I58" s="30" t="s">
        <v>1586</v>
      </c>
      <c r="J58" s="36">
        <v>3780000</v>
      </c>
      <c r="K58" s="35">
        <f t="shared" si="1"/>
        <v>56700</v>
      </c>
      <c r="L58" s="35">
        <f t="shared" si="2"/>
        <v>735</v>
      </c>
      <c r="M58" s="35">
        <f t="shared" si="3"/>
        <v>18900</v>
      </c>
      <c r="N58" s="34">
        <v>9.2025316455696213E-2</v>
      </c>
      <c r="O58" s="33">
        <f t="shared" si="4"/>
        <v>347855.69620253169</v>
      </c>
    </row>
    <row r="59" spans="1:15" x14ac:dyDescent="0.25">
      <c r="A59" s="30" t="s">
        <v>728</v>
      </c>
      <c r="B59" s="30">
        <v>30019</v>
      </c>
      <c r="C59" s="32">
        <v>45579</v>
      </c>
      <c r="D59" s="32">
        <v>45750</v>
      </c>
      <c r="E59" s="37">
        <f t="shared" si="0"/>
        <v>171</v>
      </c>
      <c r="F59" s="30" t="s">
        <v>1615</v>
      </c>
      <c r="G59" s="37">
        <v>31</v>
      </c>
      <c r="H59" s="30" t="s">
        <v>1614</v>
      </c>
      <c r="I59" s="30" t="s">
        <v>1613</v>
      </c>
      <c r="J59" s="36">
        <v>27810</v>
      </c>
      <c r="K59" s="35">
        <f t="shared" si="1"/>
        <v>417.15</v>
      </c>
      <c r="L59" s="35">
        <f t="shared" si="2"/>
        <v>5.4075000000000006</v>
      </c>
      <c r="M59" s="35">
        <f t="shared" si="3"/>
        <v>139.05000000000001</v>
      </c>
      <c r="N59" s="34">
        <v>4.2514619883040936E-2</v>
      </c>
      <c r="O59" s="33">
        <f t="shared" si="4"/>
        <v>1182.3315789473684</v>
      </c>
    </row>
    <row r="60" spans="1:15" x14ac:dyDescent="0.25">
      <c r="A60" s="30" t="s">
        <v>728</v>
      </c>
      <c r="B60" s="30">
        <v>30019</v>
      </c>
      <c r="C60" s="32">
        <v>45579</v>
      </c>
      <c r="D60" s="32">
        <v>45750</v>
      </c>
      <c r="E60" s="37">
        <f t="shared" si="0"/>
        <v>171</v>
      </c>
      <c r="F60" s="30" t="s">
        <v>1615</v>
      </c>
      <c r="G60" s="37">
        <v>31</v>
      </c>
      <c r="H60" s="30" t="s">
        <v>1614</v>
      </c>
      <c r="I60" s="30" t="s">
        <v>1613</v>
      </c>
      <c r="J60" s="36">
        <v>32400</v>
      </c>
      <c r="K60" s="35">
        <f t="shared" si="1"/>
        <v>486</v>
      </c>
      <c r="L60" s="35">
        <f t="shared" si="2"/>
        <v>6.3</v>
      </c>
      <c r="M60" s="35">
        <f t="shared" si="3"/>
        <v>162</v>
      </c>
      <c r="N60" s="34">
        <v>4.2514619883040929E-2</v>
      </c>
      <c r="O60" s="33">
        <f t="shared" si="4"/>
        <v>1377.473684210526</v>
      </c>
    </row>
    <row r="61" spans="1:15" x14ac:dyDescent="0.25">
      <c r="A61" s="30" t="s">
        <v>728</v>
      </c>
      <c r="B61" s="30">
        <v>30019</v>
      </c>
      <c r="C61" s="32">
        <v>45579</v>
      </c>
      <c r="D61" s="32">
        <v>45750</v>
      </c>
      <c r="E61" s="37">
        <f t="shared" si="0"/>
        <v>171</v>
      </c>
      <c r="F61" s="30" t="s">
        <v>1615</v>
      </c>
      <c r="G61" s="37">
        <v>31</v>
      </c>
      <c r="H61" s="30" t="s">
        <v>1614</v>
      </c>
      <c r="I61" s="30" t="s">
        <v>1613</v>
      </c>
      <c r="J61" s="36">
        <v>97200</v>
      </c>
      <c r="K61" s="35">
        <f t="shared" si="1"/>
        <v>1458</v>
      </c>
      <c r="L61" s="35">
        <f t="shared" si="2"/>
        <v>18.900000000000002</v>
      </c>
      <c r="M61" s="35">
        <f t="shared" si="3"/>
        <v>486</v>
      </c>
      <c r="N61" s="34">
        <v>4.2514619883040936E-2</v>
      </c>
      <c r="O61" s="33">
        <f t="shared" si="4"/>
        <v>4132.4210526315792</v>
      </c>
    </row>
    <row r="62" spans="1:15" x14ac:dyDescent="0.25">
      <c r="A62" s="30" t="s">
        <v>728</v>
      </c>
      <c r="B62" s="30">
        <v>30019</v>
      </c>
      <c r="C62" s="32">
        <v>45579</v>
      </c>
      <c r="D62" s="32">
        <v>45750</v>
      </c>
      <c r="E62" s="37">
        <f t="shared" si="0"/>
        <v>171</v>
      </c>
      <c r="F62" s="30" t="s">
        <v>1615</v>
      </c>
      <c r="G62" s="37">
        <v>31</v>
      </c>
      <c r="H62" s="30" t="s">
        <v>1614</v>
      </c>
      <c r="I62" s="30" t="s">
        <v>1613</v>
      </c>
      <c r="J62" s="36">
        <v>129600</v>
      </c>
      <c r="K62" s="35">
        <f t="shared" si="1"/>
        <v>1944</v>
      </c>
      <c r="L62" s="35">
        <f t="shared" si="2"/>
        <v>25.2</v>
      </c>
      <c r="M62" s="35">
        <f t="shared" si="3"/>
        <v>648</v>
      </c>
      <c r="N62" s="34">
        <v>4.2514619883040929E-2</v>
      </c>
      <c r="O62" s="33">
        <f t="shared" si="4"/>
        <v>5509.8947368421041</v>
      </c>
    </row>
    <row r="63" spans="1:15" x14ac:dyDescent="0.25">
      <c r="A63" s="30" t="s">
        <v>728</v>
      </c>
      <c r="B63" s="30">
        <v>30019</v>
      </c>
      <c r="C63" s="32">
        <v>45579</v>
      </c>
      <c r="D63" s="32">
        <v>45750</v>
      </c>
      <c r="E63" s="37">
        <f t="shared" si="0"/>
        <v>171</v>
      </c>
      <c r="F63" s="30" t="s">
        <v>1615</v>
      </c>
      <c r="G63" s="37">
        <v>31</v>
      </c>
      <c r="H63" s="30" t="s">
        <v>1614</v>
      </c>
      <c r="I63" s="30" t="s">
        <v>1613</v>
      </c>
      <c r="J63" s="36">
        <v>137405</v>
      </c>
      <c r="K63" s="35">
        <f t="shared" si="1"/>
        <v>2061.0749999999998</v>
      </c>
      <c r="L63" s="35">
        <f t="shared" si="2"/>
        <v>26.717638888888889</v>
      </c>
      <c r="M63" s="35">
        <f t="shared" si="3"/>
        <v>687.02499999999998</v>
      </c>
      <c r="N63" s="34">
        <v>4.2514619883040929E-2</v>
      </c>
      <c r="O63" s="33">
        <f t="shared" si="4"/>
        <v>5841.7213450292384</v>
      </c>
    </row>
    <row r="64" spans="1:15" x14ac:dyDescent="0.25">
      <c r="A64" s="30" t="s">
        <v>728</v>
      </c>
      <c r="B64" s="30">
        <v>30019</v>
      </c>
      <c r="C64" s="32">
        <v>45579</v>
      </c>
      <c r="D64" s="32">
        <v>45750</v>
      </c>
      <c r="E64" s="37">
        <f t="shared" si="0"/>
        <v>171</v>
      </c>
      <c r="F64" s="30" t="s">
        <v>1615</v>
      </c>
      <c r="G64" s="37">
        <v>31</v>
      </c>
      <c r="H64" s="30" t="s">
        <v>1614</v>
      </c>
      <c r="I64" s="30" t="s">
        <v>1613</v>
      </c>
      <c r="J64" s="36">
        <v>140335</v>
      </c>
      <c r="K64" s="35">
        <f t="shared" si="1"/>
        <v>2105.0250000000001</v>
      </c>
      <c r="L64" s="35">
        <f t="shared" si="2"/>
        <v>27.287361111111114</v>
      </c>
      <c r="M64" s="35">
        <f t="shared" si="3"/>
        <v>701.67500000000007</v>
      </c>
      <c r="N64" s="34">
        <v>4.2514619883040942E-2</v>
      </c>
      <c r="O64" s="33">
        <f t="shared" si="4"/>
        <v>5966.289181286551</v>
      </c>
    </row>
    <row r="65" spans="1:15" x14ac:dyDescent="0.25">
      <c r="A65" s="30" t="s">
        <v>728</v>
      </c>
      <c r="B65" s="30">
        <v>30019</v>
      </c>
      <c r="C65" s="32">
        <v>45579</v>
      </c>
      <c r="D65" s="32">
        <v>45750</v>
      </c>
      <c r="E65" s="37">
        <f t="shared" si="0"/>
        <v>171</v>
      </c>
      <c r="F65" s="30" t="s">
        <v>1615</v>
      </c>
      <c r="G65" s="37">
        <v>31</v>
      </c>
      <c r="H65" s="30" t="s">
        <v>1614</v>
      </c>
      <c r="I65" s="30" t="s">
        <v>1613</v>
      </c>
      <c r="J65" s="36">
        <v>230018</v>
      </c>
      <c r="K65" s="35">
        <f t="shared" si="1"/>
        <v>3450.27</v>
      </c>
      <c r="L65" s="35">
        <f t="shared" si="2"/>
        <v>44.725722222222231</v>
      </c>
      <c r="M65" s="35">
        <f t="shared" si="3"/>
        <v>1150.0899999999999</v>
      </c>
      <c r="N65" s="34">
        <v>4.2514619883040936E-2</v>
      </c>
      <c r="O65" s="33">
        <f t="shared" si="4"/>
        <v>9779.1278362573103</v>
      </c>
    </row>
    <row r="66" spans="1:15" x14ac:dyDescent="0.25">
      <c r="A66" s="30" t="s">
        <v>728</v>
      </c>
      <c r="B66" s="30">
        <v>30019</v>
      </c>
      <c r="C66" s="32">
        <v>45579</v>
      </c>
      <c r="D66" s="32">
        <v>45750</v>
      </c>
      <c r="E66" s="37">
        <f t="shared" ref="E66:E129" si="5">DATEDIF(C66,D66,"yd")</f>
        <v>171</v>
      </c>
      <c r="F66" s="30" t="s">
        <v>1615</v>
      </c>
      <c r="G66" s="37">
        <v>31</v>
      </c>
      <c r="H66" s="30" t="s">
        <v>1614</v>
      </c>
      <c r="I66" s="30" t="s">
        <v>1613</v>
      </c>
      <c r="J66" s="36">
        <v>282211</v>
      </c>
      <c r="K66" s="35">
        <f t="shared" ref="K66:K129" si="6">J66*1.5%</f>
        <v>4233.165</v>
      </c>
      <c r="L66" s="35">
        <f t="shared" ref="L66:L129" si="7">(J66*7%)/360</f>
        <v>54.874361111111114</v>
      </c>
      <c r="M66" s="35">
        <f t="shared" ref="M66:M129" si="8">J66*0.5%</f>
        <v>1411.0550000000001</v>
      </c>
      <c r="N66" s="34">
        <v>4.2514619883040936E-2</v>
      </c>
      <c r="O66" s="33">
        <f t="shared" ref="O66:O129" si="9">N66*J66</f>
        <v>11998.093391812865</v>
      </c>
    </row>
    <row r="67" spans="1:15" x14ac:dyDescent="0.25">
      <c r="A67" s="30" t="s">
        <v>728</v>
      </c>
      <c r="B67" s="30">
        <v>30019</v>
      </c>
      <c r="C67" s="32">
        <v>45579</v>
      </c>
      <c r="D67" s="32">
        <v>45750</v>
      </c>
      <c r="E67" s="37">
        <f t="shared" si="5"/>
        <v>171</v>
      </c>
      <c r="F67" s="30" t="s">
        <v>1615</v>
      </c>
      <c r="G67" s="37">
        <v>31</v>
      </c>
      <c r="H67" s="30" t="s">
        <v>1614</v>
      </c>
      <c r="I67" s="30" t="s">
        <v>1613</v>
      </c>
      <c r="J67" s="36">
        <v>328754</v>
      </c>
      <c r="K67" s="35">
        <f t="shared" si="6"/>
        <v>4931.3099999999995</v>
      </c>
      <c r="L67" s="35">
        <f t="shared" si="7"/>
        <v>63.924388888888899</v>
      </c>
      <c r="M67" s="35">
        <f t="shared" si="8"/>
        <v>1643.77</v>
      </c>
      <c r="N67" s="34">
        <v>4.2514619883040929E-2</v>
      </c>
      <c r="O67" s="33">
        <f t="shared" si="9"/>
        <v>13976.851345029238</v>
      </c>
    </row>
    <row r="68" spans="1:15" x14ac:dyDescent="0.25">
      <c r="A68" s="30" t="s">
        <v>728</v>
      </c>
      <c r="B68" s="30">
        <v>30019</v>
      </c>
      <c r="C68" s="32">
        <v>45579</v>
      </c>
      <c r="D68" s="32">
        <v>45750</v>
      </c>
      <c r="E68" s="37">
        <f t="shared" si="5"/>
        <v>171</v>
      </c>
      <c r="F68" s="30" t="s">
        <v>1615</v>
      </c>
      <c r="G68" s="37">
        <v>31</v>
      </c>
      <c r="H68" s="30" t="s">
        <v>1614</v>
      </c>
      <c r="I68" s="30" t="s">
        <v>1613</v>
      </c>
      <c r="J68" s="36">
        <v>453600</v>
      </c>
      <c r="K68" s="35">
        <f t="shared" si="6"/>
        <v>6804</v>
      </c>
      <c r="L68" s="35">
        <f t="shared" si="7"/>
        <v>88.200000000000017</v>
      </c>
      <c r="M68" s="35">
        <f t="shared" si="8"/>
        <v>2268</v>
      </c>
      <c r="N68" s="34">
        <v>4.2514619883040936E-2</v>
      </c>
      <c r="O68" s="33">
        <f t="shared" si="9"/>
        <v>19284.63157894737</v>
      </c>
    </row>
    <row r="69" spans="1:15" x14ac:dyDescent="0.25">
      <c r="A69" s="30" t="s">
        <v>728</v>
      </c>
      <c r="B69" s="30">
        <v>30019</v>
      </c>
      <c r="C69" s="32">
        <v>45579</v>
      </c>
      <c r="D69" s="32">
        <v>45750</v>
      </c>
      <c r="E69" s="37">
        <f t="shared" si="5"/>
        <v>171</v>
      </c>
      <c r="F69" s="30" t="s">
        <v>1615</v>
      </c>
      <c r="G69" s="37">
        <v>31</v>
      </c>
      <c r="H69" s="30" t="s">
        <v>1614</v>
      </c>
      <c r="I69" s="30" t="s">
        <v>1613</v>
      </c>
      <c r="J69" s="36">
        <v>726917</v>
      </c>
      <c r="K69" s="35">
        <f t="shared" si="6"/>
        <v>10903.754999999999</v>
      </c>
      <c r="L69" s="35">
        <f t="shared" si="7"/>
        <v>141.34497222222222</v>
      </c>
      <c r="M69" s="35">
        <f t="shared" si="8"/>
        <v>3634.585</v>
      </c>
      <c r="N69" s="34">
        <v>4.2514619883040929E-2</v>
      </c>
      <c r="O69" s="33">
        <f t="shared" si="9"/>
        <v>30904.599941520464</v>
      </c>
    </row>
    <row r="70" spans="1:15" x14ac:dyDescent="0.25">
      <c r="A70" s="30" t="s">
        <v>728</v>
      </c>
      <c r="B70" s="30">
        <v>30019</v>
      </c>
      <c r="C70" s="32">
        <v>45579</v>
      </c>
      <c r="D70" s="32">
        <v>45750</v>
      </c>
      <c r="E70" s="37">
        <f t="shared" si="5"/>
        <v>171</v>
      </c>
      <c r="F70" s="30" t="s">
        <v>1615</v>
      </c>
      <c r="G70" s="37">
        <v>31</v>
      </c>
      <c r="H70" s="30" t="s">
        <v>1614</v>
      </c>
      <c r="I70" s="30" t="s">
        <v>1613</v>
      </c>
      <c r="J70" s="36">
        <v>874800</v>
      </c>
      <c r="K70" s="35">
        <f t="shared" si="6"/>
        <v>13122</v>
      </c>
      <c r="L70" s="35">
        <f t="shared" si="7"/>
        <v>170.10000000000002</v>
      </c>
      <c r="M70" s="35">
        <f t="shared" si="8"/>
        <v>4374</v>
      </c>
      <c r="N70" s="34">
        <v>4.2514619883040929E-2</v>
      </c>
      <c r="O70" s="33">
        <f t="shared" si="9"/>
        <v>37191.789473684206</v>
      </c>
    </row>
    <row r="71" spans="1:15" x14ac:dyDescent="0.25">
      <c r="A71" s="30" t="s">
        <v>728</v>
      </c>
      <c r="B71" s="30">
        <v>30019</v>
      </c>
      <c r="C71" s="32">
        <v>45579</v>
      </c>
      <c r="D71" s="32">
        <v>45750</v>
      </c>
      <c r="E71" s="37">
        <f t="shared" si="5"/>
        <v>171</v>
      </c>
      <c r="F71" s="30" t="s">
        <v>1615</v>
      </c>
      <c r="G71" s="37">
        <v>31</v>
      </c>
      <c r="H71" s="30" t="s">
        <v>1614</v>
      </c>
      <c r="I71" s="30" t="s">
        <v>1613</v>
      </c>
      <c r="J71" s="36">
        <v>939600</v>
      </c>
      <c r="K71" s="35">
        <f t="shared" si="6"/>
        <v>14094</v>
      </c>
      <c r="L71" s="35">
        <f t="shared" si="7"/>
        <v>182.7</v>
      </c>
      <c r="M71" s="35">
        <f t="shared" si="8"/>
        <v>4698</v>
      </c>
      <c r="N71" s="34">
        <v>4.2514619883040936E-2</v>
      </c>
      <c r="O71" s="33">
        <f t="shared" si="9"/>
        <v>39946.73684210526</v>
      </c>
    </row>
    <row r="72" spans="1:15" x14ac:dyDescent="0.25">
      <c r="A72" s="30" t="s">
        <v>728</v>
      </c>
      <c r="B72" s="30">
        <v>30019</v>
      </c>
      <c r="C72" s="32">
        <v>45579</v>
      </c>
      <c r="D72" s="32">
        <v>45750</v>
      </c>
      <c r="E72" s="37">
        <f t="shared" si="5"/>
        <v>171</v>
      </c>
      <c r="F72" s="30" t="s">
        <v>1615</v>
      </c>
      <c r="G72" s="37">
        <v>31</v>
      </c>
      <c r="H72" s="30" t="s">
        <v>1614</v>
      </c>
      <c r="I72" s="30" t="s">
        <v>1613</v>
      </c>
      <c r="J72" s="36">
        <v>972000</v>
      </c>
      <c r="K72" s="35">
        <f t="shared" si="6"/>
        <v>14580</v>
      </c>
      <c r="L72" s="35">
        <f t="shared" si="7"/>
        <v>189</v>
      </c>
      <c r="M72" s="35">
        <f t="shared" si="8"/>
        <v>4860</v>
      </c>
      <c r="N72" s="34">
        <v>4.2514619883040936E-2</v>
      </c>
      <c r="O72" s="33">
        <f t="shared" si="9"/>
        <v>41324.210526315786</v>
      </c>
    </row>
    <row r="73" spans="1:15" x14ac:dyDescent="0.25">
      <c r="A73" s="30" t="s">
        <v>728</v>
      </c>
      <c r="B73" s="30">
        <v>30019</v>
      </c>
      <c r="C73" s="32">
        <v>45579</v>
      </c>
      <c r="D73" s="32">
        <v>45750</v>
      </c>
      <c r="E73" s="37">
        <f t="shared" si="5"/>
        <v>171</v>
      </c>
      <c r="F73" s="30" t="s">
        <v>1615</v>
      </c>
      <c r="G73" s="37">
        <v>31</v>
      </c>
      <c r="H73" s="30" t="s">
        <v>1614</v>
      </c>
      <c r="I73" s="30" t="s">
        <v>1613</v>
      </c>
      <c r="J73" s="36">
        <v>1763338</v>
      </c>
      <c r="K73" s="35">
        <f t="shared" si="6"/>
        <v>26450.07</v>
      </c>
      <c r="L73" s="35">
        <f t="shared" si="7"/>
        <v>342.87127777777783</v>
      </c>
      <c r="M73" s="35">
        <f t="shared" si="8"/>
        <v>8816.69</v>
      </c>
      <c r="N73" s="34">
        <v>4.2514619883040936E-2</v>
      </c>
      <c r="O73" s="33">
        <f t="shared" si="9"/>
        <v>74967.644795321641</v>
      </c>
    </row>
    <row r="74" spans="1:15" x14ac:dyDescent="0.25">
      <c r="A74" s="30" t="s">
        <v>728</v>
      </c>
      <c r="B74" s="30">
        <v>30019</v>
      </c>
      <c r="C74" s="32">
        <v>45579</v>
      </c>
      <c r="D74" s="32">
        <v>45750</v>
      </c>
      <c r="E74" s="37">
        <f t="shared" si="5"/>
        <v>171</v>
      </c>
      <c r="F74" s="30" t="s">
        <v>1615</v>
      </c>
      <c r="G74" s="37">
        <v>31</v>
      </c>
      <c r="H74" s="30" t="s">
        <v>1614</v>
      </c>
      <c r="I74" s="30" t="s">
        <v>1613</v>
      </c>
      <c r="J74" s="36">
        <v>1847065</v>
      </c>
      <c r="K74" s="35">
        <f t="shared" si="6"/>
        <v>27705.974999999999</v>
      </c>
      <c r="L74" s="35">
        <f t="shared" si="7"/>
        <v>359.1515277777778</v>
      </c>
      <c r="M74" s="35">
        <f t="shared" si="8"/>
        <v>9235.3250000000007</v>
      </c>
      <c r="N74" s="34">
        <v>4.2514619883040929E-2</v>
      </c>
      <c r="O74" s="33">
        <f t="shared" si="9"/>
        <v>78527.266374268991</v>
      </c>
    </row>
    <row r="75" spans="1:15" x14ac:dyDescent="0.25">
      <c r="A75" s="30" t="s">
        <v>728</v>
      </c>
      <c r="B75" s="30">
        <v>30019</v>
      </c>
      <c r="C75" s="32">
        <v>45579</v>
      </c>
      <c r="D75" s="32">
        <v>45750</v>
      </c>
      <c r="E75" s="37">
        <f t="shared" si="5"/>
        <v>171</v>
      </c>
      <c r="F75" s="30" t="s">
        <v>1615</v>
      </c>
      <c r="G75" s="37">
        <v>31</v>
      </c>
      <c r="H75" s="30" t="s">
        <v>1614</v>
      </c>
      <c r="I75" s="30" t="s">
        <v>1613</v>
      </c>
      <c r="J75" s="36">
        <v>1886688</v>
      </c>
      <c r="K75" s="35">
        <f t="shared" si="6"/>
        <v>28300.32</v>
      </c>
      <c r="L75" s="35">
        <f t="shared" si="7"/>
        <v>366.85599999999999</v>
      </c>
      <c r="M75" s="35">
        <f t="shared" si="8"/>
        <v>9433.44</v>
      </c>
      <c r="N75" s="34">
        <v>4.2514619883040936E-2</v>
      </c>
      <c r="O75" s="33">
        <f t="shared" si="9"/>
        <v>80211.823157894731</v>
      </c>
    </row>
    <row r="76" spans="1:15" x14ac:dyDescent="0.25">
      <c r="A76" s="30" t="s">
        <v>728</v>
      </c>
      <c r="B76" s="30">
        <v>30019</v>
      </c>
      <c r="C76" s="32">
        <v>45579</v>
      </c>
      <c r="D76" s="32">
        <v>45750</v>
      </c>
      <c r="E76" s="37">
        <f t="shared" si="5"/>
        <v>171</v>
      </c>
      <c r="F76" s="30" t="s">
        <v>1615</v>
      </c>
      <c r="G76" s="37">
        <v>31</v>
      </c>
      <c r="H76" s="30" t="s">
        <v>1614</v>
      </c>
      <c r="I76" s="30" t="s">
        <v>1613</v>
      </c>
      <c r="J76" s="36">
        <v>2073675</v>
      </c>
      <c r="K76" s="35">
        <f t="shared" si="6"/>
        <v>31105.125</v>
      </c>
      <c r="L76" s="35">
        <f t="shared" si="7"/>
        <v>403.21458333333334</v>
      </c>
      <c r="M76" s="35">
        <f t="shared" si="8"/>
        <v>10368.375</v>
      </c>
      <c r="N76" s="34">
        <v>4.2514619883040936E-2</v>
      </c>
      <c r="O76" s="33">
        <f t="shared" si="9"/>
        <v>88161.504385964916</v>
      </c>
    </row>
    <row r="77" spans="1:15" x14ac:dyDescent="0.25">
      <c r="A77" s="30" t="s">
        <v>728</v>
      </c>
      <c r="B77" s="30">
        <v>30019</v>
      </c>
      <c r="C77" s="32">
        <v>45579</v>
      </c>
      <c r="D77" s="32">
        <v>45750</v>
      </c>
      <c r="E77" s="37">
        <f t="shared" si="5"/>
        <v>171</v>
      </c>
      <c r="F77" s="30" t="s">
        <v>1615</v>
      </c>
      <c r="G77" s="37">
        <v>31</v>
      </c>
      <c r="H77" s="30" t="s">
        <v>1614</v>
      </c>
      <c r="I77" s="30" t="s">
        <v>1613</v>
      </c>
      <c r="J77" s="36">
        <v>2091472</v>
      </c>
      <c r="K77" s="35">
        <f t="shared" si="6"/>
        <v>31372.079999999998</v>
      </c>
      <c r="L77" s="35">
        <f t="shared" si="7"/>
        <v>406.67511111111111</v>
      </c>
      <c r="M77" s="35">
        <f t="shared" si="8"/>
        <v>10457.36</v>
      </c>
      <c r="N77" s="34">
        <v>4.2514619883040936E-2</v>
      </c>
      <c r="O77" s="33">
        <f t="shared" si="9"/>
        <v>88918.137076023399</v>
      </c>
    </row>
    <row r="78" spans="1:15" x14ac:dyDescent="0.25">
      <c r="A78" s="30" t="s">
        <v>728</v>
      </c>
      <c r="B78" s="30">
        <v>30019</v>
      </c>
      <c r="C78" s="32">
        <v>45579</v>
      </c>
      <c r="D78" s="32">
        <v>45750</v>
      </c>
      <c r="E78" s="37">
        <f t="shared" si="5"/>
        <v>171</v>
      </c>
      <c r="F78" s="30" t="s">
        <v>1615</v>
      </c>
      <c r="G78" s="37">
        <v>31</v>
      </c>
      <c r="H78" s="30" t="s">
        <v>1614</v>
      </c>
      <c r="I78" s="30" t="s">
        <v>1613</v>
      </c>
      <c r="J78" s="36">
        <v>2206057</v>
      </c>
      <c r="K78" s="35">
        <f t="shared" si="6"/>
        <v>33090.854999999996</v>
      </c>
      <c r="L78" s="35">
        <f t="shared" si="7"/>
        <v>428.95552777777783</v>
      </c>
      <c r="M78" s="35">
        <f t="shared" si="8"/>
        <v>11030.285</v>
      </c>
      <c r="N78" s="34">
        <v>4.2514619883040922E-2</v>
      </c>
      <c r="O78" s="33">
        <f t="shared" si="9"/>
        <v>93789.674795321611</v>
      </c>
    </row>
    <row r="79" spans="1:15" x14ac:dyDescent="0.25">
      <c r="A79" s="30" t="s">
        <v>728</v>
      </c>
      <c r="B79" s="30">
        <v>30019</v>
      </c>
      <c r="C79" s="32">
        <v>45579</v>
      </c>
      <c r="D79" s="32">
        <v>45750</v>
      </c>
      <c r="E79" s="37">
        <f t="shared" si="5"/>
        <v>171</v>
      </c>
      <c r="F79" s="30" t="s">
        <v>1615</v>
      </c>
      <c r="G79" s="37">
        <v>31</v>
      </c>
      <c r="H79" s="30" t="s">
        <v>1614</v>
      </c>
      <c r="I79" s="30" t="s">
        <v>1613</v>
      </c>
      <c r="J79" s="36">
        <v>2327134</v>
      </c>
      <c r="K79" s="35">
        <f t="shared" si="6"/>
        <v>34907.01</v>
      </c>
      <c r="L79" s="35">
        <f t="shared" si="7"/>
        <v>452.49827777777779</v>
      </c>
      <c r="M79" s="35">
        <f t="shared" si="8"/>
        <v>11635.67</v>
      </c>
      <c r="N79" s="34">
        <v>4.2514619883040936E-2</v>
      </c>
      <c r="O79" s="33">
        <f t="shared" si="9"/>
        <v>98937.217426900577</v>
      </c>
    </row>
    <row r="80" spans="1:15" x14ac:dyDescent="0.25">
      <c r="A80" s="30" t="s">
        <v>728</v>
      </c>
      <c r="B80" s="30">
        <v>30019</v>
      </c>
      <c r="C80" s="32">
        <v>45579</v>
      </c>
      <c r="D80" s="32">
        <v>45750</v>
      </c>
      <c r="E80" s="37">
        <f t="shared" si="5"/>
        <v>171</v>
      </c>
      <c r="F80" s="30" t="s">
        <v>1615</v>
      </c>
      <c r="G80" s="37">
        <v>31</v>
      </c>
      <c r="H80" s="30" t="s">
        <v>1614</v>
      </c>
      <c r="I80" s="30" t="s">
        <v>1613</v>
      </c>
      <c r="J80" s="36">
        <v>2346313</v>
      </c>
      <c r="K80" s="35">
        <f t="shared" si="6"/>
        <v>35194.695</v>
      </c>
      <c r="L80" s="35">
        <f t="shared" si="7"/>
        <v>456.22752777777777</v>
      </c>
      <c r="M80" s="35">
        <f t="shared" si="8"/>
        <v>11731.565000000001</v>
      </c>
      <c r="N80" s="34">
        <v>4.2514619883040936E-2</v>
      </c>
      <c r="O80" s="33">
        <f t="shared" si="9"/>
        <v>99752.605321637428</v>
      </c>
    </row>
    <row r="81" spans="1:15" x14ac:dyDescent="0.25">
      <c r="A81" s="30" t="s">
        <v>728</v>
      </c>
      <c r="B81" s="30">
        <v>30019</v>
      </c>
      <c r="C81" s="32">
        <v>45579</v>
      </c>
      <c r="D81" s="32">
        <v>45750</v>
      </c>
      <c r="E81" s="37">
        <f t="shared" si="5"/>
        <v>171</v>
      </c>
      <c r="F81" s="30" t="s">
        <v>1615</v>
      </c>
      <c r="G81" s="37">
        <v>31</v>
      </c>
      <c r="H81" s="30" t="s">
        <v>1614</v>
      </c>
      <c r="I81" s="30" t="s">
        <v>1613</v>
      </c>
      <c r="J81" s="36">
        <v>2607075</v>
      </c>
      <c r="K81" s="35">
        <f t="shared" si="6"/>
        <v>39106.125</v>
      </c>
      <c r="L81" s="35">
        <f t="shared" si="7"/>
        <v>506.93125000000009</v>
      </c>
      <c r="M81" s="35">
        <f t="shared" si="8"/>
        <v>13035.375</v>
      </c>
      <c r="N81" s="34">
        <v>4.2514619883040936E-2</v>
      </c>
      <c r="O81" s="33">
        <f t="shared" si="9"/>
        <v>110838.80263157895</v>
      </c>
    </row>
    <row r="82" spans="1:15" x14ac:dyDescent="0.25">
      <c r="A82" s="30" t="s">
        <v>728</v>
      </c>
      <c r="B82" s="30">
        <v>30019</v>
      </c>
      <c r="C82" s="32">
        <v>45579</v>
      </c>
      <c r="D82" s="32">
        <v>45750</v>
      </c>
      <c r="E82" s="37">
        <f t="shared" si="5"/>
        <v>171</v>
      </c>
      <c r="F82" s="30" t="s">
        <v>1615</v>
      </c>
      <c r="G82" s="37">
        <v>31</v>
      </c>
      <c r="H82" s="30" t="s">
        <v>1614</v>
      </c>
      <c r="I82" s="30" t="s">
        <v>1613</v>
      </c>
      <c r="J82" s="36">
        <v>2659428</v>
      </c>
      <c r="K82" s="35">
        <f t="shared" si="6"/>
        <v>39891.42</v>
      </c>
      <c r="L82" s="35">
        <f t="shared" si="7"/>
        <v>517.1110000000001</v>
      </c>
      <c r="M82" s="35">
        <f t="shared" si="8"/>
        <v>13297.14</v>
      </c>
      <c r="N82" s="34">
        <v>4.2514619883040929E-2</v>
      </c>
      <c r="O82" s="33">
        <f t="shared" si="9"/>
        <v>113064.57052631577</v>
      </c>
    </row>
    <row r="83" spans="1:15" x14ac:dyDescent="0.25">
      <c r="A83" s="30" t="s">
        <v>728</v>
      </c>
      <c r="B83" s="30">
        <v>30019</v>
      </c>
      <c r="C83" s="32">
        <v>45579</v>
      </c>
      <c r="D83" s="32">
        <v>45750</v>
      </c>
      <c r="E83" s="37">
        <f t="shared" si="5"/>
        <v>171</v>
      </c>
      <c r="F83" s="30" t="s">
        <v>1615</v>
      </c>
      <c r="G83" s="37">
        <v>31</v>
      </c>
      <c r="H83" s="30" t="s">
        <v>1614</v>
      </c>
      <c r="I83" s="30" t="s">
        <v>1613</v>
      </c>
      <c r="J83" s="36">
        <v>2768774</v>
      </c>
      <c r="K83" s="35">
        <f t="shared" si="6"/>
        <v>41531.61</v>
      </c>
      <c r="L83" s="35">
        <f t="shared" si="7"/>
        <v>538.37272222222225</v>
      </c>
      <c r="M83" s="35">
        <f t="shared" si="8"/>
        <v>13843.87</v>
      </c>
      <c r="N83" s="34">
        <v>4.2514619883040936E-2</v>
      </c>
      <c r="O83" s="33">
        <f t="shared" si="9"/>
        <v>117713.37415204679</v>
      </c>
    </row>
    <row r="84" spans="1:15" x14ac:dyDescent="0.25">
      <c r="A84" s="30" t="s">
        <v>728</v>
      </c>
      <c r="B84" s="30">
        <v>30019</v>
      </c>
      <c r="C84" s="32">
        <v>45579</v>
      </c>
      <c r="D84" s="32">
        <v>45750</v>
      </c>
      <c r="E84" s="37">
        <f t="shared" si="5"/>
        <v>171</v>
      </c>
      <c r="F84" s="30" t="s">
        <v>1615</v>
      </c>
      <c r="G84" s="37">
        <v>31</v>
      </c>
      <c r="H84" s="30" t="s">
        <v>1614</v>
      </c>
      <c r="I84" s="30" t="s">
        <v>1613</v>
      </c>
      <c r="J84" s="36">
        <v>2886285</v>
      </c>
      <c r="K84" s="35">
        <f t="shared" si="6"/>
        <v>43294.275000000001</v>
      </c>
      <c r="L84" s="35">
        <f t="shared" si="7"/>
        <v>561.22208333333333</v>
      </c>
      <c r="M84" s="35">
        <f t="shared" si="8"/>
        <v>14431.425000000001</v>
      </c>
      <c r="N84" s="34">
        <v>4.2514619883040936E-2</v>
      </c>
      <c r="O84" s="33">
        <f t="shared" si="9"/>
        <v>122709.30964912281</v>
      </c>
    </row>
    <row r="85" spans="1:15" x14ac:dyDescent="0.25">
      <c r="A85" s="30" t="s">
        <v>728</v>
      </c>
      <c r="B85" s="30">
        <v>30019</v>
      </c>
      <c r="C85" s="32">
        <v>45579</v>
      </c>
      <c r="D85" s="32">
        <v>45750</v>
      </c>
      <c r="E85" s="37">
        <f t="shared" si="5"/>
        <v>171</v>
      </c>
      <c r="F85" s="30" t="s">
        <v>1615</v>
      </c>
      <c r="G85" s="37">
        <v>31</v>
      </c>
      <c r="H85" s="30" t="s">
        <v>1614</v>
      </c>
      <c r="I85" s="30" t="s">
        <v>1613</v>
      </c>
      <c r="J85" s="36">
        <v>2953267</v>
      </c>
      <c r="K85" s="35">
        <f t="shared" si="6"/>
        <v>44299.004999999997</v>
      </c>
      <c r="L85" s="35">
        <f t="shared" si="7"/>
        <v>574.24636111111124</v>
      </c>
      <c r="M85" s="35">
        <f t="shared" si="8"/>
        <v>14766.335000000001</v>
      </c>
      <c r="N85" s="34">
        <v>4.2514619883040929E-2</v>
      </c>
      <c r="O85" s="33">
        <f t="shared" si="9"/>
        <v>125557.02391812863</v>
      </c>
    </row>
    <row r="86" spans="1:15" x14ac:dyDescent="0.25">
      <c r="A86" s="30" t="s">
        <v>728</v>
      </c>
      <c r="B86" s="30">
        <v>30019</v>
      </c>
      <c r="C86" s="32">
        <v>45579</v>
      </c>
      <c r="D86" s="32">
        <v>45750</v>
      </c>
      <c r="E86" s="37">
        <f t="shared" si="5"/>
        <v>171</v>
      </c>
      <c r="F86" s="30" t="s">
        <v>1615</v>
      </c>
      <c r="G86" s="37">
        <v>31</v>
      </c>
      <c r="H86" s="30" t="s">
        <v>1614</v>
      </c>
      <c r="I86" s="30" t="s">
        <v>1613</v>
      </c>
      <c r="J86" s="36">
        <v>3200515</v>
      </c>
      <c r="K86" s="35">
        <f t="shared" si="6"/>
        <v>48007.724999999999</v>
      </c>
      <c r="L86" s="35">
        <f t="shared" si="7"/>
        <v>622.32236111111115</v>
      </c>
      <c r="M86" s="35">
        <f t="shared" si="8"/>
        <v>16002.575000000001</v>
      </c>
      <c r="N86" s="34">
        <v>4.2514619883040929E-2</v>
      </c>
      <c r="O86" s="33">
        <f t="shared" si="9"/>
        <v>136068.67865497075</v>
      </c>
    </row>
    <row r="87" spans="1:15" x14ac:dyDescent="0.25">
      <c r="A87" s="30" t="s">
        <v>728</v>
      </c>
      <c r="B87" s="30">
        <v>30019</v>
      </c>
      <c r="C87" s="32">
        <v>45579</v>
      </c>
      <c r="D87" s="32">
        <v>45750</v>
      </c>
      <c r="E87" s="37">
        <f t="shared" si="5"/>
        <v>171</v>
      </c>
      <c r="F87" s="30" t="s">
        <v>1615</v>
      </c>
      <c r="G87" s="37">
        <v>31</v>
      </c>
      <c r="H87" s="30" t="s">
        <v>1614</v>
      </c>
      <c r="I87" s="30" t="s">
        <v>1613</v>
      </c>
      <c r="J87" s="36">
        <v>3278840</v>
      </c>
      <c r="K87" s="35">
        <f t="shared" si="6"/>
        <v>49182.6</v>
      </c>
      <c r="L87" s="35">
        <f t="shared" si="7"/>
        <v>637.55222222222233</v>
      </c>
      <c r="M87" s="35">
        <f t="shared" si="8"/>
        <v>16394.2</v>
      </c>
      <c r="N87" s="34">
        <v>4.2514619883040936E-2</v>
      </c>
      <c r="O87" s="33">
        <f t="shared" si="9"/>
        <v>139398.63625730993</v>
      </c>
    </row>
    <row r="88" spans="1:15" x14ac:dyDescent="0.25">
      <c r="A88" s="30" t="s">
        <v>728</v>
      </c>
      <c r="B88" s="30">
        <v>30019</v>
      </c>
      <c r="C88" s="32">
        <v>45579</v>
      </c>
      <c r="D88" s="32">
        <v>45750</v>
      </c>
      <c r="E88" s="37">
        <f t="shared" si="5"/>
        <v>171</v>
      </c>
      <c r="F88" s="30" t="s">
        <v>1615</v>
      </c>
      <c r="G88" s="37">
        <v>31</v>
      </c>
      <c r="H88" s="30" t="s">
        <v>1614</v>
      </c>
      <c r="I88" s="30" t="s">
        <v>1613</v>
      </c>
      <c r="J88" s="36">
        <v>3784262</v>
      </c>
      <c r="K88" s="35">
        <f t="shared" si="6"/>
        <v>56763.93</v>
      </c>
      <c r="L88" s="35">
        <f t="shared" si="7"/>
        <v>735.82872222222227</v>
      </c>
      <c r="M88" s="35">
        <f t="shared" si="8"/>
        <v>18921.310000000001</v>
      </c>
      <c r="N88" s="34">
        <v>4.2514619883040929E-2</v>
      </c>
      <c r="O88" s="33">
        <f t="shared" si="9"/>
        <v>160886.46046783624</v>
      </c>
    </row>
    <row r="89" spans="1:15" x14ac:dyDescent="0.25">
      <c r="A89" s="30" t="s">
        <v>728</v>
      </c>
      <c r="B89" s="30">
        <v>30019</v>
      </c>
      <c r="C89" s="32">
        <v>45579</v>
      </c>
      <c r="D89" s="32">
        <v>45750</v>
      </c>
      <c r="E89" s="37">
        <f t="shared" si="5"/>
        <v>171</v>
      </c>
      <c r="F89" s="30" t="s">
        <v>1615</v>
      </c>
      <c r="G89" s="37">
        <v>31</v>
      </c>
      <c r="H89" s="30" t="s">
        <v>1614</v>
      </c>
      <c r="I89" s="30" t="s">
        <v>1613</v>
      </c>
      <c r="J89" s="36">
        <v>4193057</v>
      </c>
      <c r="K89" s="35">
        <f t="shared" si="6"/>
        <v>62895.854999999996</v>
      </c>
      <c r="L89" s="35">
        <f t="shared" si="7"/>
        <v>815.31663888888897</v>
      </c>
      <c r="M89" s="35">
        <f t="shared" si="8"/>
        <v>20965.285</v>
      </c>
      <c r="N89" s="34">
        <v>4.2514619883040929E-2</v>
      </c>
      <c r="O89" s="33">
        <f t="shared" si="9"/>
        <v>178266.22450292396</v>
      </c>
    </row>
    <row r="90" spans="1:15" x14ac:dyDescent="0.25">
      <c r="A90" s="30" t="s">
        <v>728</v>
      </c>
      <c r="B90" s="30">
        <v>30019</v>
      </c>
      <c r="C90" s="32">
        <v>45579</v>
      </c>
      <c r="D90" s="32">
        <v>45750</v>
      </c>
      <c r="E90" s="37">
        <f t="shared" si="5"/>
        <v>171</v>
      </c>
      <c r="F90" s="30" t="s">
        <v>1615</v>
      </c>
      <c r="G90" s="37">
        <v>31</v>
      </c>
      <c r="H90" s="30" t="s">
        <v>1614</v>
      </c>
      <c r="I90" s="30" t="s">
        <v>1613</v>
      </c>
      <c r="J90" s="36">
        <v>4413541</v>
      </c>
      <c r="K90" s="35">
        <f t="shared" si="6"/>
        <v>66203.114999999991</v>
      </c>
      <c r="L90" s="35">
        <f t="shared" si="7"/>
        <v>858.18852777777795</v>
      </c>
      <c r="M90" s="35">
        <f t="shared" si="8"/>
        <v>22067.705000000002</v>
      </c>
      <c r="N90" s="34">
        <v>4.2514619883040929E-2</v>
      </c>
      <c r="O90" s="33">
        <f t="shared" si="9"/>
        <v>187640.01795321633</v>
      </c>
    </row>
    <row r="91" spans="1:15" x14ac:dyDescent="0.25">
      <c r="A91" s="30" t="s">
        <v>728</v>
      </c>
      <c r="B91" s="30">
        <v>30019</v>
      </c>
      <c r="C91" s="32">
        <v>45579</v>
      </c>
      <c r="D91" s="32">
        <v>45750</v>
      </c>
      <c r="E91" s="37">
        <f t="shared" si="5"/>
        <v>171</v>
      </c>
      <c r="F91" s="30" t="s">
        <v>1615</v>
      </c>
      <c r="G91" s="37">
        <v>31</v>
      </c>
      <c r="H91" s="30" t="s">
        <v>1614</v>
      </c>
      <c r="I91" s="30" t="s">
        <v>1613</v>
      </c>
      <c r="J91" s="36">
        <v>4570596</v>
      </c>
      <c r="K91" s="35">
        <f t="shared" si="6"/>
        <v>68558.94</v>
      </c>
      <c r="L91" s="35">
        <f t="shared" si="7"/>
        <v>888.72700000000009</v>
      </c>
      <c r="M91" s="35">
        <f t="shared" si="8"/>
        <v>22852.98</v>
      </c>
      <c r="N91" s="34">
        <v>4.2514619883040936E-2</v>
      </c>
      <c r="O91" s="33">
        <f t="shared" si="9"/>
        <v>194317.15157894738</v>
      </c>
    </row>
    <row r="92" spans="1:15" x14ac:dyDescent="0.25">
      <c r="A92" s="30" t="s">
        <v>728</v>
      </c>
      <c r="B92" s="30">
        <v>30019</v>
      </c>
      <c r="C92" s="32">
        <v>45579</v>
      </c>
      <c r="D92" s="32">
        <v>45750</v>
      </c>
      <c r="E92" s="37">
        <f t="shared" si="5"/>
        <v>171</v>
      </c>
      <c r="F92" s="30" t="s">
        <v>1615</v>
      </c>
      <c r="G92" s="37">
        <v>31</v>
      </c>
      <c r="H92" s="30" t="s">
        <v>1614</v>
      </c>
      <c r="I92" s="30" t="s">
        <v>1613</v>
      </c>
      <c r="J92" s="36">
        <v>4860144</v>
      </c>
      <c r="K92" s="35">
        <f t="shared" si="6"/>
        <v>72902.16</v>
      </c>
      <c r="L92" s="35">
        <f t="shared" si="7"/>
        <v>945.02800000000002</v>
      </c>
      <c r="M92" s="35">
        <f t="shared" si="8"/>
        <v>24300.720000000001</v>
      </c>
      <c r="N92" s="34">
        <v>4.2514619883040936E-2</v>
      </c>
      <c r="O92" s="33">
        <f t="shared" si="9"/>
        <v>206627.17473684211</v>
      </c>
    </row>
    <row r="93" spans="1:15" x14ac:dyDescent="0.25">
      <c r="A93" s="30" t="s">
        <v>728</v>
      </c>
      <c r="B93" s="30">
        <v>30019</v>
      </c>
      <c r="C93" s="32">
        <v>45579</v>
      </c>
      <c r="D93" s="32">
        <v>45750</v>
      </c>
      <c r="E93" s="37">
        <f t="shared" si="5"/>
        <v>171</v>
      </c>
      <c r="F93" s="30" t="s">
        <v>1615</v>
      </c>
      <c r="G93" s="37">
        <v>31</v>
      </c>
      <c r="H93" s="30" t="s">
        <v>1614</v>
      </c>
      <c r="I93" s="30" t="s">
        <v>1613</v>
      </c>
      <c r="J93" s="36">
        <v>6195863</v>
      </c>
      <c r="K93" s="35">
        <f t="shared" si="6"/>
        <v>92937.944999999992</v>
      </c>
      <c r="L93" s="35">
        <f t="shared" si="7"/>
        <v>1204.751138888889</v>
      </c>
      <c r="M93" s="35">
        <f t="shared" si="8"/>
        <v>30979.315000000002</v>
      </c>
      <c r="N93" s="34">
        <v>4.2514619883040936E-2</v>
      </c>
      <c r="O93" s="33">
        <f t="shared" si="9"/>
        <v>263414.76029239764</v>
      </c>
    </row>
    <row r="94" spans="1:15" x14ac:dyDescent="0.25">
      <c r="A94" s="30" t="s">
        <v>728</v>
      </c>
      <c r="B94" s="30">
        <v>30019</v>
      </c>
      <c r="C94" s="32">
        <v>45579</v>
      </c>
      <c r="D94" s="32">
        <v>45750</v>
      </c>
      <c r="E94" s="37">
        <f t="shared" si="5"/>
        <v>171</v>
      </c>
      <c r="F94" s="30" t="s">
        <v>1615</v>
      </c>
      <c r="G94" s="37">
        <v>31</v>
      </c>
      <c r="H94" s="30" t="s">
        <v>1614</v>
      </c>
      <c r="I94" s="30" t="s">
        <v>1613</v>
      </c>
      <c r="J94" s="36">
        <v>6260191</v>
      </c>
      <c r="K94" s="35">
        <f t="shared" si="6"/>
        <v>93902.864999999991</v>
      </c>
      <c r="L94" s="35">
        <f t="shared" si="7"/>
        <v>1217.2593611111113</v>
      </c>
      <c r="M94" s="35">
        <f t="shared" si="8"/>
        <v>31300.955000000002</v>
      </c>
      <c r="N94" s="34">
        <v>4.2514619883040929E-2</v>
      </c>
      <c r="O94" s="33">
        <f t="shared" si="9"/>
        <v>266149.64076023386</v>
      </c>
    </row>
    <row r="95" spans="1:15" x14ac:dyDescent="0.25">
      <c r="A95" s="30" t="s">
        <v>728</v>
      </c>
      <c r="B95" s="30">
        <v>30019</v>
      </c>
      <c r="C95" s="32">
        <v>45579</v>
      </c>
      <c r="D95" s="32">
        <v>45750</v>
      </c>
      <c r="E95" s="37">
        <f t="shared" si="5"/>
        <v>171</v>
      </c>
      <c r="F95" s="30" t="s">
        <v>1615</v>
      </c>
      <c r="G95" s="37">
        <v>31</v>
      </c>
      <c r="H95" s="30" t="s">
        <v>1614</v>
      </c>
      <c r="I95" s="30" t="s">
        <v>1613</v>
      </c>
      <c r="J95" s="36">
        <v>6348497</v>
      </c>
      <c r="K95" s="35">
        <f t="shared" si="6"/>
        <v>95227.455000000002</v>
      </c>
      <c r="L95" s="35">
        <f t="shared" si="7"/>
        <v>1234.4299722222224</v>
      </c>
      <c r="M95" s="35">
        <f t="shared" si="8"/>
        <v>31742.485000000001</v>
      </c>
      <c r="N95" s="34">
        <v>4.2514619883040936E-2</v>
      </c>
      <c r="O95" s="33">
        <f t="shared" si="9"/>
        <v>269903.93678362574</v>
      </c>
    </row>
    <row r="96" spans="1:15" x14ac:dyDescent="0.25">
      <c r="A96" s="30" t="s">
        <v>728</v>
      </c>
      <c r="B96" s="30">
        <v>30019</v>
      </c>
      <c r="C96" s="32">
        <v>45579</v>
      </c>
      <c r="D96" s="32">
        <v>45750</v>
      </c>
      <c r="E96" s="37">
        <f t="shared" si="5"/>
        <v>171</v>
      </c>
      <c r="F96" s="30" t="s">
        <v>1615</v>
      </c>
      <c r="G96" s="37">
        <v>31</v>
      </c>
      <c r="H96" s="30" t="s">
        <v>1614</v>
      </c>
      <c r="I96" s="30" t="s">
        <v>1613</v>
      </c>
      <c r="J96" s="36">
        <v>6636819</v>
      </c>
      <c r="K96" s="35">
        <f t="shared" si="6"/>
        <v>99552.285000000003</v>
      </c>
      <c r="L96" s="35">
        <f t="shared" si="7"/>
        <v>1290.4925833333334</v>
      </c>
      <c r="M96" s="35">
        <f t="shared" si="8"/>
        <v>33184.095000000001</v>
      </c>
      <c r="N96" s="34">
        <v>4.2514619883040936E-2</v>
      </c>
      <c r="O96" s="33">
        <f t="shared" si="9"/>
        <v>282161.83701754385</v>
      </c>
    </row>
    <row r="97" spans="1:15" x14ac:dyDescent="0.25">
      <c r="A97" s="30" t="s">
        <v>728</v>
      </c>
      <c r="B97" s="30">
        <v>30019</v>
      </c>
      <c r="C97" s="32">
        <v>45579</v>
      </c>
      <c r="D97" s="32">
        <v>45750</v>
      </c>
      <c r="E97" s="37">
        <f t="shared" si="5"/>
        <v>171</v>
      </c>
      <c r="F97" s="30" t="s">
        <v>1615</v>
      </c>
      <c r="G97" s="37">
        <v>31</v>
      </c>
      <c r="H97" s="30" t="s">
        <v>1614</v>
      </c>
      <c r="I97" s="30" t="s">
        <v>1613</v>
      </c>
      <c r="J97" s="36">
        <v>6921936</v>
      </c>
      <c r="K97" s="35">
        <f t="shared" si="6"/>
        <v>103829.04</v>
      </c>
      <c r="L97" s="35">
        <f t="shared" si="7"/>
        <v>1345.932</v>
      </c>
      <c r="M97" s="35">
        <f t="shared" si="8"/>
        <v>34609.68</v>
      </c>
      <c r="N97" s="34">
        <v>4.2514619883040936E-2</v>
      </c>
      <c r="O97" s="33">
        <f t="shared" si="9"/>
        <v>294283.47789473686</v>
      </c>
    </row>
    <row r="98" spans="1:15" x14ac:dyDescent="0.25">
      <c r="A98" s="30" t="s">
        <v>728</v>
      </c>
      <c r="B98" s="30">
        <v>30019</v>
      </c>
      <c r="C98" s="32">
        <v>45579</v>
      </c>
      <c r="D98" s="32">
        <v>45750</v>
      </c>
      <c r="E98" s="37">
        <f t="shared" si="5"/>
        <v>171</v>
      </c>
      <c r="F98" s="30" t="s">
        <v>1615</v>
      </c>
      <c r="G98" s="37">
        <v>31</v>
      </c>
      <c r="H98" s="30" t="s">
        <v>1614</v>
      </c>
      <c r="I98" s="30" t="s">
        <v>1613</v>
      </c>
      <c r="J98" s="36">
        <v>7025085</v>
      </c>
      <c r="K98" s="35">
        <f t="shared" si="6"/>
        <v>105376.27499999999</v>
      </c>
      <c r="L98" s="35">
        <f t="shared" si="7"/>
        <v>1365.9887500000002</v>
      </c>
      <c r="M98" s="35">
        <f t="shared" si="8"/>
        <v>35125.425000000003</v>
      </c>
      <c r="N98" s="34">
        <v>4.2514619883040936E-2</v>
      </c>
      <c r="O98" s="33">
        <f t="shared" si="9"/>
        <v>298668.81842105265</v>
      </c>
    </row>
    <row r="99" spans="1:15" x14ac:dyDescent="0.25">
      <c r="A99" s="30" t="s">
        <v>728</v>
      </c>
      <c r="B99" s="30">
        <v>30019</v>
      </c>
      <c r="C99" s="32">
        <v>45579</v>
      </c>
      <c r="D99" s="32">
        <v>45750</v>
      </c>
      <c r="E99" s="37">
        <f t="shared" si="5"/>
        <v>171</v>
      </c>
      <c r="F99" s="30" t="s">
        <v>1615</v>
      </c>
      <c r="G99" s="37">
        <v>31</v>
      </c>
      <c r="H99" s="30" t="s">
        <v>1614</v>
      </c>
      <c r="I99" s="30" t="s">
        <v>1613</v>
      </c>
      <c r="J99" s="36">
        <v>7087142</v>
      </c>
      <c r="K99" s="35">
        <f t="shared" si="6"/>
        <v>106307.12999999999</v>
      </c>
      <c r="L99" s="35">
        <f t="shared" si="7"/>
        <v>1378.055388888889</v>
      </c>
      <c r="M99" s="35">
        <f t="shared" si="8"/>
        <v>35435.71</v>
      </c>
      <c r="N99" s="34">
        <v>4.2514619883040929E-2</v>
      </c>
      <c r="O99" s="33">
        <f t="shared" si="9"/>
        <v>301307.14818713447</v>
      </c>
    </row>
    <row r="100" spans="1:15" x14ac:dyDescent="0.25">
      <c r="A100" s="30" t="s">
        <v>728</v>
      </c>
      <c r="B100" s="30">
        <v>30019</v>
      </c>
      <c r="C100" s="32">
        <v>45579</v>
      </c>
      <c r="D100" s="32">
        <v>45750</v>
      </c>
      <c r="E100" s="37">
        <f t="shared" si="5"/>
        <v>171</v>
      </c>
      <c r="F100" s="30" t="s">
        <v>1615</v>
      </c>
      <c r="G100" s="37">
        <v>31</v>
      </c>
      <c r="H100" s="30" t="s">
        <v>1614</v>
      </c>
      <c r="I100" s="30" t="s">
        <v>1613</v>
      </c>
      <c r="J100" s="36">
        <v>7418329</v>
      </c>
      <c r="K100" s="35">
        <f t="shared" si="6"/>
        <v>111274.935</v>
      </c>
      <c r="L100" s="35">
        <f t="shared" si="7"/>
        <v>1442.4528611111111</v>
      </c>
      <c r="M100" s="35">
        <f t="shared" si="8"/>
        <v>37091.645000000004</v>
      </c>
      <c r="N100" s="34">
        <v>4.2514619883040929E-2</v>
      </c>
      <c r="O100" s="33">
        <f t="shared" si="9"/>
        <v>315387.43760233914</v>
      </c>
    </row>
    <row r="101" spans="1:15" x14ac:dyDescent="0.25">
      <c r="A101" s="30" t="s">
        <v>728</v>
      </c>
      <c r="B101" s="30">
        <v>30019</v>
      </c>
      <c r="C101" s="32">
        <v>45579</v>
      </c>
      <c r="D101" s="32">
        <v>45750</v>
      </c>
      <c r="E101" s="37">
        <f t="shared" si="5"/>
        <v>171</v>
      </c>
      <c r="F101" s="30" t="s">
        <v>1615</v>
      </c>
      <c r="G101" s="37">
        <v>31</v>
      </c>
      <c r="H101" s="30" t="s">
        <v>1614</v>
      </c>
      <c r="I101" s="30" t="s">
        <v>1613</v>
      </c>
      <c r="J101" s="36">
        <v>7581362</v>
      </c>
      <c r="K101" s="35">
        <f t="shared" si="6"/>
        <v>113720.43</v>
      </c>
      <c r="L101" s="35">
        <f t="shared" si="7"/>
        <v>1474.1537222222225</v>
      </c>
      <c r="M101" s="35">
        <f t="shared" si="8"/>
        <v>37906.81</v>
      </c>
      <c r="N101" s="34">
        <v>4.2514619883040929E-2</v>
      </c>
      <c r="O101" s="33">
        <f t="shared" si="9"/>
        <v>322318.72362573096</v>
      </c>
    </row>
    <row r="102" spans="1:15" x14ac:dyDescent="0.25">
      <c r="A102" s="30" t="s">
        <v>728</v>
      </c>
      <c r="B102" s="30">
        <v>30019</v>
      </c>
      <c r="C102" s="32">
        <v>45579</v>
      </c>
      <c r="D102" s="32">
        <v>45750</v>
      </c>
      <c r="E102" s="37">
        <f t="shared" si="5"/>
        <v>171</v>
      </c>
      <c r="F102" s="30" t="s">
        <v>1615</v>
      </c>
      <c r="G102" s="37">
        <v>31</v>
      </c>
      <c r="H102" s="30" t="s">
        <v>1614</v>
      </c>
      <c r="I102" s="30" t="s">
        <v>1613</v>
      </c>
      <c r="J102" s="36">
        <v>7682101</v>
      </c>
      <c r="K102" s="35">
        <f t="shared" si="6"/>
        <v>115231.515</v>
      </c>
      <c r="L102" s="35">
        <f t="shared" si="7"/>
        <v>1493.7418611111113</v>
      </c>
      <c r="M102" s="35">
        <f t="shared" si="8"/>
        <v>38410.504999999997</v>
      </c>
      <c r="N102" s="34">
        <v>4.2514619883040929E-2</v>
      </c>
      <c r="O102" s="33">
        <f t="shared" si="9"/>
        <v>326601.60391812859</v>
      </c>
    </row>
    <row r="103" spans="1:15" x14ac:dyDescent="0.25">
      <c r="A103" s="30" t="s">
        <v>728</v>
      </c>
      <c r="B103" s="30">
        <v>30019</v>
      </c>
      <c r="C103" s="32">
        <v>45579</v>
      </c>
      <c r="D103" s="32">
        <v>45750</v>
      </c>
      <c r="E103" s="37">
        <f t="shared" si="5"/>
        <v>171</v>
      </c>
      <c r="F103" s="30" t="s">
        <v>1615</v>
      </c>
      <c r="G103" s="37">
        <v>31</v>
      </c>
      <c r="H103" s="30" t="s">
        <v>1614</v>
      </c>
      <c r="I103" s="30" t="s">
        <v>1613</v>
      </c>
      <c r="J103" s="36">
        <v>8231863</v>
      </c>
      <c r="K103" s="35">
        <f t="shared" si="6"/>
        <v>123477.94499999999</v>
      </c>
      <c r="L103" s="35">
        <f t="shared" si="7"/>
        <v>1600.640027777778</v>
      </c>
      <c r="M103" s="35">
        <f t="shared" si="8"/>
        <v>41159.315000000002</v>
      </c>
      <c r="N103" s="34">
        <v>4.2514619883040929E-2</v>
      </c>
      <c r="O103" s="33">
        <f t="shared" si="9"/>
        <v>349974.52637426893</v>
      </c>
    </row>
    <row r="104" spans="1:15" x14ac:dyDescent="0.25">
      <c r="A104" s="30" t="s">
        <v>728</v>
      </c>
      <c r="B104" s="30">
        <v>30019</v>
      </c>
      <c r="C104" s="32">
        <v>45579</v>
      </c>
      <c r="D104" s="32">
        <v>45750</v>
      </c>
      <c r="E104" s="37">
        <f t="shared" si="5"/>
        <v>171</v>
      </c>
      <c r="F104" s="30" t="s">
        <v>1615</v>
      </c>
      <c r="G104" s="37">
        <v>31</v>
      </c>
      <c r="H104" s="30" t="s">
        <v>1614</v>
      </c>
      <c r="I104" s="30" t="s">
        <v>1613</v>
      </c>
      <c r="J104" s="36">
        <v>8827229</v>
      </c>
      <c r="K104" s="35">
        <f t="shared" si="6"/>
        <v>132408.435</v>
      </c>
      <c r="L104" s="35">
        <f t="shared" si="7"/>
        <v>1716.4056388888889</v>
      </c>
      <c r="M104" s="35">
        <f t="shared" si="8"/>
        <v>44136.145000000004</v>
      </c>
      <c r="N104" s="34">
        <v>4.2514619883040936E-2</v>
      </c>
      <c r="O104" s="33">
        <f t="shared" si="9"/>
        <v>375286.28555555554</v>
      </c>
    </row>
    <row r="105" spans="1:15" x14ac:dyDescent="0.25">
      <c r="A105" s="30" t="s">
        <v>728</v>
      </c>
      <c r="B105" s="30">
        <v>30019</v>
      </c>
      <c r="C105" s="32">
        <v>45579</v>
      </c>
      <c r="D105" s="32">
        <v>45750</v>
      </c>
      <c r="E105" s="37">
        <f t="shared" si="5"/>
        <v>171</v>
      </c>
      <c r="F105" s="30" t="s">
        <v>1615</v>
      </c>
      <c r="G105" s="37">
        <v>31</v>
      </c>
      <c r="H105" s="30" t="s">
        <v>1614</v>
      </c>
      <c r="I105" s="30" t="s">
        <v>1613</v>
      </c>
      <c r="J105" s="36">
        <v>9040925</v>
      </c>
      <c r="K105" s="35">
        <f t="shared" si="6"/>
        <v>135613.875</v>
      </c>
      <c r="L105" s="35">
        <f t="shared" si="7"/>
        <v>1757.9576388888893</v>
      </c>
      <c r="M105" s="35">
        <f t="shared" si="8"/>
        <v>45204.625</v>
      </c>
      <c r="N105" s="34">
        <v>4.2514619883040929E-2</v>
      </c>
      <c r="O105" s="33">
        <f t="shared" si="9"/>
        <v>384371.4897660818</v>
      </c>
    </row>
    <row r="106" spans="1:15" x14ac:dyDescent="0.25">
      <c r="A106" s="30" t="s">
        <v>728</v>
      </c>
      <c r="B106" s="30">
        <v>30019</v>
      </c>
      <c r="C106" s="32">
        <v>45579</v>
      </c>
      <c r="D106" s="32">
        <v>45750</v>
      </c>
      <c r="E106" s="37">
        <f t="shared" si="5"/>
        <v>171</v>
      </c>
      <c r="F106" s="30" t="s">
        <v>1615</v>
      </c>
      <c r="G106" s="37">
        <v>31</v>
      </c>
      <c r="H106" s="30" t="s">
        <v>1614</v>
      </c>
      <c r="I106" s="30" t="s">
        <v>1613</v>
      </c>
      <c r="J106" s="36">
        <v>9246625</v>
      </c>
      <c r="K106" s="35">
        <f t="shared" si="6"/>
        <v>138699.375</v>
      </c>
      <c r="L106" s="35">
        <f t="shared" si="7"/>
        <v>1797.9548611111115</v>
      </c>
      <c r="M106" s="35">
        <f t="shared" si="8"/>
        <v>46233.125</v>
      </c>
      <c r="N106" s="34">
        <v>4.2514619883040936E-2</v>
      </c>
      <c r="O106" s="33">
        <f t="shared" si="9"/>
        <v>393116.74707602337</v>
      </c>
    </row>
    <row r="107" spans="1:15" x14ac:dyDescent="0.25">
      <c r="A107" s="30" t="s">
        <v>728</v>
      </c>
      <c r="B107" s="30">
        <v>30019</v>
      </c>
      <c r="C107" s="32">
        <v>45579</v>
      </c>
      <c r="D107" s="32">
        <v>45750</v>
      </c>
      <c r="E107" s="37">
        <f t="shared" si="5"/>
        <v>171</v>
      </c>
      <c r="F107" s="30" t="s">
        <v>1615</v>
      </c>
      <c r="G107" s="37">
        <v>31</v>
      </c>
      <c r="H107" s="30" t="s">
        <v>1614</v>
      </c>
      <c r="I107" s="30" t="s">
        <v>1613</v>
      </c>
      <c r="J107" s="36">
        <v>9387105</v>
      </c>
      <c r="K107" s="35">
        <f t="shared" si="6"/>
        <v>140806.57499999998</v>
      </c>
      <c r="L107" s="35">
        <f t="shared" si="7"/>
        <v>1825.270416666667</v>
      </c>
      <c r="M107" s="35">
        <f t="shared" si="8"/>
        <v>46935.525000000001</v>
      </c>
      <c r="N107" s="34">
        <v>4.2514619883040929E-2</v>
      </c>
      <c r="O107" s="33">
        <f t="shared" si="9"/>
        <v>399089.2008771929</v>
      </c>
    </row>
    <row r="108" spans="1:15" x14ac:dyDescent="0.25">
      <c r="A108" s="30" t="s">
        <v>728</v>
      </c>
      <c r="B108" s="30">
        <v>30019</v>
      </c>
      <c r="C108" s="32">
        <v>45579</v>
      </c>
      <c r="D108" s="32">
        <v>45750</v>
      </c>
      <c r="E108" s="37">
        <f t="shared" si="5"/>
        <v>171</v>
      </c>
      <c r="F108" s="30" t="s">
        <v>1615</v>
      </c>
      <c r="G108" s="37">
        <v>31</v>
      </c>
      <c r="H108" s="30" t="s">
        <v>1614</v>
      </c>
      <c r="I108" s="30" t="s">
        <v>1613</v>
      </c>
      <c r="J108" s="36">
        <v>9555550</v>
      </c>
      <c r="K108" s="35">
        <f t="shared" si="6"/>
        <v>143333.25</v>
      </c>
      <c r="L108" s="35">
        <f t="shared" si="7"/>
        <v>1858.0236111111114</v>
      </c>
      <c r="M108" s="35">
        <f t="shared" si="8"/>
        <v>47777.75</v>
      </c>
      <c r="N108" s="34">
        <v>4.2514619883040929E-2</v>
      </c>
      <c r="O108" s="33">
        <f t="shared" si="9"/>
        <v>406250.57602339174</v>
      </c>
    </row>
    <row r="109" spans="1:15" x14ac:dyDescent="0.25">
      <c r="A109" s="30" t="s">
        <v>728</v>
      </c>
      <c r="B109" s="30">
        <v>30019</v>
      </c>
      <c r="C109" s="32">
        <v>45579</v>
      </c>
      <c r="D109" s="32">
        <v>45750</v>
      </c>
      <c r="E109" s="37">
        <f t="shared" si="5"/>
        <v>171</v>
      </c>
      <c r="F109" s="30" t="s">
        <v>1615</v>
      </c>
      <c r="G109" s="37">
        <v>31</v>
      </c>
      <c r="H109" s="30" t="s">
        <v>1614</v>
      </c>
      <c r="I109" s="30" t="s">
        <v>1613</v>
      </c>
      <c r="J109" s="36">
        <v>9781519</v>
      </c>
      <c r="K109" s="35">
        <f t="shared" si="6"/>
        <v>146722.785</v>
      </c>
      <c r="L109" s="35">
        <f t="shared" si="7"/>
        <v>1901.9620277777781</v>
      </c>
      <c r="M109" s="35">
        <f t="shared" si="8"/>
        <v>48907.595000000001</v>
      </c>
      <c r="N109" s="34">
        <v>4.2514619883040936E-2</v>
      </c>
      <c r="O109" s="33">
        <f t="shared" si="9"/>
        <v>415857.56216374267</v>
      </c>
    </row>
    <row r="110" spans="1:15" x14ac:dyDescent="0.25">
      <c r="A110" s="30" t="s">
        <v>728</v>
      </c>
      <c r="B110" s="30">
        <v>30019</v>
      </c>
      <c r="C110" s="32">
        <v>45579</v>
      </c>
      <c r="D110" s="32">
        <v>45750</v>
      </c>
      <c r="E110" s="37">
        <f t="shared" si="5"/>
        <v>171</v>
      </c>
      <c r="F110" s="30" t="s">
        <v>1615</v>
      </c>
      <c r="G110" s="37">
        <v>31</v>
      </c>
      <c r="H110" s="30" t="s">
        <v>1614</v>
      </c>
      <c r="I110" s="30" t="s">
        <v>1613</v>
      </c>
      <c r="J110" s="36">
        <v>9848600</v>
      </c>
      <c r="K110" s="35">
        <f t="shared" si="6"/>
        <v>147729</v>
      </c>
      <c r="L110" s="35">
        <f t="shared" si="7"/>
        <v>1915.0055555555559</v>
      </c>
      <c r="M110" s="35">
        <f t="shared" si="8"/>
        <v>49243</v>
      </c>
      <c r="N110" s="34">
        <v>4.2514619883040929E-2</v>
      </c>
      <c r="O110" s="33">
        <f t="shared" si="9"/>
        <v>418709.48538011691</v>
      </c>
    </row>
    <row r="111" spans="1:15" x14ac:dyDescent="0.25">
      <c r="A111" s="30" t="s">
        <v>728</v>
      </c>
      <c r="B111" s="30">
        <v>30019</v>
      </c>
      <c r="C111" s="32">
        <v>45579</v>
      </c>
      <c r="D111" s="32">
        <v>45750</v>
      </c>
      <c r="E111" s="37">
        <f t="shared" si="5"/>
        <v>171</v>
      </c>
      <c r="F111" s="30" t="s">
        <v>1615</v>
      </c>
      <c r="G111" s="37">
        <v>31</v>
      </c>
      <c r="H111" s="30" t="s">
        <v>1614</v>
      </c>
      <c r="I111" s="30" t="s">
        <v>1613</v>
      </c>
      <c r="J111" s="36">
        <v>10085218</v>
      </c>
      <c r="K111" s="35">
        <f t="shared" si="6"/>
        <v>151278.26999999999</v>
      </c>
      <c r="L111" s="35">
        <f t="shared" si="7"/>
        <v>1961.0146111111112</v>
      </c>
      <c r="M111" s="35">
        <f t="shared" si="8"/>
        <v>50426.090000000004</v>
      </c>
      <c r="N111" s="34">
        <v>4.2514619883040929E-2</v>
      </c>
      <c r="O111" s="33">
        <f t="shared" si="9"/>
        <v>428769.20970760228</v>
      </c>
    </row>
    <row r="112" spans="1:15" x14ac:dyDescent="0.25">
      <c r="A112" s="30" t="s">
        <v>728</v>
      </c>
      <c r="B112" s="30">
        <v>30019</v>
      </c>
      <c r="C112" s="32">
        <v>45579</v>
      </c>
      <c r="D112" s="32">
        <v>45750</v>
      </c>
      <c r="E112" s="37">
        <f t="shared" si="5"/>
        <v>171</v>
      </c>
      <c r="F112" s="30" t="s">
        <v>1615</v>
      </c>
      <c r="G112" s="37">
        <v>31</v>
      </c>
      <c r="H112" s="30" t="s">
        <v>1614</v>
      </c>
      <c r="I112" s="30" t="s">
        <v>1613</v>
      </c>
      <c r="J112" s="36">
        <v>10355947</v>
      </c>
      <c r="K112" s="35">
        <f t="shared" si="6"/>
        <v>155339.20499999999</v>
      </c>
      <c r="L112" s="35">
        <f t="shared" si="7"/>
        <v>2013.6563611111112</v>
      </c>
      <c r="M112" s="35">
        <f t="shared" si="8"/>
        <v>51779.735000000001</v>
      </c>
      <c r="N112" s="34">
        <v>4.2514619883040929E-2</v>
      </c>
      <c r="O112" s="33">
        <f t="shared" si="9"/>
        <v>440279.15023391804</v>
      </c>
    </row>
    <row r="113" spans="1:15" x14ac:dyDescent="0.25">
      <c r="A113" s="30" t="s">
        <v>728</v>
      </c>
      <c r="B113" s="30">
        <v>30019</v>
      </c>
      <c r="C113" s="32">
        <v>45579</v>
      </c>
      <c r="D113" s="32">
        <v>45750</v>
      </c>
      <c r="E113" s="37">
        <f t="shared" si="5"/>
        <v>171</v>
      </c>
      <c r="F113" s="30" t="s">
        <v>1615</v>
      </c>
      <c r="G113" s="37">
        <v>31</v>
      </c>
      <c r="H113" s="30" t="s">
        <v>1614</v>
      </c>
      <c r="I113" s="30" t="s">
        <v>1613</v>
      </c>
      <c r="J113" s="36">
        <v>10457566</v>
      </c>
      <c r="K113" s="35">
        <f t="shared" si="6"/>
        <v>156863.49</v>
      </c>
      <c r="L113" s="35">
        <f t="shared" si="7"/>
        <v>2033.4156111111115</v>
      </c>
      <c r="M113" s="35">
        <f t="shared" si="8"/>
        <v>52287.83</v>
      </c>
      <c r="N113" s="34">
        <v>4.2514619883040929E-2</v>
      </c>
      <c r="O113" s="33">
        <f t="shared" si="9"/>
        <v>444599.44339181279</v>
      </c>
    </row>
    <row r="114" spans="1:15" x14ac:dyDescent="0.25">
      <c r="A114" s="30" t="s">
        <v>728</v>
      </c>
      <c r="B114" s="30">
        <v>30019</v>
      </c>
      <c r="C114" s="32">
        <v>45579</v>
      </c>
      <c r="D114" s="32">
        <v>45750</v>
      </c>
      <c r="E114" s="37">
        <f t="shared" si="5"/>
        <v>171</v>
      </c>
      <c r="F114" s="30" t="s">
        <v>1615</v>
      </c>
      <c r="G114" s="37">
        <v>31</v>
      </c>
      <c r="H114" s="30" t="s">
        <v>1614</v>
      </c>
      <c r="I114" s="30" t="s">
        <v>1613</v>
      </c>
      <c r="J114" s="36">
        <v>10483286</v>
      </c>
      <c r="K114" s="35">
        <f t="shared" si="6"/>
        <v>157249.29</v>
      </c>
      <c r="L114" s="35">
        <f t="shared" si="7"/>
        <v>2038.4167222222222</v>
      </c>
      <c r="M114" s="35">
        <f t="shared" si="8"/>
        <v>52416.43</v>
      </c>
      <c r="N114" s="34">
        <v>4.2514619883040936E-2</v>
      </c>
      <c r="O114" s="33">
        <f t="shared" si="9"/>
        <v>445692.91941520467</v>
      </c>
    </row>
    <row r="115" spans="1:15" x14ac:dyDescent="0.25">
      <c r="A115" s="30" t="s">
        <v>728</v>
      </c>
      <c r="B115" s="30">
        <v>30019</v>
      </c>
      <c r="C115" s="32">
        <v>45579</v>
      </c>
      <c r="D115" s="32">
        <v>45750</v>
      </c>
      <c r="E115" s="37">
        <f t="shared" si="5"/>
        <v>171</v>
      </c>
      <c r="F115" s="30" t="s">
        <v>1615</v>
      </c>
      <c r="G115" s="37">
        <v>31</v>
      </c>
      <c r="H115" s="30" t="s">
        <v>1614</v>
      </c>
      <c r="I115" s="30" t="s">
        <v>1613</v>
      </c>
      <c r="J115" s="36">
        <v>10975005</v>
      </c>
      <c r="K115" s="35">
        <f t="shared" si="6"/>
        <v>164625.07499999998</v>
      </c>
      <c r="L115" s="35">
        <f t="shared" si="7"/>
        <v>2134.0287500000004</v>
      </c>
      <c r="M115" s="35">
        <f t="shared" si="8"/>
        <v>54875.025000000001</v>
      </c>
      <c r="N115" s="34">
        <v>4.2514619883040929E-2</v>
      </c>
      <c r="O115" s="33">
        <f t="shared" si="9"/>
        <v>466598.16578947363</v>
      </c>
    </row>
    <row r="116" spans="1:15" x14ac:dyDescent="0.25">
      <c r="A116" s="30" t="s">
        <v>728</v>
      </c>
      <c r="B116" s="30">
        <v>30019</v>
      </c>
      <c r="C116" s="32">
        <v>45579</v>
      </c>
      <c r="D116" s="32">
        <v>45750</v>
      </c>
      <c r="E116" s="37">
        <f t="shared" si="5"/>
        <v>171</v>
      </c>
      <c r="F116" s="30" t="s">
        <v>1615</v>
      </c>
      <c r="G116" s="37">
        <v>31</v>
      </c>
      <c r="H116" s="30" t="s">
        <v>1614</v>
      </c>
      <c r="I116" s="30" t="s">
        <v>1613</v>
      </c>
      <c r="J116" s="36">
        <v>12114098</v>
      </c>
      <c r="K116" s="35">
        <f t="shared" si="6"/>
        <v>181711.47</v>
      </c>
      <c r="L116" s="35">
        <f t="shared" si="7"/>
        <v>2355.519055555556</v>
      </c>
      <c r="M116" s="35">
        <f t="shared" si="8"/>
        <v>60570.49</v>
      </c>
      <c r="N116" s="34">
        <v>4.2514619883040929E-2</v>
      </c>
      <c r="O116" s="33">
        <f t="shared" si="9"/>
        <v>515026.27169590635</v>
      </c>
    </row>
    <row r="117" spans="1:15" x14ac:dyDescent="0.25">
      <c r="A117" s="30" t="s">
        <v>728</v>
      </c>
      <c r="B117" s="30">
        <v>30019</v>
      </c>
      <c r="C117" s="32">
        <v>45579</v>
      </c>
      <c r="D117" s="32">
        <v>45750</v>
      </c>
      <c r="E117" s="37">
        <f t="shared" si="5"/>
        <v>171</v>
      </c>
      <c r="F117" s="30" t="s">
        <v>1615</v>
      </c>
      <c r="G117" s="37">
        <v>31</v>
      </c>
      <c r="H117" s="30" t="s">
        <v>1614</v>
      </c>
      <c r="I117" s="30" t="s">
        <v>1613</v>
      </c>
      <c r="J117" s="36">
        <v>12492688</v>
      </c>
      <c r="K117" s="35">
        <f t="shared" si="6"/>
        <v>187390.32</v>
      </c>
      <c r="L117" s="35">
        <f t="shared" si="7"/>
        <v>2429.1337777777781</v>
      </c>
      <c r="M117" s="35">
        <f t="shared" si="8"/>
        <v>62463.44</v>
      </c>
      <c r="N117" s="34">
        <v>4.2514619883040936E-2</v>
      </c>
      <c r="O117" s="33">
        <f t="shared" si="9"/>
        <v>531121.88163742691</v>
      </c>
    </row>
    <row r="118" spans="1:15" x14ac:dyDescent="0.25">
      <c r="A118" s="30" t="s">
        <v>728</v>
      </c>
      <c r="B118" s="30">
        <v>30019</v>
      </c>
      <c r="C118" s="32">
        <v>45579</v>
      </c>
      <c r="D118" s="32">
        <v>45750</v>
      </c>
      <c r="E118" s="37">
        <f t="shared" si="5"/>
        <v>171</v>
      </c>
      <c r="F118" s="30" t="s">
        <v>1615</v>
      </c>
      <c r="G118" s="37">
        <v>31</v>
      </c>
      <c r="H118" s="30" t="s">
        <v>1614</v>
      </c>
      <c r="I118" s="30" t="s">
        <v>1613</v>
      </c>
      <c r="J118" s="36">
        <v>13350199</v>
      </c>
      <c r="K118" s="35">
        <f t="shared" si="6"/>
        <v>200252.98499999999</v>
      </c>
      <c r="L118" s="35">
        <f t="shared" si="7"/>
        <v>2595.8720277777779</v>
      </c>
      <c r="M118" s="35">
        <f t="shared" si="8"/>
        <v>66750.994999999995</v>
      </c>
      <c r="N118" s="34">
        <v>4.2514619883040929E-2</v>
      </c>
      <c r="O118" s="33">
        <f t="shared" si="9"/>
        <v>567578.63584795315</v>
      </c>
    </row>
    <row r="119" spans="1:15" x14ac:dyDescent="0.25">
      <c r="A119" s="30" t="s">
        <v>728</v>
      </c>
      <c r="B119" s="30">
        <v>30019</v>
      </c>
      <c r="C119" s="32">
        <v>45579</v>
      </c>
      <c r="D119" s="32">
        <v>45750</v>
      </c>
      <c r="E119" s="37">
        <f t="shared" si="5"/>
        <v>171</v>
      </c>
      <c r="F119" s="30" t="s">
        <v>1615</v>
      </c>
      <c r="G119" s="37">
        <v>31</v>
      </c>
      <c r="H119" s="30" t="s">
        <v>1614</v>
      </c>
      <c r="I119" s="30" t="s">
        <v>1613</v>
      </c>
      <c r="J119" s="36">
        <v>13854136</v>
      </c>
      <c r="K119" s="35">
        <f t="shared" si="6"/>
        <v>207812.03999999998</v>
      </c>
      <c r="L119" s="35">
        <f t="shared" si="7"/>
        <v>2693.8597777777782</v>
      </c>
      <c r="M119" s="35">
        <f t="shared" si="8"/>
        <v>69270.680000000008</v>
      </c>
      <c r="N119" s="34">
        <v>4.2514619883040936E-2</v>
      </c>
      <c r="O119" s="33">
        <f t="shared" si="9"/>
        <v>589003.32584795321</v>
      </c>
    </row>
    <row r="120" spans="1:15" x14ac:dyDescent="0.25">
      <c r="A120" s="30" t="s">
        <v>728</v>
      </c>
      <c r="B120" s="30">
        <v>30019</v>
      </c>
      <c r="C120" s="32">
        <v>45579</v>
      </c>
      <c r="D120" s="32">
        <v>45750</v>
      </c>
      <c r="E120" s="37">
        <f t="shared" si="5"/>
        <v>171</v>
      </c>
      <c r="F120" s="30" t="s">
        <v>1615</v>
      </c>
      <c r="G120" s="37">
        <v>31</v>
      </c>
      <c r="H120" s="30" t="s">
        <v>1614</v>
      </c>
      <c r="I120" s="30" t="s">
        <v>1613</v>
      </c>
      <c r="J120" s="36">
        <v>15571384</v>
      </c>
      <c r="K120" s="35">
        <f t="shared" si="6"/>
        <v>233570.75999999998</v>
      </c>
      <c r="L120" s="35">
        <f t="shared" si="7"/>
        <v>3027.7691111111117</v>
      </c>
      <c r="M120" s="35">
        <f t="shared" si="8"/>
        <v>77856.92</v>
      </c>
      <c r="N120" s="34">
        <v>4.2514619883040936E-2</v>
      </c>
      <c r="O120" s="33">
        <f t="shared" si="9"/>
        <v>662011.47181286546</v>
      </c>
    </row>
    <row r="121" spans="1:15" x14ac:dyDescent="0.25">
      <c r="A121" s="30" t="s">
        <v>728</v>
      </c>
      <c r="B121" s="30">
        <v>30019</v>
      </c>
      <c r="C121" s="32">
        <v>45579</v>
      </c>
      <c r="D121" s="32">
        <v>45750</v>
      </c>
      <c r="E121" s="37">
        <f t="shared" si="5"/>
        <v>171</v>
      </c>
      <c r="F121" s="30" t="s">
        <v>1615</v>
      </c>
      <c r="G121" s="37">
        <v>31</v>
      </c>
      <c r="H121" s="30" t="s">
        <v>1614</v>
      </c>
      <c r="I121" s="30" t="s">
        <v>1613</v>
      </c>
      <c r="J121" s="36">
        <v>18815353</v>
      </c>
      <c r="K121" s="35">
        <f t="shared" si="6"/>
        <v>282230.29499999998</v>
      </c>
      <c r="L121" s="35">
        <f t="shared" si="7"/>
        <v>3658.5408611111116</v>
      </c>
      <c r="M121" s="35">
        <f t="shared" si="8"/>
        <v>94076.764999999999</v>
      </c>
      <c r="N121" s="34">
        <v>4.2514619883040936E-2</v>
      </c>
      <c r="O121" s="33">
        <f t="shared" si="9"/>
        <v>799927.58076023392</v>
      </c>
    </row>
    <row r="122" spans="1:15" x14ac:dyDescent="0.25">
      <c r="A122" s="30" t="s">
        <v>728</v>
      </c>
      <c r="B122" s="30">
        <v>30019</v>
      </c>
      <c r="C122" s="32">
        <v>45579</v>
      </c>
      <c r="D122" s="32">
        <v>45750</v>
      </c>
      <c r="E122" s="37">
        <f t="shared" si="5"/>
        <v>171</v>
      </c>
      <c r="F122" s="30" t="s">
        <v>1615</v>
      </c>
      <c r="G122" s="37">
        <v>31</v>
      </c>
      <c r="H122" s="30" t="s">
        <v>1614</v>
      </c>
      <c r="I122" s="30" t="s">
        <v>1613</v>
      </c>
      <c r="J122" s="36">
        <v>31297622</v>
      </c>
      <c r="K122" s="35">
        <f t="shared" si="6"/>
        <v>469464.32999999996</v>
      </c>
      <c r="L122" s="35">
        <f t="shared" si="7"/>
        <v>6085.6487222222222</v>
      </c>
      <c r="M122" s="35">
        <f t="shared" si="8"/>
        <v>156488.11000000002</v>
      </c>
      <c r="N122" s="34">
        <v>4.2514619883040936E-2</v>
      </c>
      <c r="O122" s="33">
        <f t="shared" si="9"/>
        <v>1330606.5025730995</v>
      </c>
    </row>
    <row r="123" spans="1:15" x14ac:dyDescent="0.25">
      <c r="A123" s="30" t="s">
        <v>728</v>
      </c>
      <c r="B123" s="30">
        <v>30019</v>
      </c>
      <c r="C123" s="32">
        <v>45580</v>
      </c>
      <c r="D123" s="32">
        <v>45767</v>
      </c>
      <c r="E123" s="37">
        <f t="shared" si="5"/>
        <v>187</v>
      </c>
      <c r="F123" s="30" t="s">
        <v>1615</v>
      </c>
      <c r="G123" s="37">
        <v>31</v>
      </c>
      <c r="H123" s="30" t="s">
        <v>1614</v>
      </c>
      <c r="I123" s="30" t="s">
        <v>1613</v>
      </c>
      <c r="J123" s="36">
        <v>129600</v>
      </c>
      <c r="K123" s="35">
        <f t="shared" si="6"/>
        <v>1944</v>
      </c>
      <c r="L123" s="35">
        <f t="shared" si="7"/>
        <v>25.2</v>
      </c>
      <c r="M123" s="35">
        <f t="shared" si="8"/>
        <v>648</v>
      </c>
      <c r="N123" s="34">
        <v>3.8877005347593578E-2</v>
      </c>
      <c r="O123" s="33">
        <f t="shared" si="9"/>
        <v>5038.4598930481279</v>
      </c>
    </row>
    <row r="124" spans="1:15" x14ac:dyDescent="0.25">
      <c r="A124" s="30" t="s">
        <v>728</v>
      </c>
      <c r="B124" s="30">
        <v>30019</v>
      </c>
      <c r="C124" s="32">
        <v>45581</v>
      </c>
      <c r="D124" s="32">
        <v>45720</v>
      </c>
      <c r="E124" s="37">
        <f t="shared" si="5"/>
        <v>139</v>
      </c>
      <c r="F124" s="30" t="s">
        <v>1615</v>
      </c>
      <c r="G124" s="37">
        <v>31</v>
      </c>
      <c r="H124" s="30" t="s">
        <v>1614</v>
      </c>
      <c r="I124" s="30" t="s">
        <v>1613</v>
      </c>
      <c r="J124" s="36">
        <v>745200</v>
      </c>
      <c r="K124" s="35">
        <f t="shared" si="6"/>
        <v>11178</v>
      </c>
      <c r="L124" s="35">
        <f t="shared" si="7"/>
        <v>144.90000000000003</v>
      </c>
      <c r="M124" s="35">
        <f t="shared" si="8"/>
        <v>3726</v>
      </c>
      <c r="N124" s="34">
        <v>5.2302158273381298E-2</v>
      </c>
      <c r="O124" s="33">
        <f t="shared" si="9"/>
        <v>38975.568345323743</v>
      </c>
    </row>
    <row r="125" spans="1:15" x14ac:dyDescent="0.25">
      <c r="A125" s="30" t="s">
        <v>728</v>
      </c>
      <c r="B125" s="30">
        <v>30019</v>
      </c>
      <c r="C125" s="32">
        <v>45581</v>
      </c>
      <c r="D125" s="32">
        <v>45720</v>
      </c>
      <c r="E125" s="37">
        <f t="shared" si="5"/>
        <v>139</v>
      </c>
      <c r="F125" s="30" t="s">
        <v>1615</v>
      </c>
      <c r="G125" s="37">
        <v>31</v>
      </c>
      <c r="H125" s="30" t="s">
        <v>1614</v>
      </c>
      <c r="I125" s="30" t="s">
        <v>1613</v>
      </c>
      <c r="J125" s="36">
        <v>844020</v>
      </c>
      <c r="K125" s="35">
        <f t="shared" si="6"/>
        <v>12660.3</v>
      </c>
      <c r="L125" s="35">
        <f t="shared" si="7"/>
        <v>164.11500000000004</v>
      </c>
      <c r="M125" s="35">
        <f t="shared" si="8"/>
        <v>4220.1000000000004</v>
      </c>
      <c r="N125" s="34">
        <v>5.2302158273381298E-2</v>
      </c>
      <c r="O125" s="33">
        <f t="shared" si="9"/>
        <v>44144.067625899283</v>
      </c>
    </row>
    <row r="126" spans="1:15" x14ac:dyDescent="0.25">
      <c r="A126" s="30" t="s">
        <v>728</v>
      </c>
      <c r="B126" s="30">
        <v>30019</v>
      </c>
      <c r="C126" s="32">
        <v>45581</v>
      </c>
      <c r="D126" s="32">
        <v>45750</v>
      </c>
      <c r="E126" s="37">
        <f t="shared" si="5"/>
        <v>169</v>
      </c>
      <c r="F126" s="30" t="s">
        <v>1615</v>
      </c>
      <c r="G126" s="37">
        <v>31</v>
      </c>
      <c r="H126" s="30" t="s">
        <v>1614</v>
      </c>
      <c r="I126" s="30" t="s">
        <v>1613</v>
      </c>
      <c r="J126" s="36">
        <v>27810</v>
      </c>
      <c r="K126" s="35">
        <f t="shared" si="6"/>
        <v>417.15</v>
      </c>
      <c r="L126" s="35">
        <f t="shared" si="7"/>
        <v>5.4075000000000006</v>
      </c>
      <c r="M126" s="35">
        <f t="shared" si="8"/>
        <v>139.05000000000001</v>
      </c>
      <c r="N126" s="34">
        <v>4.3017751479289941E-2</v>
      </c>
      <c r="O126" s="33">
        <f t="shared" si="9"/>
        <v>1196.3236686390533</v>
      </c>
    </row>
    <row r="127" spans="1:15" x14ac:dyDescent="0.25">
      <c r="A127" s="30" t="s">
        <v>728</v>
      </c>
      <c r="B127" s="30">
        <v>30019</v>
      </c>
      <c r="C127" s="32">
        <v>45581</v>
      </c>
      <c r="D127" s="32">
        <v>45750</v>
      </c>
      <c r="E127" s="37">
        <f t="shared" si="5"/>
        <v>169</v>
      </c>
      <c r="F127" s="30" t="s">
        <v>1615</v>
      </c>
      <c r="G127" s="37">
        <v>31</v>
      </c>
      <c r="H127" s="30" t="s">
        <v>1614</v>
      </c>
      <c r="I127" s="30" t="s">
        <v>1613</v>
      </c>
      <c r="J127" s="36">
        <v>32400</v>
      </c>
      <c r="K127" s="35">
        <f t="shared" si="6"/>
        <v>486</v>
      </c>
      <c r="L127" s="35">
        <f t="shared" si="7"/>
        <v>6.3</v>
      </c>
      <c r="M127" s="35">
        <f t="shared" si="8"/>
        <v>162</v>
      </c>
      <c r="N127" s="34">
        <v>4.3017751479289934E-2</v>
      </c>
      <c r="O127" s="33">
        <f t="shared" si="9"/>
        <v>1393.7751479289939</v>
      </c>
    </row>
    <row r="128" spans="1:15" x14ac:dyDescent="0.25">
      <c r="A128" s="30" t="s">
        <v>728</v>
      </c>
      <c r="B128" s="30">
        <v>30019</v>
      </c>
      <c r="C128" s="32">
        <v>45581</v>
      </c>
      <c r="D128" s="32">
        <v>45750</v>
      </c>
      <c r="E128" s="37">
        <f t="shared" si="5"/>
        <v>169</v>
      </c>
      <c r="F128" s="30" t="s">
        <v>1615</v>
      </c>
      <c r="G128" s="37">
        <v>31</v>
      </c>
      <c r="H128" s="30" t="s">
        <v>1614</v>
      </c>
      <c r="I128" s="30" t="s">
        <v>1613</v>
      </c>
      <c r="J128" s="36">
        <v>41875</v>
      </c>
      <c r="K128" s="35">
        <f t="shared" si="6"/>
        <v>628.125</v>
      </c>
      <c r="L128" s="35">
        <f t="shared" si="7"/>
        <v>8.1423611111111125</v>
      </c>
      <c r="M128" s="35">
        <f t="shared" si="8"/>
        <v>209.375</v>
      </c>
      <c r="N128" s="34">
        <v>4.3017751479289941E-2</v>
      </c>
      <c r="O128" s="33">
        <f t="shared" si="9"/>
        <v>1801.3683431952663</v>
      </c>
    </row>
    <row r="129" spans="1:15" x14ac:dyDescent="0.25">
      <c r="A129" s="30" t="s">
        <v>728</v>
      </c>
      <c r="B129" s="30">
        <v>30019</v>
      </c>
      <c r="C129" s="32">
        <v>45581</v>
      </c>
      <c r="D129" s="32">
        <v>45750</v>
      </c>
      <c r="E129" s="37">
        <f t="shared" si="5"/>
        <v>169</v>
      </c>
      <c r="F129" s="30" t="s">
        <v>1615</v>
      </c>
      <c r="G129" s="37">
        <v>31</v>
      </c>
      <c r="H129" s="30" t="s">
        <v>1614</v>
      </c>
      <c r="I129" s="30" t="s">
        <v>1613</v>
      </c>
      <c r="J129" s="36">
        <v>64800</v>
      </c>
      <c r="K129" s="35">
        <f t="shared" si="6"/>
        <v>972</v>
      </c>
      <c r="L129" s="35">
        <f t="shared" si="7"/>
        <v>12.6</v>
      </c>
      <c r="M129" s="35">
        <f t="shared" si="8"/>
        <v>324</v>
      </c>
      <c r="N129" s="34">
        <v>4.3017751479289934E-2</v>
      </c>
      <c r="O129" s="33">
        <f t="shared" si="9"/>
        <v>2787.5502958579877</v>
      </c>
    </row>
    <row r="130" spans="1:15" x14ac:dyDescent="0.25">
      <c r="A130" s="30" t="s">
        <v>728</v>
      </c>
      <c r="B130" s="30">
        <v>30019</v>
      </c>
      <c r="C130" s="32">
        <v>45581</v>
      </c>
      <c r="D130" s="32">
        <v>45750</v>
      </c>
      <c r="E130" s="37">
        <f t="shared" ref="E130:E193" si="10">DATEDIF(C130,D130,"yd")</f>
        <v>169</v>
      </c>
      <c r="F130" s="30" t="s">
        <v>1615</v>
      </c>
      <c r="G130" s="37">
        <v>31</v>
      </c>
      <c r="H130" s="30" t="s">
        <v>1614</v>
      </c>
      <c r="I130" s="30" t="s">
        <v>1613</v>
      </c>
      <c r="J130" s="36">
        <v>66015</v>
      </c>
      <c r="K130" s="35">
        <f t="shared" ref="K130:K193" si="11">J130*1.5%</f>
        <v>990.22499999999991</v>
      </c>
      <c r="L130" s="35">
        <f t="shared" ref="L130:L193" si="12">(J130*7%)/360</f>
        <v>12.83625</v>
      </c>
      <c r="M130" s="35">
        <f t="shared" ref="M130:M193" si="13">J130*0.5%</f>
        <v>330.07499999999999</v>
      </c>
      <c r="N130" s="34">
        <v>4.3017751479289934E-2</v>
      </c>
      <c r="O130" s="33">
        <f t="shared" ref="O130:O193" si="14">N130*J130</f>
        <v>2839.8168639053251</v>
      </c>
    </row>
    <row r="131" spans="1:15" x14ac:dyDescent="0.25">
      <c r="A131" s="30" t="s">
        <v>728</v>
      </c>
      <c r="B131" s="30">
        <v>30019</v>
      </c>
      <c r="C131" s="32">
        <v>45581</v>
      </c>
      <c r="D131" s="32">
        <v>45750</v>
      </c>
      <c r="E131" s="37">
        <f t="shared" si="10"/>
        <v>169</v>
      </c>
      <c r="F131" s="30" t="s">
        <v>1615</v>
      </c>
      <c r="G131" s="37">
        <v>31</v>
      </c>
      <c r="H131" s="30" t="s">
        <v>1614</v>
      </c>
      <c r="I131" s="30" t="s">
        <v>1613</v>
      </c>
      <c r="J131" s="36">
        <v>68040</v>
      </c>
      <c r="K131" s="35">
        <f t="shared" si="11"/>
        <v>1020.5999999999999</v>
      </c>
      <c r="L131" s="35">
        <f t="shared" si="12"/>
        <v>13.23</v>
      </c>
      <c r="M131" s="35">
        <f t="shared" si="13"/>
        <v>340.2</v>
      </c>
      <c r="N131" s="34">
        <v>4.3017751479289941E-2</v>
      </c>
      <c r="O131" s="33">
        <f t="shared" si="14"/>
        <v>2926.9278106508877</v>
      </c>
    </row>
    <row r="132" spans="1:15" x14ac:dyDescent="0.25">
      <c r="A132" s="30" t="s">
        <v>728</v>
      </c>
      <c r="B132" s="30">
        <v>30019</v>
      </c>
      <c r="C132" s="32">
        <v>45581</v>
      </c>
      <c r="D132" s="32">
        <v>45750</v>
      </c>
      <c r="E132" s="37">
        <f t="shared" si="10"/>
        <v>169</v>
      </c>
      <c r="F132" s="30" t="s">
        <v>1615</v>
      </c>
      <c r="G132" s="37">
        <v>31</v>
      </c>
      <c r="H132" s="30" t="s">
        <v>1614</v>
      </c>
      <c r="I132" s="30" t="s">
        <v>1613</v>
      </c>
      <c r="J132" s="36">
        <v>129600</v>
      </c>
      <c r="K132" s="35">
        <f t="shared" si="11"/>
        <v>1944</v>
      </c>
      <c r="L132" s="35">
        <f t="shared" si="12"/>
        <v>25.2</v>
      </c>
      <c r="M132" s="35">
        <f t="shared" si="13"/>
        <v>648</v>
      </c>
      <c r="N132" s="34">
        <v>4.3017751479289934E-2</v>
      </c>
      <c r="O132" s="33">
        <f t="shared" si="14"/>
        <v>5575.1005917159755</v>
      </c>
    </row>
    <row r="133" spans="1:15" x14ac:dyDescent="0.25">
      <c r="A133" s="30" t="s">
        <v>728</v>
      </c>
      <c r="B133" s="30">
        <v>30019</v>
      </c>
      <c r="C133" s="32">
        <v>45581</v>
      </c>
      <c r="D133" s="32">
        <v>45750</v>
      </c>
      <c r="E133" s="37">
        <f t="shared" si="10"/>
        <v>169</v>
      </c>
      <c r="F133" s="30" t="s">
        <v>1615</v>
      </c>
      <c r="G133" s="37">
        <v>31</v>
      </c>
      <c r="H133" s="30" t="s">
        <v>1614</v>
      </c>
      <c r="I133" s="30" t="s">
        <v>1613</v>
      </c>
      <c r="J133" s="36">
        <v>140335</v>
      </c>
      <c r="K133" s="35">
        <f t="shared" si="11"/>
        <v>2105.0250000000001</v>
      </c>
      <c r="L133" s="35">
        <f t="shared" si="12"/>
        <v>27.287361111111114</v>
      </c>
      <c r="M133" s="35">
        <f t="shared" si="13"/>
        <v>701.67500000000007</v>
      </c>
      <c r="N133" s="34">
        <v>4.3017751479289948E-2</v>
      </c>
      <c r="O133" s="33">
        <f t="shared" si="14"/>
        <v>6036.8961538461544</v>
      </c>
    </row>
    <row r="134" spans="1:15" x14ac:dyDescent="0.25">
      <c r="A134" s="30" t="s">
        <v>728</v>
      </c>
      <c r="B134" s="30">
        <v>30019</v>
      </c>
      <c r="C134" s="32">
        <v>45581</v>
      </c>
      <c r="D134" s="32">
        <v>45750</v>
      </c>
      <c r="E134" s="37">
        <f t="shared" si="10"/>
        <v>169</v>
      </c>
      <c r="F134" s="30" t="s">
        <v>1615</v>
      </c>
      <c r="G134" s="37">
        <v>31</v>
      </c>
      <c r="H134" s="30" t="s">
        <v>1614</v>
      </c>
      <c r="I134" s="30" t="s">
        <v>1613</v>
      </c>
      <c r="J134" s="36">
        <v>179970</v>
      </c>
      <c r="K134" s="35">
        <f t="shared" si="11"/>
        <v>2699.5499999999997</v>
      </c>
      <c r="L134" s="35">
        <f t="shared" si="12"/>
        <v>34.994166666666672</v>
      </c>
      <c r="M134" s="35">
        <f t="shared" si="13"/>
        <v>899.85</v>
      </c>
      <c r="N134" s="34">
        <v>4.3017751479289934E-2</v>
      </c>
      <c r="O134" s="33">
        <f t="shared" si="14"/>
        <v>7741.9047337278098</v>
      </c>
    </row>
    <row r="135" spans="1:15" x14ac:dyDescent="0.25">
      <c r="A135" s="30" t="s">
        <v>728</v>
      </c>
      <c r="B135" s="30">
        <v>30019</v>
      </c>
      <c r="C135" s="32">
        <v>45581</v>
      </c>
      <c r="D135" s="32">
        <v>45750</v>
      </c>
      <c r="E135" s="37">
        <f t="shared" si="10"/>
        <v>169</v>
      </c>
      <c r="F135" s="30" t="s">
        <v>1615</v>
      </c>
      <c r="G135" s="37">
        <v>31</v>
      </c>
      <c r="H135" s="30" t="s">
        <v>1614</v>
      </c>
      <c r="I135" s="30" t="s">
        <v>1613</v>
      </c>
      <c r="J135" s="36">
        <v>184275</v>
      </c>
      <c r="K135" s="35">
        <f t="shared" si="11"/>
        <v>2764.125</v>
      </c>
      <c r="L135" s="35">
        <f t="shared" si="12"/>
        <v>35.831250000000004</v>
      </c>
      <c r="M135" s="35">
        <f t="shared" si="13"/>
        <v>921.375</v>
      </c>
      <c r="N135" s="34">
        <v>4.3017751479289941E-2</v>
      </c>
      <c r="O135" s="33">
        <f t="shared" si="14"/>
        <v>7927.0961538461543</v>
      </c>
    </row>
    <row r="136" spans="1:15" x14ac:dyDescent="0.25">
      <c r="A136" s="30" t="s">
        <v>728</v>
      </c>
      <c r="B136" s="30">
        <v>30019</v>
      </c>
      <c r="C136" s="32">
        <v>45581</v>
      </c>
      <c r="D136" s="32">
        <v>45750</v>
      </c>
      <c r="E136" s="37">
        <f t="shared" si="10"/>
        <v>169</v>
      </c>
      <c r="F136" s="30" t="s">
        <v>1615</v>
      </c>
      <c r="G136" s="37">
        <v>31</v>
      </c>
      <c r="H136" s="30" t="s">
        <v>1614</v>
      </c>
      <c r="I136" s="30" t="s">
        <v>1613</v>
      </c>
      <c r="J136" s="36">
        <v>194400</v>
      </c>
      <c r="K136" s="35">
        <f t="shared" si="11"/>
        <v>2916</v>
      </c>
      <c r="L136" s="35">
        <f t="shared" si="12"/>
        <v>37.800000000000004</v>
      </c>
      <c r="M136" s="35">
        <f t="shared" si="13"/>
        <v>972</v>
      </c>
      <c r="N136" s="34">
        <v>4.3017751479289941E-2</v>
      </c>
      <c r="O136" s="33">
        <f t="shared" si="14"/>
        <v>8362.6508875739637</v>
      </c>
    </row>
    <row r="137" spans="1:15" x14ac:dyDescent="0.25">
      <c r="A137" s="30" t="s">
        <v>728</v>
      </c>
      <c r="B137" s="30">
        <v>30019</v>
      </c>
      <c r="C137" s="32">
        <v>45581</v>
      </c>
      <c r="D137" s="32">
        <v>45750</v>
      </c>
      <c r="E137" s="37">
        <f t="shared" si="10"/>
        <v>169</v>
      </c>
      <c r="F137" s="30" t="s">
        <v>1615</v>
      </c>
      <c r="G137" s="37">
        <v>31</v>
      </c>
      <c r="H137" s="30" t="s">
        <v>1614</v>
      </c>
      <c r="I137" s="30" t="s">
        <v>1613</v>
      </c>
      <c r="J137" s="36">
        <v>226800</v>
      </c>
      <c r="K137" s="35">
        <f t="shared" si="11"/>
        <v>3402</v>
      </c>
      <c r="L137" s="35">
        <f t="shared" si="12"/>
        <v>44.100000000000009</v>
      </c>
      <c r="M137" s="35">
        <f t="shared" si="13"/>
        <v>1134</v>
      </c>
      <c r="N137" s="34">
        <v>4.3017751479289941E-2</v>
      </c>
      <c r="O137" s="33">
        <f t="shared" si="14"/>
        <v>9756.4260355029583</v>
      </c>
    </row>
    <row r="138" spans="1:15" x14ac:dyDescent="0.25">
      <c r="A138" s="30" t="s">
        <v>728</v>
      </c>
      <c r="B138" s="30">
        <v>30019</v>
      </c>
      <c r="C138" s="32">
        <v>45581</v>
      </c>
      <c r="D138" s="32">
        <v>45750</v>
      </c>
      <c r="E138" s="37">
        <f t="shared" si="10"/>
        <v>169</v>
      </c>
      <c r="F138" s="30" t="s">
        <v>1615</v>
      </c>
      <c r="G138" s="37">
        <v>31</v>
      </c>
      <c r="H138" s="30" t="s">
        <v>1614</v>
      </c>
      <c r="I138" s="30" t="s">
        <v>1613</v>
      </c>
      <c r="J138" s="36">
        <v>342061</v>
      </c>
      <c r="K138" s="35">
        <f t="shared" si="11"/>
        <v>5130.915</v>
      </c>
      <c r="L138" s="35">
        <f t="shared" si="12"/>
        <v>66.511861111111116</v>
      </c>
      <c r="M138" s="35">
        <f t="shared" si="13"/>
        <v>1710.3050000000001</v>
      </c>
      <c r="N138" s="34">
        <v>4.3017751479289941E-2</v>
      </c>
      <c r="O138" s="33">
        <f t="shared" si="14"/>
        <v>14714.695088757397</v>
      </c>
    </row>
    <row r="139" spans="1:15" x14ac:dyDescent="0.25">
      <c r="A139" s="30" t="s">
        <v>728</v>
      </c>
      <c r="B139" s="30">
        <v>30019</v>
      </c>
      <c r="C139" s="32">
        <v>45581</v>
      </c>
      <c r="D139" s="32">
        <v>45750</v>
      </c>
      <c r="E139" s="37">
        <f t="shared" si="10"/>
        <v>169</v>
      </c>
      <c r="F139" s="30" t="s">
        <v>1615</v>
      </c>
      <c r="G139" s="37">
        <v>31</v>
      </c>
      <c r="H139" s="30" t="s">
        <v>1614</v>
      </c>
      <c r="I139" s="30" t="s">
        <v>1613</v>
      </c>
      <c r="J139" s="36">
        <v>972000</v>
      </c>
      <c r="K139" s="35">
        <f t="shared" si="11"/>
        <v>14580</v>
      </c>
      <c r="L139" s="35">
        <f t="shared" si="12"/>
        <v>189</v>
      </c>
      <c r="M139" s="35">
        <f t="shared" si="13"/>
        <v>4860</v>
      </c>
      <c r="N139" s="34">
        <v>4.3017751479289941E-2</v>
      </c>
      <c r="O139" s="33">
        <f t="shared" si="14"/>
        <v>41813.254437869822</v>
      </c>
    </row>
    <row r="140" spans="1:15" x14ac:dyDescent="0.25">
      <c r="A140" s="30" t="s">
        <v>728</v>
      </c>
      <c r="B140" s="30">
        <v>30019</v>
      </c>
      <c r="C140" s="32">
        <v>45581</v>
      </c>
      <c r="D140" s="32">
        <v>45750</v>
      </c>
      <c r="E140" s="37">
        <f t="shared" si="10"/>
        <v>169</v>
      </c>
      <c r="F140" s="30" t="s">
        <v>1615</v>
      </c>
      <c r="G140" s="37">
        <v>31</v>
      </c>
      <c r="H140" s="30" t="s">
        <v>1614</v>
      </c>
      <c r="I140" s="30" t="s">
        <v>1613</v>
      </c>
      <c r="J140" s="36">
        <v>2697926</v>
      </c>
      <c r="K140" s="35">
        <f t="shared" si="11"/>
        <v>40468.89</v>
      </c>
      <c r="L140" s="35">
        <f t="shared" si="12"/>
        <v>524.5967222222223</v>
      </c>
      <c r="M140" s="35">
        <f t="shared" si="13"/>
        <v>13489.630000000001</v>
      </c>
      <c r="N140" s="34">
        <v>4.3017751479289941E-2</v>
      </c>
      <c r="O140" s="33">
        <f t="shared" si="14"/>
        <v>116058.71017751479</v>
      </c>
    </row>
    <row r="141" spans="1:15" x14ac:dyDescent="0.25">
      <c r="A141" s="30" t="s">
        <v>728</v>
      </c>
      <c r="B141" s="30">
        <v>30019</v>
      </c>
      <c r="C141" s="32">
        <v>45581</v>
      </c>
      <c r="D141" s="32">
        <v>45750</v>
      </c>
      <c r="E141" s="37">
        <f t="shared" si="10"/>
        <v>169</v>
      </c>
      <c r="F141" s="30" t="s">
        <v>1615</v>
      </c>
      <c r="G141" s="37">
        <v>31</v>
      </c>
      <c r="H141" s="30" t="s">
        <v>1614</v>
      </c>
      <c r="I141" s="30" t="s">
        <v>1613</v>
      </c>
      <c r="J141" s="36">
        <v>2889534</v>
      </c>
      <c r="K141" s="35">
        <f t="shared" si="11"/>
        <v>43343.009999999995</v>
      </c>
      <c r="L141" s="35">
        <f t="shared" si="12"/>
        <v>561.85383333333345</v>
      </c>
      <c r="M141" s="35">
        <f t="shared" si="13"/>
        <v>14447.67</v>
      </c>
      <c r="N141" s="34">
        <v>4.3017751479289934E-2</v>
      </c>
      <c r="O141" s="33">
        <f t="shared" si="14"/>
        <v>124301.25550295856</v>
      </c>
    </row>
    <row r="142" spans="1:15" x14ac:dyDescent="0.25">
      <c r="A142" s="30" t="s">
        <v>728</v>
      </c>
      <c r="B142" s="30">
        <v>30019</v>
      </c>
      <c r="C142" s="32">
        <v>45581</v>
      </c>
      <c r="D142" s="32">
        <v>45750</v>
      </c>
      <c r="E142" s="37">
        <f t="shared" si="10"/>
        <v>169</v>
      </c>
      <c r="F142" s="30" t="s">
        <v>1615</v>
      </c>
      <c r="G142" s="37">
        <v>31</v>
      </c>
      <c r="H142" s="30" t="s">
        <v>1614</v>
      </c>
      <c r="I142" s="30" t="s">
        <v>1613</v>
      </c>
      <c r="J142" s="36">
        <v>3738662</v>
      </c>
      <c r="K142" s="35">
        <f t="shared" si="11"/>
        <v>56079.93</v>
      </c>
      <c r="L142" s="35">
        <f t="shared" si="12"/>
        <v>726.96205555555559</v>
      </c>
      <c r="M142" s="35">
        <f t="shared" si="13"/>
        <v>18693.310000000001</v>
      </c>
      <c r="N142" s="34">
        <v>4.3017751479289934E-2</v>
      </c>
      <c r="O142" s="33">
        <f t="shared" si="14"/>
        <v>160828.83278106505</v>
      </c>
    </row>
    <row r="143" spans="1:15" x14ac:dyDescent="0.25">
      <c r="A143" s="30" t="s">
        <v>728</v>
      </c>
      <c r="B143" s="30">
        <v>30019</v>
      </c>
      <c r="C143" s="32">
        <v>45581</v>
      </c>
      <c r="D143" s="32">
        <v>45750</v>
      </c>
      <c r="E143" s="37">
        <f t="shared" si="10"/>
        <v>169</v>
      </c>
      <c r="F143" s="30" t="s">
        <v>1615</v>
      </c>
      <c r="G143" s="37">
        <v>31</v>
      </c>
      <c r="H143" s="30" t="s">
        <v>1614</v>
      </c>
      <c r="I143" s="30" t="s">
        <v>1613</v>
      </c>
      <c r="J143" s="36">
        <v>3871411</v>
      </c>
      <c r="K143" s="35">
        <f t="shared" si="11"/>
        <v>58071.165000000001</v>
      </c>
      <c r="L143" s="35">
        <f t="shared" si="12"/>
        <v>752.77436111111115</v>
      </c>
      <c r="M143" s="35">
        <f t="shared" si="13"/>
        <v>19357.055</v>
      </c>
      <c r="N143" s="34">
        <v>4.3017751479289941E-2</v>
      </c>
      <c r="O143" s="33">
        <f t="shared" si="14"/>
        <v>166539.39627218936</v>
      </c>
    </row>
    <row r="144" spans="1:15" x14ac:dyDescent="0.25">
      <c r="A144" s="30" t="s">
        <v>728</v>
      </c>
      <c r="B144" s="30">
        <v>30019</v>
      </c>
      <c r="C144" s="32">
        <v>45581</v>
      </c>
      <c r="D144" s="32">
        <v>45750</v>
      </c>
      <c r="E144" s="37">
        <f t="shared" si="10"/>
        <v>169</v>
      </c>
      <c r="F144" s="30" t="s">
        <v>1615</v>
      </c>
      <c r="G144" s="37">
        <v>31</v>
      </c>
      <c r="H144" s="30" t="s">
        <v>1614</v>
      </c>
      <c r="I144" s="30" t="s">
        <v>1613</v>
      </c>
      <c r="J144" s="36">
        <v>6455356</v>
      </c>
      <c r="K144" s="35">
        <f t="shared" si="11"/>
        <v>96830.34</v>
      </c>
      <c r="L144" s="35">
        <f t="shared" si="12"/>
        <v>1255.2081111111113</v>
      </c>
      <c r="M144" s="35">
        <f t="shared" si="13"/>
        <v>32276.780000000002</v>
      </c>
      <c r="N144" s="34">
        <v>4.3017751479289941E-2</v>
      </c>
      <c r="O144" s="33">
        <f t="shared" si="14"/>
        <v>277694.90011834318</v>
      </c>
    </row>
    <row r="145" spans="1:15" x14ac:dyDescent="0.25">
      <c r="A145" s="30" t="s">
        <v>728</v>
      </c>
      <c r="B145" s="30">
        <v>30019</v>
      </c>
      <c r="C145" s="32">
        <v>45581</v>
      </c>
      <c r="D145" s="32">
        <v>45750</v>
      </c>
      <c r="E145" s="37">
        <f t="shared" si="10"/>
        <v>169</v>
      </c>
      <c r="F145" s="30" t="s">
        <v>1615</v>
      </c>
      <c r="G145" s="37">
        <v>31</v>
      </c>
      <c r="H145" s="30" t="s">
        <v>1614</v>
      </c>
      <c r="I145" s="30" t="s">
        <v>1613</v>
      </c>
      <c r="J145" s="36">
        <v>10539858</v>
      </c>
      <c r="K145" s="35">
        <f t="shared" si="11"/>
        <v>158097.87</v>
      </c>
      <c r="L145" s="35">
        <f t="shared" si="12"/>
        <v>2049.4168333333337</v>
      </c>
      <c r="M145" s="35">
        <f t="shared" si="13"/>
        <v>52699.29</v>
      </c>
      <c r="N145" s="34">
        <v>4.3017751479289941E-2</v>
      </c>
      <c r="O145" s="33">
        <f t="shared" si="14"/>
        <v>453400.99207100592</v>
      </c>
    </row>
    <row r="146" spans="1:15" x14ac:dyDescent="0.25">
      <c r="A146" s="30" t="s">
        <v>728</v>
      </c>
      <c r="B146" s="30">
        <v>30019</v>
      </c>
      <c r="C146" s="32">
        <v>45581</v>
      </c>
      <c r="D146" s="32">
        <v>45750</v>
      </c>
      <c r="E146" s="37">
        <f t="shared" si="10"/>
        <v>169</v>
      </c>
      <c r="F146" s="30" t="s">
        <v>1615</v>
      </c>
      <c r="G146" s="37">
        <v>31</v>
      </c>
      <c r="H146" s="30" t="s">
        <v>1614</v>
      </c>
      <c r="I146" s="30" t="s">
        <v>1613</v>
      </c>
      <c r="J146" s="36">
        <v>10587278</v>
      </c>
      <c r="K146" s="35">
        <f t="shared" si="11"/>
        <v>158809.16999999998</v>
      </c>
      <c r="L146" s="35">
        <f t="shared" si="12"/>
        <v>2058.6373888888893</v>
      </c>
      <c r="M146" s="35">
        <f t="shared" si="13"/>
        <v>52936.39</v>
      </c>
      <c r="N146" s="34">
        <v>4.3017751479289934E-2</v>
      </c>
      <c r="O146" s="33">
        <f t="shared" si="14"/>
        <v>455440.89384615375</v>
      </c>
    </row>
    <row r="147" spans="1:15" x14ac:dyDescent="0.25">
      <c r="A147" s="30" t="s">
        <v>728</v>
      </c>
      <c r="B147" s="30">
        <v>30019</v>
      </c>
      <c r="C147" s="32">
        <v>45581</v>
      </c>
      <c r="D147" s="32">
        <v>45750</v>
      </c>
      <c r="E147" s="37">
        <f t="shared" si="10"/>
        <v>169</v>
      </c>
      <c r="F147" s="30" t="s">
        <v>1615</v>
      </c>
      <c r="G147" s="37">
        <v>31</v>
      </c>
      <c r="H147" s="30" t="s">
        <v>1614</v>
      </c>
      <c r="I147" s="30" t="s">
        <v>1613</v>
      </c>
      <c r="J147" s="36">
        <v>14763115</v>
      </c>
      <c r="K147" s="35">
        <f t="shared" si="11"/>
        <v>221446.72500000001</v>
      </c>
      <c r="L147" s="35">
        <f t="shared" si="12"/>
        <v>2870.6056944444445</v>
      </c>
      <c r="M147" s="35">
        <f t="shared" si="13"/>
        <v>73815.574999999997</v>
      </c>
      <c r="N147" s="34">
        <v>4.3017751479289934E-2</v>
      </c>
      <c r="O147" s="33">
        <f t="shared" si="14"/>
        <v>635076.01213017746</v>
      </c>
    </row>
    <row r="148" spans="1:15" x14ac:dyDescent="0.25">
      <c r="A148" s="30" t="s">
        <v>728</v>
      </c>
      <c r="B148" s="30">
        <v>30019</v>
      </c>
      <c r="C148" s="32">
        <v>45581</v>
      </c>
      <c r="D148" s="32">
        <v>45750</v>
      </c>
      <c r="E148" s="37">
        <f t="shared" si="10"/>
        <v>169</v>
      </c>
      <c r="F148" s="30" t="s">
        <v>1615</v>
      </c>
      <c r="G148" s="37">
        <v>31</v>
      </c>
      <c r="H148" s="30" t="s">
        <v>1614</v>
      </c>
      <c r="I148" s="30" t="s">
        <v>1613</v>
      </c>
      <c r="J148" s="36">
        <v>15981431</v>
      </c>
      <c r="K148" s="35">
        <f t="shared" si="11"/>
        <v>239721.465</v>
      </c>
      <c r="L148" s="35">
        <f t="shared" si="12"/>
        <v>3107.5004722222225</v>
      </c>
      <c r="M148" s="35">
        <f t="shared" si="13"/>
        <v>79907.154999999999</v>
      </c>
      <c r="N148" s="34">
        <v>4.3017751479289941E-2</v>
      </c>
      <c r="O148" s="33">
        <f t="shared" si="14"/>
        <v>687485.22704142018</v>
      </c>
    </row>
    <row r="149" spans="1:15" x14ac:dyDescent="0.25">
      <c r="A149" s="30" t="s">
        <v>728</v>
      </c>
      <c r="B149" s="30">
        <v>30019</v>
      </c>
      <c r="C149" s="32">
        <v>45581</v>
      </c>
      <c r="D149" s="32">
        <v>45750</v>
      </c>
      <c r="E149" s="37">
        <f t="shared" si="10"/>
        <v>169</v>
      </c>
      <c r="F149" s="30" t="s">
        <v>1615</v>
      </c>
      <c r="G149" s="37">
        <v>31</v>
      </c>
      <c r="H149" s="30" t="s">
        <v>1614</v>
      </c>
      <c r="I149" s="30" t="s">
        <v>1613</v>
      </c>
      <c r="J149" s="36">
        <v>19515977</v>
      </c>
      <c r="K149" s="35">
        <f t="shared" si="11"/>
        <v>292739.65499999997</v>
      </c>
      <c r="L149" s="35">
        <f t="shared" si="12"/>
        <v>3794.7733055555559</v>
      </c>
      <c r="M149" s="35">
        <f t="shared" si="13"/>
        <v>97579.884999999995</v>
      </c>
      <c r="N149" s="34">
        <v>4.3017751479289941E-2</v>
      </c>
      <c r="O149" s="33">
        <f t="shared" si="14"/>
        <v>839533.44846153841</v>
      </c>
    </row>
    <row r="150" spans="1:15" x14ac:dyDescent="0.25">
      <c r="A150" s="30" t="s">
        <v>728</v>
      </c>
      <c r="B150" s="30">
        <v>30019</v>
      </c>
      <c r="C150" s="32">
        <v>45583</v>
      </c>
      <c r="D150" s="32">
        <v>45640</v>
      </c>
      <c r="E150" s="37">
        <f t="shared" si="10"/>
        <v>57</v>
      </c>
      <c r="F150" s="30" t="s">
        <v>1620</v>
      </c>
      <c r="G150" s="37">
        <v>32</v>
      </c>
      <c r="H150" s="30" t="s">
        <v>1621</v>
      </c>
      <c r="I150" s="30" t="s">
        <v>1586</v>
      </c>
      <c r="J150" s="36">
        <v>14372474</v>
      </c>
      <c r="K150" s="35">
        <f t="shared" si="11"/>
        <v>215587.11</v>
      </c>
      <c r="L150" s="35">
        <f t="shared" si="12"/>
        <v>2794.6477222222225</v>
      </c>
      <c r="M150" s="35">
        <f t="shared" si="13"/>
        <v>71862.37</v>
      </c>
      <c r="N150" s="34">
        <v>0.12754385964912282</v>
      </c>
      <c r="O150" s="33">
        <f t="shared" si="14"/>
        <v>1833120.8066666669</v>
      </c>
    </row>
    <row r="151" spans="1:15" x14ac:dyDescent="0.25">
      <c r="A151" s="30" t="s">
        <v>728</v>
      </c>
      <c r="B151" s="30">
        <v>30019</v>
      </c>
      <c r="C151" s="32">
        <v>45583</v>
      </c>
      <c r="D151" s="32">
        <v>45640</v>
      </c>
      <c r="E151" s="37">
        <f t="shared" si="10"/>
        <v>57</v>
      </c>
      <c r="F151" s="30" t="s">
        <v>1620</v>
      </c>
      <c r="G151" s="37">
        <v>32</v>
      </c>
      <c r="I151" s="30" t="s">
        <v>1586</v>
      </c>
      <c r="J151" s="36">
        <v>14372474</v>
      </c>
      <c r="K151" s="35">
        <f t="shared" si="11"/>
        <v>215587.11</v>
      </c>
      <c r="L151" s="35">
        <f t="shared" si="12"/>
        <v>2794.6477222222225</v>
      </c>
      <c r="M151" s="35">
        <f t="shared" si="13"/>
        <v>71862.37</v>
      </c>
      <c r="N151" s="34">
        <v>0.12754385964912282</v>
      </c>
      <c r="O151" s="33">
        <f t="shared" si="14"/>
        <v>1833120.8066666669</v>
      </c>
    </row>
    <row r="152" spans="1:15" x14ac:dyDescent="0.25">
      <c r="A152" s="30" t="s">
        <v>728</v>
      </c>
      <c r="B152" s="30">
        <v>30019</v>
      </c>
      <c r="C152" s="32">
        <v>45583</v>
      </c>
      <c r="D152" s="32">
        <v>45656</v>
      </c>
      <c r="E152" s="37">
        <f t="shared" si="10"/>
        <v>73</v>
      </c>
      <c r="F152" s="30" t="s">
        <v>1605</v>
      </c>
      <c r="G152" s="37">
        <v>32</v>
      </c>
      <c r="H152" s="30" t="s">
        <v>784</v>
      </c>
      <c r="I152" s="30" t="s">
        <v>1586</v>
      </c>
      <c r="J152" s="36">
        <v>2700000</v>
      </c>
      <c r="K152" s="35">
        <f t="shared" si="11"/>
        <v>40500</v>
      </c>
      <c r="L152" s="35">
        <f t="shared" si="12"/>
        <v>525.00000000000011</v>
      </c>
      <c r="M152" s="35">
        <f t="shared" si="13"/>
        <v>13500</v>
      </c>
      <c r="N152" s="34">
        <v>9.9589041095890424E-2</v>
      </c>
      <c r="O152" s="33">
        <f t="shared" si="14"/>
        <v>268890.41095890413</v>
      </c>
    </row>
    <row r="153" spans="1:15" x14ac:dyDescent="0.25">
      <c r="A153" s="30" t="s">
        <v>728</v>
      </c>
      <c r="B153" s="30">
        <v>30019</v>
      </c>
      <c r="C153" s="32">
        <v>45583</v>
      </c>
      <c r="D153" s="32">
        <v>45658</v>
      </c>
      <c r="E153" s="37">
        <f t="shared" si="10"/>
        <v>75</v>
      </c>
      <c r="F153" s="30" t="s">
        <v>1605</v>
      </c>
      <c r="G153" s="37">
        <v>32</v>
      </c>
      <c r="H153" s="30" t="s">
        <v>784</v>
      </c>
      <c r="I153" s="30" t="s">
        <v>1586</v>
      </c>
      <c r="J153" s="36">
        <v>3780000</v>
      </c>
      <c r="K153" s="35">
        <f t="shared" si="11"/>
        <v>56700</v>
      </c>
      <c r="L153" s="35">
        <f t="shared" si="12"/>
        <v>735</v>
      </c>
      <c r="M153" s="35">
        <f t="shared" si="13"/>
        <v>18900</v>
      </c>
      <c r="N153" s="34">
        <v>9.6933333333333344E-2</v>
      </c>
      <c r="O153" s="33">
        <f t="shared" si="14"/>
        <v>366408.00000000006</v>
      </c>
    </row>
    <row r="154" spans="1:15" x14ac:dyDescent="0.25">
      <c r="A154" s="30" t="s">
        <v>728</v>
      </c>
      <c r="B154" s="30">
        <v>30019</v>
      </c>
      <c r="C154" s="32">
        <v>45583</v>
      </c>
      <c r="D154" s="32">
        <v>45661</v>
      </c>
      <c r="E154" s="37">
        <f t="shared" si="10"/>
        <v>78</v>
      </c>
      <c r="F154" s="30" t="s">
        <v>1598</v>
      </c>
      <c r="G154" s="37">
        <v>32</v>
      </c>
      <c r="I154" s="30" t="s">
        <v>1597</v>
      </c>
      <c r="J154" s="36">
        <v>237375</v>
      </c>
      <c r="K154" s="35">
        <f t="shared" si="11"/>
        <v>3560.625</v>
      </c>
      <c r="L154" s="35">
        <f t="shared" si="12"/>
        <v>46.15625</v>
      </c>
      <c r="M154" s="35">
        <f t="shared" si="13"/>
        <v>1186.875</v>
      </c>
      <c r="N154" s="34">
        <v>9.3205128205128204E-2</v>
      </c>
      <c r="O154" s="33">
        <f t="shared" si="14"/>
        <v>22124.567307692309</v>
      </c>
    </row>
    <row r="155" spans="1:15" x14ac:dyDescent="0.25">
      <c r="A155" s="30" t="s">
        <v>728</v>
      </c>
      <c r="B155" s="30">
        <v>30019</v>
      </c>
      <c r="C155" s="32">
        <v>45583</v>
      </c>
      <c r="D155" s="32">
        <v>45664</v>
      </c>
      <c r="E155" s="37">
        <f t="shared" si="10"/>
        <v>81</v>
      </c>
      <c r="F155" s="30" t="s">
        <v>1604</v>
      </c>
      <c r="G155" s="37">
        <v>32</v>
      </c>
      <c r="I155" s="30" t="s">
        <v>1603</v>
      </c>
      <c r="J155" s="36">
        <v>2223293</v>
      </c>
      <c r="K155" s="35">
        <f t="shared" si="11"/>
        <v>33349.394999999997</v>
      </c>
      <c r="L155" s="35">
        <f t="shared" si="12"/>
        <v>432.30697222222227</v>
      </c>
      <c r="M155" s="35">
        <f t="shared" si="13"/>
        <v>11116.465</v>
      </c>
      <c r="N155" s="34">
        <v>8.9753086419753075E-2</v>
      </c>
      <c r="O155" s="33">
        <f t="shared" si="14"/>
        <v>199547.40876543208</v>
      </c>
    </row>
    <row r="156" spans="1:15" x14ac:dyDescent="0.25">
      <c r="A156" s="30" t="s">
        <v>728</v>
      </c>
      <c r="B156" s="30">
        <v>30019</v>
      </c>
      <c r="C156" s="32">
        <v>45583</v>
      </c>
      <c r="D156" s="32">
        <v>45666</v>
      </c>
      <c r="E156" s="37">
        <f t="shared" si="10"/>
        <v>83</v>
      </c>
      <c r="F156" s="30" t="s">
        <v>1604</v>
      </c>
      <c r="G156" s="37">
        <v>32</v>
      </c>
      <c r="I156" s="30" t="s">
        <v>1603</v>
      </c>
      <c r="J156" s="36">
        <v>2116418</v>
      </c>
      <c r="K156" s="35">
        <f t="shared" si="11"/>
        <v>31746.27</v>
      </c>
      <c r="L156" s="35">
        <f t="shared" si="12"/>
        <v>411.52572222222227</v>
      </c>
      <c r="M156" s="35">
        <f t="shared" si="13"/>
        <v>10582.09</v>
      </c>
      <c r="N156" s="34">
        <v>8.7590361445783138E-2</v>
      </c>
      <c r="O156" s="33">
        <f t="shared" si="14"/>
        <v>185377.81759036146</v>
      </c>
    </row>
    <row r="157" spans="1:15" x14ac:dyDescent="0.25">
      <c r="A157" s="30" t="s">
        <v>728</v>
      </c>
      <c r="B157" s="30">
        <v>30019</v>
      </c>
      <c r="C157" s="32">
        <v>45583</v>
      </c>
      <c r="D157" s="32">
        <v>45666</v>
      </c>
      <c r="E157" s="37">
        <f t="shared" si="10"/>
        <v>83</v>
      </c>
      <c r="F157" s="30" t="s">
        <v>1604</v>
      </c>
      <c r="G157" s="37">
        <v>32</v>
      </c>
      <c r="I157" s="30" t="s">
        <v>1603</v>
      </c>
      <c r="J157" s="36">
        <v>2223293</v>
      </c>
      <c r="K157" s="35">
        <f t="shared" si="11"/>
        <v>33349.394999999997</v>
      </c>
      <c r="L157" s="35">
        <f t="shared" si="12"/>
        <v>432.30697222222227</v>
      </c>
      <c r="M157" s="35">
        <f t="shared" si="13"/>
        <v>11116.465</v>
      </c>
      <c r="N157" s="34">
        <v>8.759036144578311E-2</v>
      </c>
      <c r="O157" s="33">
        <f t="shared" si="14"/>
        <v>194739.03746987946</v>
      </c>
    </row>
    <row r="158" spans="1:15" x14ac:dyDescent="0.25">
      <c r="A158" s="30" t="s">
        <v>728</v>
      </c>
      <c r="B158" s="30">
        <v>30019</v>
      </c>
      <c r="C158" s="32">
        <v>45583</v>
      </c>
      <c r="D158" s="32">
        <v>45695</v>
      </c>
      <c r="E158" s="37">
        <f t="shared" si="10"/>
        <v>112</v>
      </c>
      <c r="F158" s="30" t="s">
        <v>1582</v>
      </c>
      <c r="G158" s="37">
        <v>32</v>
      </c>
      <c r="H158" s="30" t="s">
        <v>1178</v>
      </c>
      <c r="I158" s="30" t="s">
        <v>740</v>
      </c>
      <c r="J158" s="36">
        <v>3892467</v>
      </c>
      <c r="K158" s="35">
        <f t="shared" si="11"/>
        <v>58387.004999999997</v>
      </c>
      <c r="L158" s="35">
        <f t="shared" si="12"/>
        <v>756.86858333333339</v>
      </c>
      <c r="M158" s="35">
        <f t="shared" si="13"/>
        <v>19462.334999999999</v>
      </c>
      <c r="N158" s="34">
        <v>6.491071428571428E-2</v>
      </c>
      <c r="O158" s="33">
        <f t="shared" si="14"/>
        <v>252662.8133035714</v>
      </c>
    </row>
    <row r="159" spans="1:15" x14ac:dyDescent="0.25">
      <c r="A159" s="30" t="s">
        <v>728</v>
      </c>
      <c r="B159" s="30">
        <v>30019</v>
      </c>
      <c r="C159" s="32">
        <v>45587</v>
      </c>
      <c r="D159" s="32">
        <v>45673</v>
      </c>
      <c r="E159" s="37">
        <f t="shared" si="10"/>
        <v>86</v>
      </c>
      <c r="F159" s="30" t="s">
        <v>1604</v>
      </c>
      <c r="G159" s="37">
        <v>32</v>
      </c>
      <c r="I159" s="30" t="s">
        <v>1603</v>
      </c>
      <c r="J159" s="36">
        <v>2116418</v>
      </c>
      <c r="K159" s="35">
        <f t="shared" si="11"/>
        <v>31746.27</v>
      </c>
      <c r="L159" s="35">
        <f t="shared" si="12"/>
        <v>411.52572222222227</v>
      </c>
      <c r="M159" s="35">
        <f t="shared" si="13"/>
        <v>10582.09</v>
      </c>
      <c r="N159" s="34">
        <v>8.4534883720930237E-2</v>
      </c>
      <c r="O159" s="33">
        <f t="shared" si="14"/>
        <v>178911.14953488373</v>
      </c>
    </row>
    <row r="160" spans="1:15" x14ac:dyDescent="0.25">
      <c r="A160" s="30" t="s">
        <v>728</v>
      </c>
      <c r="B160" s="30">
        <v>30019</v>
      </c>
      <c r="C160" s="32">
        <v>45587</v>
      </c>
      <c r="D160" s="32">
        <v>45673</v>
      </c>
      <c r="E160" s="37">
        <f t="shared" si="10"/>
        <v>86</v>
      </c>
      <c r="F160" s="30" t="s">
        <v>1604</v>
      </c>
      <c r="G160" s="37">
        <v>32</v>
      </c>
      <c r="I160" s="30" t="s">
        <v>1603</v>
      </c>
      <c r="J160" s="36">
        <v>2223293</v>
      </c>
      <c r="K160" s="35">
        <f t="shared" si="11"/>
        <v>33349.394999999997</v>
      </c>
      <c r="L160" s="35">
        <f t="shared" si="12"/>
        <v>432.30697222222227</v>
      </c>
      <c r="M160" s="35">
        <f t="shared" si="13"/>
        <v>11116.465</v>
      </c>
      <c r="N160" s="34">
        <v>8.4534883720930223E-2</v>
      </c>
      <c r="O160" s="33">
        <f t="shared" si="14"/>
        <v>187945.81523255812</v>
      </c>
    </row>
    <row r="161" spans="1:15" x14ac:dyDescent="0.25">
      <c r="A161" s="30" t="s">
        <v>728</v>
      </c>
      <c r="B161" s="30">
        <v>30019</v>
      </c>
      <c r="C161" s="32">
        <v>45587</v>
      </c>
      <c r="D161" s="32">
        <v>45703</v>
      </c>
      <c r="E161" s="37">
        <f t="shared" si="10"/>
        <v>116</v>
      </c>
      <c r="F161" s="30" t="s">
        <v>1600</v>
      </c>
      <c r="G161" s="37">
        <v>32</v>
      </c>
      <c r="I161" s="30" t="s">
        <v>1599</v>
      </c>
      <c r="J161" s="36">
        <v>75749033</v>
      </c>
      <c r="K161" s="35">
        <f t="shared" si="11"/>
        <v>1136235.4949999999</v>
      </c>
      <c r="L161" s="35">
        <f t="shared" si="12"/>
        <v>14728.97863888889</v>
      </c>
      <c r="M161" s="35">
        <f t="shared" si="13"/>
        <v>378745.16499999998</v>
      </c>
      <c r="N161" s="34">
        <v>6.267241379310344E-2</v>
      </c>
      <c r="O161" s="33">
        <f t="shared" si="14"/>
        <v>4747374.7406034479</v>
      </c>
    </row>
    <row r="162" spans="1:15" x14ac:dyDescent="0.25">
      <c r="A162" s="30" t="s">
        <v>728</v>
      </c>
      <c r="B162" s="30">
        <v>30019</v>
      </c>
      <c r="C162" s="32">
        <v>45588</v>
      </c>
      <c r="D162" s="32">
        <v>45639</v>
      </c>
      <c r="E162" s="37">
        <f t="shared" si="10"/>
        <v>51</v>
      </c>
      <c r="F162" s="30" t="s">
        <v>1583</v>
      </c>
      <c r="G162" s="37">
        <v>32</v>
      </c>
      <c r="I162" s="30" t="s">
        <v>727</v>
      </c>
      <c r="J162" s="36">
        <v>42804</v>
      </c>
      <c r="K162" s="35">
        <f t="shared" si="11"/>
        <v>642.05999999999995</v>
      </c>
      <c r="L162" s="35">
        <f t="shared" si="12"/>
        <v>8.3230000000000004</v>
      </c>
      <c r="M162" s="35">
        <f t="shared" si="13"/>
        <v>214.02</v>
      </c>
      <c r="N162" s="34">
        <v>0.14254901960784311</v>
      </c>
      <c r="O162" s="33">
        <f t="shared" si="14"/>
        <v>6101.6682352941161</v>
      </c>
    </row>
    <row r="163" spans="1:15" x14ac:dyDescent="0.25">
      <c r="A163" s="30" t="s">
        <v>728</v>
      </c>
      <c r="B163" s="30">
        <v>30019</v>
      </c>
      <c r="C163" s="32">
        <v>45588</v>
      </c>
      <c r="D163" s="32">
        <v>45639</v>
      </c>
      <c r="E163" s="37">
        <f t="shared" si="10"/>
        <v>51</v>
      </c>
      <c r="F163" s="30" t="s">
        <v>1583</v>
      </c>
      <c r="G163" s="37">
        <v>32</v>
      </c>
      <c r="I163" s="30" t="s">
        <v>727</v>
      </c>
      <c r="J163" s="36">
        <v>80258</v>
      </c>
      <c r="K163" s="35">
        <f t="shared" si="11"/>
        <v>1203.8699999999999</v>
      </c>
      <c r="L163" s="35">
        <f t="shared" si="12"/>
        <v>15.605722222222223</v>
      </c>
      <c r="M163" s="35">
        <f t="shared" si="13"/>
        <v>401.29</v>
      </c>
      <c r="N163" s="34">
        <v>0.14254901960784314</v>
      </c>
      <c r="O163" s="33">
        <f t="shared" si="14"/>
        <v>11440.699215686274</v>
      </c>
    </row>
    <row r="164" spans="1:15" x14ac:dyDescent="0.25">
      <c r="A164" s="30" t="s">
        <v>728</v>
      </c>
      <c r="B164" s="30">
        <v>30019</v>
      </c>
      <c r="C164" s="32">
        <v>45588</v>
      </c>
      <c r="D164" s="32">
        <v>45639</v>
      </c>
      <c r="E164" s="37">
        <f t="shared" si="10"/>
        <v>51</v>
      </c>
      <c r="F164" s="30" t="s">
        <v>1583</v>
      </c>
      <c r="G164" s="37">
        <v>32</v>
      </c>
      <c r="I164" s="30" t="s">
        <v>727</v>
      </c>
      <c r="J164" s="36">
        <v>160515</v>
      </c>
      <c r="K164" s="35">
        <f t="shared" si="11"/>
        <v>2407.7249999999999</v>
      </c>
      <c r="L164" s="35">
        <f t="shared" si="12"/>
        <v>31.211250000000003</v>
      </c>
      <c r="M164" s="35">
        <f t="shared" si="13"/>
        <v>802.57500000000005</v>
      </c>
      <c r="N164" s="34">
        <v>0.14254901960784311</v>
      </c>
      <c r="O164" s="33">
        <f t="shared" si="14"/>
        <v>22881.255882352936</v>
      </c>
    </row>
    <row r="165" spans="1:15" x14ac:dyDescent="0.25">
      <c r="A165" s="30" t="s">
        <v>728</v>
      </c>
      <c r="B165" s="30">
        <v>30019</v>
      </c>
      <c r="C165" s="32">
        <v>45588</v>
      </c>
      <c r="D165" s="32">
        <v>45660</v>
      </c>
      <c r="E165" s="37">
        <f t="shared" si="10"/>
        <v>72</v>
      </c>
      <c r="F165" s="30" t="s">
        <v>1583</v>
      </c>
      <c r="G165" s="37">
        <v>32</v>
      </c>
      <c r="I165" s="30" t="s">
        <v>727</v>
      </c>
      <c r="J165" s="36">
        <v>2225808</v>
      </c>
      <c r="K165" s="35">
        <f t="shared" si="11"/>
        <v>33387.119999999995</v>
      </c>
      <c r="L165" s="35">
        <f t="shared" si="12"/>
        <v>432.79600000000005</v>
      </c>
      <c r="M165" s="35">
        <f t="shared" si="13"/>
        <v>11129.04</v>
      </c>
      <c r="N165" s="34">
        <v>0.10097222222222223</v>
      </c>
      <c r="O165" s="33">
        <f t="shared" si="14"/>
        <v>224744.78</v>
      </c>
    </row>
    <row r="166" spans="1:15" x14ac:dyDescent="0.25">
      <c r="A166" s="30" t="s">
        <v>728</v>
      </c>
      <c r="B166" s="30">
        <v>30019</v>
      </c>
      <c r="C166" s="32">
        <v>45588</v>
      </c>
      <c r="D166" s="32">
        <v>45661</v>
      </c>
      <c r="E166" s="37">
        <f t="shared" si="10"/>
        <v>73</v>
      </c>
      <c r="F166" s="30" t="s">
        <v>1583</v>
      </c>
      <c r="G166" s="37">
        <v>32</v>
      </c>
      <c r="I166" s="30" t="s">
        <v>727</v>
      </c>
      <c r="J166" s="36">
        <v>1726307</v>
      </c>
      <c r="K166" s="35">
        <f t="shared" si="11"/>
        <v>25894.605</v>
      </c>
      <c r="L166" s="35">
        <f t="shared" si="12"/>
        <v>335.67080555555555</v>
      </c>
      <c r="M166" s="35">
        <f t="shared" si="13"/>
        <v>8631.5349999999999</v>
      </c>
      <c r="N166" s="34">
        <v>9.9589041095890424E-2</v>
      </c>
      <c r="O166" s="33">
        <f t="shared" si="14"/>
        <v>171921.25876712331</v>
      </c>
    </row>
    <row r="167" spans="1:15" x14ac:dyDescent="0.25">
      <c r="A167" s="30" t="s">
        <v>728</v>
      </c>
      <c r="B167" s="30">
        <v>30019</v>
      </c>
      <c r="C167" s="32">
        <v>45588</v>
      </c>
      <c r="D167" s="32">
        <v>45668</v>
      </c>
      <c r="E167" s="37">
        <f t="shared" si="10"/>
        <v>80</v>
      </c>
      <c r="F167" s="30" t="s">
        <v>1583</v>
      </c>
      <c r="G167" s="37">
        <v>32</v>
      </c>
      <c r="I167" s="30" t="s">
        <v>727</v>
      </c>
      <c r="J167" s="36">
        <v>42804</v>
      </c>
      <c r="K167" s="35">
        <f t="shared" si="11"/>
        <v>642.05999999999995</v>
      </c>
      <c r="L167" s="35">
        <f t="shared" si="12"/>
        <v>8.3230000000000004</v>
      </c>
      <c r="M167" s="35">
        <f t="shared" si="13"/>
        <v>214.02</v>
      </c>
      <c r="N167" s="34">
        <v>9.0874999999999984E-2</v>
      </c>
      <c r="O167" s="33">
        <f t="shared" si="14"/>
        <v>3889.8134999999993</v>
      </c>
    </row>
    <row r="168" spans="1:15" x14ac:dyDescent="0.25">
      <c r="A168" s="30" t="s">
        <v>728</v>
      </c>
      <c r="B168" s="30">
        <v>30019</v>
      </c>
      <c r="C168" s="32">
        <v>45588</v>
      </c>
      <c r="D168" s="32">
        <v>45668</v>
      </c>
      <c r="E168" s="37">
        <f t="shared" si="10"/>
        <v>80</v>
      </c>
      <c r="F168" s="30" t="s">
        <v>1583</v>
      </c>
      <c r="G168" s="37">
        <v>32</v>
      </c>
      <c r="I168" s="30" t="s">
        <v>727</v>
      </c>
      <c r="J168" s="36">
        <v>80258</v>
      </c>
      <c r="K168" s="35">
        <f t="shared" si="11"/>
        <v>1203.8699999999999</v>
      </c>
      <c r="L168" s="35">
        <f t="shared" si="12"/>
        <v>15.605722222222223</v>
      </c>
      <c r="M168" s="35">
        <f t="shared" si="13"/>
        <v>401.29</v>
      </c>
      <c r="N168" s="34">
        <v>9.0875000000000011E-2</v>
      </c>
      <c r="O168" s="33">
        <f t="shared" si="14"/>
        <v>7293.4457500000008</v>
      </c>
    </row>
    <row r="169" spans="1:15" x14ac:dyDescent="0.25">
      <c r="A169" s="30" t="s">
        <v>728</v>
      </c>
      <c r="B169" s="30">
        <v>30019</v>
      </c>
      <c r="C169" s="32">
        <v>45588</v>
      </c>
      <c r="D169" s="32">
        <v>45668</v>
      </c>
      <c r="E169" s="37">
        <f t="shared" si="10"/>
        <v>80</v>
      </c>
      <c r="F169" s="30" t="s">
        <v>1583</v>
      </c>
      <c r="G169" s="37">
        <v>32</v>
      </c>
      <c r="I169" s="30" t="s">
        <v>727</v>
      </c>
      <c r="J169" s="36">
        <v>160515</v>
      </c>
      <c r="K169" s="35">
        <f t="shared" si="11"/>
        <v>2407.7249999999999</v>
      </c>
      <c r="L169" s="35">
        <f t="shared" si="12"/>
        <v>31.211250000000003</v>
      </c>
      <c r="M169" s="35">
        <f t="shared" si="13"/>
        <v>802.57500000000005</v>
      </c>
      <c r="N169" s="34">
        <v>9.0874999999999984E-2</v>
      </c>
      <c r="O169" s="33">
        <f t="shared" si="14"/>
        <v>14586.800624999998</v>
      </c>
    </row>
    <row r="170" spans="1:15" x14ac:dyDescent="0.25">
      <c r="A170" s="30" t="s">
        <v>728</v>
      </c>
      <c r="B170" s="30">
        <v>30019</v>
      </c>
      <c r="C170" s="32">
        <v>45588</v>
      </c>
      <c r="D170" s="32">
        <v>45668</v>
      </c>
      <c r="E170" s="37">
        <f t="shared" si="10"/>
        <v>80</v>
      </c>
      <c r="F170" s="30" t="s">
        <v>1583</v>
      </c>
      <c r="G170" s="37">
        <v>32</v>
      </c>
      <c r="I170" s="30" t="s">
        <v>727</v>
      </c>
      <c r="J170" s="36">
        <v>856080</v>
      </c>
      <c r="K170" s="35">
        <f t="shared" si="11"/>
        <v>12841.199999999999</v>
      </c>
      <c r="L170" s="35">
        <f t="shared" si="12"/>
        <v>166.46</v>
      </c>
      <c r="M170" s="35">
        <f t="shared" si="13"/>
        <v>4280.3999999999996</v>
      </c>
      <c r="N170" s="34">
        <v>9.0874999999999984E-2</v>
      </c>
      <c r="O170" s="33">
        <f t="shared" si="14"/>
        <v>77796.26999999999</v>
      </c>
    </row>
    <row r="171" spans="1:15" x14ac:dyDescent="0.25">
      <c r="A171" s="30" t="s">
        <v>728</v>
      </c>
      <c r="B171" s="30">
        <v>30019</v>
      </c>
      <c r="C171" s="32">
        <v>45593</v>
      </c>
      <c r="D171" s="32">
        <v>45640</v>
      </c>
      <c r="E171" s="37">
        <f t="shared" si="10"/>
        <v>47</v>
      </c>
      <c r="F171" s="30" t="s">
        <v>1620</v>
      </c>
      <c r="G171" s="37">
        <v>32</v>
      </c>
      <c r="H171" s="30" t="s">
        <v>1621</v>
      </c>
      <c r="I171" s="30" t="s">
        <v>1586</v>
      </c>
      <c r="J171" s="36">
        <v>17219076</v>
      </c>
      <c r="K171" s="35">
        <f t="shared" si="11"/>
        <v>258286.13999999998</v>
      </c>
      <c r="L171" s="35">
        <f t="shared" si="12"/>
        <v>3348.153666666667</v>
      </c>
      <c r="M171" s="35">
        <f t="shared" si="13"/>
        <v>86095.38</v>
      </c>
      <c r="N171" s="34">
        <v>0.15468085106382981</v>
      </c>
      <c r="O171" s="33">
        <f t="shared" si="14"/>
        <v>2663461.3302127663</v>
      </c>
    </row>
    <row r="172" spans="1:15" x14ac:dyDescent="0.25">
      <c r="A172" s="30" t="s">
        <v>728</v>
      </c>
      <c r="B172" s="30">
        <v>30019</v>
      </c>
      <c r="C172" s="32">
        <v>45593</v>
      </c>
      <c r="D172" s="32">
        <v>45640</v>
      </c>
      <c r="E172" s="37">
        <f t="shared" si="10"/>
        <v>47</v>
      </c>
      <c r="F172" s="30" t="s">
        <v>1620</v>
      </c>
      <c r="G172" s="37">
        <v>32</v>
      </c>
      <c r="I172" s="30" t="s">
        <v>1586</v>
      </c>
      <c r="J172" s="36">
        <v>17219076</v>
      </c>
      <c r="K172" s="35">
        <f t="shared" si="11"/>
        <v>258286.13999999998</v>
      </c>
      <c r="L172" s="35">
        <f t="shared" si="12"/>
        <v>3348.153666666667</v>
      </c>
      <c r="M172" s="35">
        <f t="shared" si="13"/>
        <v>86095.38</v>
      </c>
      <c r="N172" s="34">
        <v>0.15468085106382981</v>
      </c>
      <c r="O172" s="33">
        <f t="shared" si="14"/>
        <v>2663461.3302127663</v>
      </c>
    </row>
    <row r="173" spans="1:15" x14ac:dyDescent="0.25">
      <c r="A173" s="30" t="s">
        <v>728</v>
      </c>
      <c r="B173" s="30">
        <v>30019</v>
      </c>
      <c r="C173" s="32">
        <v>45593</v>
      </c>
      <c r="D173" s="32">
        <v>45654</v>
      </c>
      <c r="E173" s="37">
        <f t="shared" si="10"/>
        <v>61</v>
      </c>
      <c r="F173" s="30" t="s">
        <v>1612</v>
      </c>
      <c r="G173" s="37">
        <v>32</v>
      </c>
      <c r="I173" s="30" t="s">
        <v>740</v>
      </c>
      <c r="J173" s="36">
        <v>4138891</v>
      </c>
      <c r="K173" s="35">
        <f t="shared" si="11"/>
        <v>62083.364999999998</v>
      </c>
      <c r="L173" s="35">
        <f t="shared" si="12"/>
        <v>804.78436111111125</v>
      </c>
      <c r="M173" s="35">
        <f t="shared" si="13"/>
        <v>20694.455000000002</v>
      </c>
      <c r="N173" s="34">
        <v>0.11918032786885246</v>
      </c>
      <c r="O173" s="33">
        <f t="shared" si="14"/>
        <v>493274.38639344263</v>
      </c>
    </row>
    <row r="174" spans="1:15" x14ac:dyDescent="0.25">
      <c r="A174" s="30" t="s">
        <v>728</v>
      </c>
      <c r="B174" s="30">
        <v>30019</v>
      </c>
      <c r="C174" s="32">
        <v>45593</v>
      </c>
      <c r="D174" s="32">
        <v>45671</v>
      </c>
      <c r="E174" s="37">
        <f t="shared" si="10"/>
        <v>78</v>
      </c>
      <c r="F174" s="30" t="s">
        <v>1583</v>
      </c>
      <c r="G174" s="37">
        <v>32</v>
      </c>
      <c r="I174" s="30" t="s">
        <v>727</v>
      </c>
      <c r="J174" s="36">
        <v>227931</v>
      </c>
      <c r="K174" s="35">
        <f t="shared" si="11"/>
        <v>3418.9649999999997</v>
      </c>
      <c r="L174" s="35">
        <f t="shared" si="12"/>
        <v>44.319916666666671</v>
      </c>
      <c r="M174" s="35">
        <f t="shared" si="13"/>
        <v>1139.655</v>
      </c>
      <c r="N174" s="34">
        <v>9.320512820512819E-2</v>
      </c>
      <c r="O174" s="33">
        <f t="shared" si="14"/>
        <v>21244.338076923075</v>
      </c>
    </row>
    <row r="175" spans="1:15" x14ac:dyDescent="0.25">
      <c r="A175" s="30" t="s">
        <v>728</v>
      </c>
      <c r="B175" s="30">
        <v>30019</v>
      </c>
      <c r="C175" s="32">
        <v>45593</v>
      </c>
      <c r="D175" s="32">
        <v>45671</v>
      </c>
      <c r="E175" s="37">
        <f t="shared" si="10"/>
        <v>78</v>
      </c>
      <c r="F175" s="30" t="s">
        <v>1583</v>
      </c>
      <c r="G175" s="37">
        <v>32</v>
      </c>
      <c r="I175" s="30" t="s">
        <v>727</v>
      </c>
      <c r="J175" s="36">
        <v>317927</v>
      </c>
      <c r="K175" s="35">
        <f t="shared" si="11"/>
        <v>4768.9049999999997</v>
      </c>
      <c r="L175" s="35">
        <f t="shared" si="12"/>
        <v>61.819138888888901</v>
      </c>
      <c r="M175" s="35">
        <f t="shared" si="13"/>
        <v>1589.635</v>
      </c>
      <c r="N175" s="34">
        <v>9.3205128205128204E-2</v>
      </c>
      <c r="O175" s="33">
        <f t="shared" si="14"/>
        <v>29632.426794871793</v>
      </c>
    </row>
    <row r="176" spans="1:15" x14ac:dyDescent="0.25">
      <c r="A176" s="30" t="s">
        <v>728</v>
      </c>
      <c r="B176" s="30">
        <v>30019</v>
      </c>
      <c r="C176" s="32">
        <v>45593</v>
      </c>
      <c r="D176" s="32">
        <v>45678</v>
      </c>
      <c r="E176" s="37">
        <f t="shared" si="10"/>
        <v>85</v>
      </c>
      <c r="F176" s="30" t="s">
        <v>1590</v>
      </c>
      <c r="G176" s="37">
        <v>32</v>
      </c>
      <c r="I176" s="30" t="s">
        <v>1589</v>
      </c>
      <c r="J176" s="36">
        <v>751685</v>
      </c>
      <c r="K176" s="35">
        <f t="shared" si="11"/>
        <v>11275.275</v>
      </c>
      <c r="L176" s="35">
        <f t="shared" si="12"/>
        <v>146.16097222222223</v>
      </c>
      <c r="M176" s="35">
        <f t="shared" si="13"/>
        <v>3758.4250000000002</v>
      </c>
      <c r="N176" s="34">
        <v>8.5529411764705868E-2</v>
      </c>
      <c r="O176" s="33">
        <f t="shared" si="14"/>
        <v>64291.175882352931</v>
      </c>
    </row>
    <row r="177" spans="1:15" x14ac:dyDescent="0.25">
      <c r="A177" s="30" t="s">
        <v>728</v>
      </c>
      <c r="B177" s="30">
        <v>30019</v>
      </c>
      <c r="C177" s="32">
        <v>45593</v>
      </c>
      <c r="D177" s="32">
        <v>45678</v>
      </c>
      <c r="E177" s="37">
        <f t="shared" si="10"/>
        <v>85</v>
      </c>
      <c r="F177" s="30" t="s">
        <v>1590</v>
      </c>
      <c r="G177" s="37">
        <v>32</v>
      </c>
      <c r="I177" s="30" t="s">
        <v>1589</v>
      </c>
      <c r="J177" s="36">
        <v>4345580</v>
      </c>
      <c r="K177" s="35">
        <f t="shared" si="11"/>
        <v>65183.7</v>
      </c>
      <c r="L177" s="35">
        <f t="shared" si="12"/>
        <v>844.97388888888895</v>
      </c>
      <c r="M177" s="35">
        <f t="shared" si="13"/>
        <v>21727.9</v>
      </c>
      <c r="N177" s="34">
        <v>8.5529411764705868E-2</v>
      </c>
      <c r="O177" s="33">
        <f t="shared" si="14"/>
        <v>371674.90117647051</v>
      </c>
    </row>
    <row r="178" spans="1:15" x14ac:dyDescent="0.25">
      <c r="A178" s="30" t="s">
        <v>728</v>
      </c>
      <c r="B178" s="30">
        <v>30019</v>
      </c>
      <c r="C178" s="32">
        <v>45594</v>
      </c>
      <c r="D178" s="32">
        <v>45657</v>
      </c>
      <c r="E178" s="37">
        <f t="shared" si="10"/>
        <v>63</v>
      </c>
      <c r="F178" s="30" t="s">
        <v>1612</v>
      </c>
      <c r="G178" s="37">
        <v>32</v>
      </c>
      <c r="I178" s="30" t="s">
        <v>740</v>
      </c>
      <c r="J178" s="36">
        <v>1989443</v>
      </c>
      <c r="K178" s="35">
        <f t="shared" si="11"/>
        <v>29841.645</v>
      </c>
      <c r="L178" s="35">
        <f t="shared" si="12"/>
        <v>386.83613888888891</v>
      </c>
      <c r="M178" s="35">
        <f t="shared" si="13"/>
        <v>9947.2150000000001</v>
      </c>
      <c r="N178" s="34">
        <v>0.1153968253968254</v>
      </c>
      <c r="O178" s="33">
        <f t="shared" si="14"/>
        <v>229575.40650793651</v>
      </c>
    </row>
    <row r="179" spans="1:15" x14ac:dyDescent="0.25">
      <c r="A179" s="30" t="s">
        <v>728</v>
      </c>
      <c r="B179" s="30">
        <v>30019</v>
      </c>
      <c r="C179" s="32">
        <v>45596</v>
      </c>
      <c r="D179" s="32">
        <v>45645</v>
      </c>
      <c r="E179" s="37">
        <f t="shared" si="10"/>
        <v>49</v>
      </c>
      <c r="F179" s="30" t="s">
        <v>1602</v>
      </c>
      <c r="G179" s="37">
        <v>32</v>
      </c>
      <c r="I179" s="30" t="s">
        <v>1601</v>
      </c>
      <c r="J179" s="36">
        <v>135000</v>
      </c>
      <c r="K179" s="35">
        <f t="shared" si="11"/>
        <v>2025</v>
      </c>
      <c r="L179" s="35">
        <f t="shared" si="12"/>
        <v>26.25</v>
      </c>
      <c r="M179" s="35">
        <f t="shared" si="13"/>
        <v>675</v>
      </c>
      <c r="N179" s="34">
        <v>0.14836734693877551</v>
      </c>
      <c r="O179" s="33">
        <f t="shared" si="14"/>
        <v>20029.591836734693</v>
      </c>
    </row>
    <row r="180" spans="1:15" x14ac:dyDescent="0.25">
      <c r="A180" s="30" t="s">
        <v>728</v>
      </c>
      <c r="B180" s="30">
        <v>30019</v>
      </c>
      <c r="C180" s="32">
        <v>45596</v>
      </c>
      <c r="D180" s="32">
        <v>45665</v>
      </c>
      <c r="E180" s="37">
        <f t="shared" si="10"/>
        <v>69</v>
      </c>
      <c r="F180" s="30" t="s">
        <v>1619</v>
      </c>
      <c r="G180" s="37">
        <v>32</v>
      </c>
      <c r="H180" s="30" t="s">
        <v>1614</v>
      </c>
      <c r="I180" s="30" t="s">
        <v>1609</v>
      </c>
      <c r="J180" s="36">
        <v>52917848</v>
      </c>
      <c r="K180" s="35">
        <f t="shared" si="11"/>
        <v>793767.72</v>
      </c>
      <c r="L180" s="35">
        <f t="shared" si="12"/>
        <v>10289.581555555556</v>
      </c>
      <c r="M180" s="35">
        <f t="shared" si="13"/>
        <v>264589.24</v>
      </c>
      <c r="N180" s="34">
        <v>0.10536231884057971</v>
      </c>
      <c r="O180" s="33">
        <f t="shared" si="14"/>
        <v>5575547.1733333338</v>
      </c>
    </row>
    <row r="181" spans="1:15" x14ac:dyDescent="0.25">
      <c r="A181" s="30" t="s">
        <v>728</v>
      </c>
      <c r="B181" s="30">
        <v>30019</v>
      </c>
      <c r="C181" s="32">
        <v>45596</v>
      </c>
      <c r="D181" s="32">
        <v>45665</v>
      </c>
      <c r="E181" s="37">
        <f t="shared" si="10"/>
        <v>69</v>
      </c>
      <c r="F181" s="30" t="s">
        <v>1619</v>
      </c>
      <c r="G181" s="37">
        <v>32</v>
      </c>
      <c r="H181" s="30" t="s">
        <v>1614</v>
      </c>
      <c r="I181" s="30" t="s">
        <v>1609</v>
      </c>
      <c r="J181" s="36">
        <v>76757002</v>
      </c>
      <c r="K181" s="35">
        <f t="shared" si="11"/>
        <v>1151355.03</v>
      </c>
      <c r="L181" s="35">
        <f t="shared" si="12"/>
        <v>14924.972611111112</v>
      </c>
      <c r="M181" s="35">
        <f t="shared" si="13"/>
        <v>383785.01</v>
      </c>
      <c r="N181" s="34">
        <v>0.10536231884057971</v>
      </c>
      <c r="O181" s="33">
        <f t="shared" si="14"/>
        <v>8087295.7179710148</v>
      </c>
    </row>
    <row r="182" spans="1:15" x14ac:dyDescent="0.25">
      <c r="A182" s="30" t="s">
        <v>728</v>
      </c>
      <c r="B182" s="30">
        <v>30019</v>
      </c>
      <c r="C182" s="32">
        <v>45596</v>
      </c>
      <c r="D182" s="32">
        <v>45667</v>
      </c>
      <c r="E182" s="37">
        <f t="shared" si="10"/>
        <v>71</v>
      </c>
      <c r="F182" s="30" t="s">
        <v>1590</v>
      </c>
      <c r="G182" s="37">
        <v>32</v>
      </c>
      <c r="I182" s="30" t="s">
        <v>1589</v>
      </c>
      <c r="J182" s="36">
        <v>175500</v>
      </c>
      <c r="K182" s="35">
        <f t="shared" si="11"/>
        <v>2632.5</v>
      </c>
      <c r="L182" s="35">
        <f t="shared" si="12"/>
        <v>34.125000000000007</v>
      </c>
      <c r="M182" s="35">
        <f t="shared" si="13"/>
        <v>877.5</v>
      </c>
      <c r="N182" s="34">
        <v>0.1023943661971831</v>
      </c>
      <c r="O182" s="33">
        <f t="shared" si="14"/>
        <v>17970.211267605635</v>
      </c>
    </row>
    <row r="183" spans="1:15" x14ac:dyDescent="0.25">
      <c r="A183" s="30" t="s">
        <v>728</v>
      </c>
      <c r="B183" s="30">
        <v>30019</v>
      </c>
      <c r="C183" s="32">
        <v>45596</v>
      </c>
      <c r="D183" s="32">
        <v>45667</v>
      </c>
      <c r="E183" s="37">
        <f t="shared" si="10"/>
        <v>71</v>
      </c>
      <c r="F183" s="30" t="s">
        <v>1590</v>
      </c>
      <c r="G183" s="37">
        <v>32</v>
      </c>
      <c r="I183" s="30" t="s">
        <v>1589</v>
      </c>
      <c r="J183" s="36">
        <v>526500</v>
      </c>
      <c r="K183" s="35">
        <f t="shared" si="11"/>
        <v>7897.5</v>
      </c>
      <c r="L183" s="35">
        <f t="shared" si="12"/>
        <v>102.375</v>
      </c>
      <c r="M183" s="35">
        <f t="shared" si="13"/>
        <v>2632.5</v>
      </c>
      <c r="N183" s="34">
        <v>0.1023943661971831</v>
      </c>
      <c r="O183" s="33">
        <f t="shared" si="14"/>
        <v>53910.633802816905</v>
      </c>
    </row>
    <row r="184" spans="1:15" x14ac:dyDescent="0.25">
      <c r="A184" s="30" t="s">
        <v>728</v>
      </c>
      <c r="B184" s="30">
        <v>30019</v>
      </c>
      <c r="C184" s="32">
        <v>45596</v>
      </c>
      <c r="D184" s="32">
        <v>45667</v>
      </c>
      <c r="E184" s="37">
        <f t="shared" si="10"/>
        <v>71</v>
      </c>
      <c r="F184" s="30" t="s">
        <v>1590</v>
      </c>
      <c r="G184" s="37">
        <v>32</v>
      </c>
      <c r="I184" s="30" t="s">
        <v>1589</v>
      </c>
      <c r="J184" s="36">
        <v>1228500</v>
      </c>
      <c r="K184" s="35">
        <f t="shared" si="11"/>
        <v>18427.5</v>
      </c>
      <c r="L184" s="35">
        <f t="shared" si="12"/>
        <v>238.87500000000003</v>
      </c>
      <c r="M184" s="35">
        <f t="shared" si="13"/>
        <v>6142.5</v>
      </c>
      <c r="N184" s="34">
        <v>0.1023943661971831</v>
      </c>
      <c r="O184" s="33">
        <f t="shared" si="14"/>
        <v>125791.47887323944</v>
      </c>
    </row>
    <row r="185" spans="1:15" x14ac:dyDescent="0.25">
      <c r="A185" s="30" t="s">
        <v>728</v>
      </c>
      <c r="B185" s="30">
        <v>30019</v>
      </c>
      <c r="C185" s="32">
        <v>45596</v>
      </c>
      <c r="D185" s="32">
        <v>45667</v>
      </c>
      <c r="E185" s="37">
        <f t="shared" si="10"/>
        <v>71</v>
      </c>
      <c r="F185" s="30" t="s">
        <v>1590</v>
      </c>
      <c r="G185" s="37">
        <v>32</v>
      </c>
      <c r="I185" s="30" t="s">
        <v>1589</v>
      </c>
      <c r="J185" s="36">
        <v>1491750</v>
      </c>
      <c r="K185" s="35">
        <f t="shared" si="11"/>
        <v>22376.25</v>
      </c>
      <c r="L185" s="35">
        <f t="shared" si="12"/>
        <v>290.06250000000006</v>
      </c>
      <c r="M185" s="35">
        <f t="shared" si="13"/>
        <v>7458.75</v>
      </c>
      <c r="N185" s="34">
        <v>0.1023943661971831</v>
      </c>
      <c r="O185" s="33">
        <f t="shared" si="14"/>
        <v>152746.79577464791</v>
      </c>
    </row>
    <row r="186" spans="1:15" x14ac:dyDescent="0.25">
      <c r="A186" s="30" t="s">
        <v>728</v>
      </c>
      <c r="B186" s="30">
        <v>30019</v>
      </c>
      <c r="C186" s="32">
        <v>45596</v>
      </c>
      <c r="D186" s="32">
        <v>45672</v>
      </c>
      <c r="E186" s="37">
        <f t="shared" si="10"/>
        <v>76</v>
      </c>
      <c r="F186" s="30" t="s">
        <v>1602</v>
      </c>
      <c r="G186" s="37">
        <v>32</v>
      </c>
      <c r="I186" s="30" t="s">
        <v>1601</v>
      </c>
      <c r="J186" s="36">
        <v>54675000</v>
      </c>
      <c r="K186" s="35">
        <f t="shared" si="11"/>
        <v>820125</v>
      </c>
      <c r="L186" s="35">
        <f t="shared" si="12"/>
        <v>10631.250000000002</v>
      </c>
      <c r="M186" s="35">
        <f t="shared" si="13"/>
        <v>273375</v>
      </c>
      <c r="N186" s="34">
        <v>9.5657894736842108E-2</v>
      </c>
      <c r="O186" s="33">
        <f t="shared" si="14"/>
        <v>5230095.3947368423</v>
      </c>
    </row>
    <row r="187" spans="1:15" x14ac:dyDescent="0.25">
      <c r="A187" s="30" t="s">
        <v>728</v>
      </c>
      <c r="B187" s="30">
        <v>30019</v>
      </c>
      <c r="C187" s="32">
        <v>45596</v>
      </c>
      <c r="D187" s="32">
        <v>45672</v>
      </c>
      <c r="E187" s="37">
        <f t="shared" si="10"/>
        <v>76</v>
      </c>
      <c r="F187" s="30" t="s">
        <v>1602</v>
      </c>
      <c r="G187" s="37">
        <v>32</v>
      </c>
      <c r="I187" s="30" t="s">
        <v>1601</v>
      </c>
      <c r="J187" s="36">
        <v>75937500</v>
      </c>
      <c r="K187" s="35">
        <f t="shared" si="11"/>
        <v>1139062.5</v>
      </c>
      <c r="L187" s="35">
        <f t="shared" si="12"/>
        <v>14765.625000000002</v>
      </c>
      <c r="M187" s="35">
        <f t="shared" si="13"/>
        <v>379687.5</v>
      </c>
      <c r="N187" s="34">
        <v>9.5657894736842108E-2</v>
      </c>
      <c r="O187" s="33">
        <f t="shared" si="14"/>
        <v>7264021.3815789474</v>
      </c>
    </row>
    <row r="188" spans="1:15" x14ac:dyDescent="0.25">
      <c r="A188" s="30" t="s">
        <v>728</v>
      </c>
      <c r="B188" s="30">
        <v>30019</v>
      </c>
      <c r="C188" s="32">
        <v>45596</v>
      </c>
      <c r="D188" s="32">
        <v>45674</v>
      </c>
      <c r="E188" s="37">
        <f t="shared" si="10"/>
        <v>78</v>
      </c>
      <c r="F188" s="30" t="s">
        <v>1602</v>
      </c>
      <c r="G188" s="37">
        <v>32</v>
      </c>
      <c r="I188" s="30" t="s">
        <v>1601</v>
      </c>
      <c r="J188" s="36">
        <v>348480</v>
      </c>
      <c r="K188" s="35">
        <f t="shared" si="11"/>
        <v>5227.2</v>
      </c>
      <c r="L188" s="35">
        <f t="shared" si="12"/>
        <v>67.760000000000005</v>
      </c>
      <c r="M188" s="35">
        <f t="shared" si="13"/>
        <v>1742.4</v>
      </c>
      <c r="N188" s="34">
        <v>9.3205128205128204E-2</v>
      </c>
      <c r="O188" s="33">
        <f t="shared" si="14"/>
        <v>32480.123076923075</v>
      </c>
    </row>
    <row r="189" spans="1:15" x14ac:dyDescent="0.25">
      <c r="A189" s="30" t="s">
        <v>728</v>
      </c>
      <c r="B189" s="30">
        <v>30019</v>
      </c>
      <c r="C189" s="32">
        <v>45596</v>
      </c>
      <c r="D189" s="32">
        <v>45674</v>
      </c>
      <c r="E189" s="37">
        <f t="shared" si="10"/>
        <v>78</v>
      </c>
      <c r="F189" s="30" t="s">
        <v>1602</v>
      </c>
      <c r="G189" s="37">
        <v>32</v>
      </c>
      <c r="I189" s="30" t="s">
        <v>1601</v>
      </c>
      <c r="J189" s="36">
        <v>1019700</v>
      </c>
      <c r="K189" s="35">
        <f t="shared" si="11"/>
        <v>15295.5</v>
      </c>
      <c r="L189" s="35">
        <f t="shared" si="12"/>
        <v>198.27500000000001</v>
      </c>
      <c r="M189" s="35">
        <f t="shared" si="13"/>
        <v>5098.5</v>
      </c>
      <c r="N189" s="34">
        <v>9.3205128205128204E-2</v>
      </c>
      <c r="O189" s="33">
        <f t="shared" si="14"/>
        <v>95041.269230769234</v>
      </c>
    </row>
    <row r="190" spans="1:15" x14ac:dyDescent="0.25">
      <c r="A190" s="30" t="s">
        <v>728</v>
      </c>
      <c r="B190" s="30">
        <v>30019</v>
      </c>
      <c r="C190" s="32">
        <v>45596</v>
      </c>
      <c r="D190" s="32">
        <v>45674</v>
      </c>
      <c r="E190" s="37">
        <f t="shared" si="10"/>
        <v>78</v>
      </c>
      <c r="F190" s="30" t="s">
        <v>1602</v>
      </c>
      <c r="G190" s="37">
        <v>32</v>
      </c>
      <c r="I190" s="30" t="s">
        <v>1601</v>
      </c>
      <c r="J190" s="36">
        <v>1280655</v>
      </c>
      <c r="K190" s="35">
        <f t="shared" si="11"/>
        <v>19209.825000000001</v>
      </c>
      <c r="L190" s="35">
        <f t="shared" si="12"/>
        <v>249.01625000000001</v>
      </c>
      <c r="M190" s="35">
        <f t="shared" si="13"/>
        <v>6403.2750000000005</v>
      </c>
      <c r="N190" s="34">
        <v>9.3205128205128204E-2</v>
      </c>
      <c r="O190" s="33">
        <f t="shared" si="14"/>
        <v>119363.61346153847</v>
      </c>
    </row>
    <row r="191" spans="1:15" x14ac:dyDescent="0.25">
      <c r="A191" s="30" t="s">
        <v>728</v>
      </c>
      <c r="B191" s="30">
        <v>30019</v>
      </c>
      <c r="C191" s="32">
        <v>45596</v>
      </c>
      <c r="D191" s="32">
        <v>45674</v>
      </c>
      <c r="E191" s="37">
        <f t="shared" si="10"/>
        <v>78</v>
      </c>
      <c r="F191" s="30" t="s">
        <v>1602</v>
      </c>
      <c r="G191" s="37">
        <v>32</v>
      </c>
      <c r="I191" s="30" t="s">
        <v>1601</v>
      </c>
      <c r="J191" s="36">
        <v>1486800</v>
      </c>
      <c r="K191" s="35">
        <f t="shared" si="11"/>
        <v>22302</v>
      </c>
      <c r="L191" s="35">
        <f t="shared" si="12"/>
        <v>289.10000000000002</v>
      </c>
      <c r="M191" s="35">
        <f t="shared" si="13"/>
        <v>7434</v>
      </c>
      <c r="N191" s="34">
        <v>9.320512820512819E-2</v>
      </c>
      <c r="O191" s="33">
        <f t="shared" si="14"/>
        <v>138577.3846153846</v>
      </c>
    </row>
    <row r="192" spans="1:15" x14ac:dyDescent="0.25">
      <c r="A192" s="30" t="s">
        <v>728</v>
      </c>
      <c r="B192" s="30">
        <v>30019</v>
      </c>
      <c r="C192" s="32">
        <v>45596</v>
      </c>
      <c r="D192" s="32">
        <v>45674</v>
      </c>
      <c r="E192" s="37">
        <f t="shared" si="10"/>
        <v>78</v>
      </c>
      <c r="F192" s="30" t="s">
        <v>1602</v>
      </c>
      <c r="G192" s="37">
        <v>32</v>
      </c>
      <c r="I192" s="30" t="s">
        <v>1601</v>
      </c>
      <c r="J192" s="36">
        <v>1924290</v>
      </c>
      <c r="K192" s="35">
        <f t="shared" si="11"/>
        <v>28864.35</v>
      </c>
      <c r="L192" s="35">
        <f t="shared" si="12"/>
        <v>374.16750000000008</v>
      </c>
      <c r="M192" s="35">
        <f t="shared" si="13"/>
        <v>9621.4500000000007</v>
      </c>
      <c r="N192" s="34">
        <v>9.3205128205128204E-2</v>
      </c>
      <c r="O192" s="33">
        <f t="shared" si="14"/>
        <v>179353.69615384616</v>
      </c>
    </row>
    <row r="193" spans="1:15" x14ac:dyDescent="0.25">
      <c r="A193" s="30" t="s">
        <v>728</v>
      </c>
      <c r="B193" s="30">
        <v>30019</v>
      </c>
      <c r="C193" s="32">
        <v>45596</v>
      </c>
      <c r="D193" s="32">
        <v>45674</v>
      </c>
      <c r="E193" s="37">
        <f t="shared" si="10"/>
        <v>78</v>
      </c>
      <c r="F193" s="30" t="s">
        <v>1602</v>
      </c>
      <c r="G193" s="37">
        <v>32</v>
      </c>
      <c r="I193" s="30" t="s">
        <v>1601</v>
      </c>
      <c r="J193" s="36">
        <v>6515100</v>
      </c>
      <c r="K193" s="35">
        <f t="shared" si="11"/>
        <v>97726.5</v>
      </c>
      <c r="L193" s="35">
        <f t="shared" si="12"/>
        <v>1266.8250000000003</v>
      </c>
      <c r="M193" s="35">
        <f t="shared" si="13"/>
        <v>32575.5</v>
      </c>
      <c r="N193" s="34">
        <v>9.3205128205128204E-2</v>
      </c>
      <c r="O193" s="33">
        <f t="shared" si="14"/>
        <v>607240.73076923075</v>
      </c>
    </row>
    <row r="194" spans="1:15" x14ac:dyDescent="0.25">
      <c r="A194" s="30" t="s">
        <v>728</v>
      </c>
      <c r="B194" s="30">
        <v>30019</v>
      </c>
      <c r="C194" s="32">
        <v>45596</v>
      </c>
      <c r="D194" s="32">
        <v>45674</v>
      </c>
      <c r="E194" s="37">
        <f t="shared" ref="E194:E257" si="15">DATEDIF(C194,D194,"yd")</f>
        <v>78</v>
      </c>
      <c r="F194" s="30" t="s">
        <v>1602</v>
      </c>
      <c r="G194" s="37">
        <v>32</v>
      </c>
      <c r="I194" s="30" t="s">
        <v>1601</v>
      </c>
      <c r="J194" s="36">
        <v>10601910</v>
      </c>
      <c r="K194" s="35">
        <f t="shared" ref="K194:K257" si="16">J194*1.5%</f>
        <v>159028.65</v>
      </c>
      <c r="L194" s="35">
        <f t="shared" ref="L194:L257" si="17">(J194*7%)/360</f>
        <v>2061.4825000000001</v>
      </c>
      <c r="M194" s="35">
        <f t="shared" ref="M194:M257" si="18">J194*0.5%</f>
        <v>53009.55</v>
      </c>
      <c r="N194" s="34">
        <v>9.3205128205128204E-2</v>
      </c>
      <c r="O194" s="33">
        <f t="shared" ref="O194:O257" si="19">N194*J194</f>
        <v>988152.38076923077</v>
      </c>
    </row>
    <row r="195" spans="1:15" x14ac:dyDescent="0.25">
      <c r="A195" s="30" t="s">
        <v>728</v>
      </c>
      <c r="B195" s="30">
        <v>30019</v>
      </c>
      <c r="C195" s="32">
        <v>45596</v>
      </c>
      <c r="D195" s="32">
        <v>45674</v>
      </c>
      <c r="E195" s="37">
        <f t="shared" si="15"/>
        <v>78</v>
      </c>
      <c r="F195" s="30" t="s">
        <v>1602</v>
      </c>
      <c r="G195" s="37">
        <v>32</v>
      </c>
      <c r="I195" s="30" t="s">
        <v>1601</v>
      </c>
      <c r="J195" s="36">
        <v>27158931</v>
      </c>
      <c r="K195" s="35">
        <f t="shared" si="16"/>
        <v>407383.96499999997</v>
      </c>
      <c r="L195" s="35">
        <f t="shared" si="17"/>
        <v>5280.9032500000003</v>
      </c>
      <c r="M195" s="35">
        <f t="shared" si="18"/>
        <v>135794.655</v>
      </c>
      <c r="N195" s="34">
        <v>9.320512820512819E-2</v>
      </c>
      <c r="O195" s="33">
        <f t="shared" si="19"/>
        <v>2531351.6457692306</v>
      </c>
    </row>
    <row r="196" spans="1:15" x14ac:dyDescent="0.25">
      <c r="A196" s="30" t="s">
        <v>728</v>
      </c>
      <c r="B196" s="30">
        <v>30019</v>
      </c>
      <c r="C196" s="32">
        <v>45596</v>
      </c>
      <c r="D196" s="32">
        <v>45689</v>
      </c>
      <c r="E196" s="37">
        <f t="shared" si="15"/>
        <v>93</v>
      </c>
      <c r="F196" s="30" t="s">
        <v>1610</v>
      </c>
      <c r="G196" s="37">
        <v>32</v>
      </c>
      <c r="I196" s="30" t="s">
        <v>1609</v>
      </c>
      <c r="J196" s="36">
        <v>189358610</v>
      </c>
      <c r="K196" s="35">
        <f t="shared" si="16"/>
        <v>2840379.15</v>
      </c>
      <c r="L196" s="35">
        <f t="shared" si="17"/>
        <v>36819.729722222226</v>
      </c>
      <c r="M196" s="35">
        <f t="shared" si="18"/>
        <v>946793.05</v>
      </c>
      <c r="N196" s="34">
        <v>7.8172043010752687E-2</v>
      </c>
      <c r="O196" s="33">
        <f t="shared" si="19"/>
        <v>14802549.405376343</v>
      </c>
    </row>
    <row r="197" spans="1:15" x14ac:dyDescent="0.25">
      <c r="A197" s="30" t="s">
        <v>728</v>
      </c>
      <c r="B197" s="30">
        <v>30019</v>
      </c>
      <c r="C197" s="32">
        <v>45596</v>
      </c>
      <c r="D197" s="32">
        <v>45703</v>
      </c>
      <c r="E197" s="37">
        <f t="shared" si="15"/>
        <v>107</v>
      </c>
      <c r="F197" s="30" t="s">
        <v>1618</v>
      </c>
      <c r="G197" s="37">
        <v>32</v>
      </c>
      <c r="I197" s="30" t="s">
        <v>740</v>
      </c>
      <c r="J197" s="36">
        <v>596250</v>
      </c>
      <c r="K197" s="35">
        <f t="shared" si="16"/>
        <v>8943.75</v>
      </c>
      <c r="L197" s="35">
        <f t="shared" si="17"/>
        <v>115.93750000000001</v>
      </c>
      <c r="M197" s="35">
        <f t="shared" si="18"/>
        <v>2981.25</v>
      </c>
      <c r="N197" s="34">
        <v>6.794392523364487E-2</v>
      </c>
      <c r="O197" s="33">
        <f t="shared" si="19"/>
        <v>40511.565420560757</v>
      </c>
    </row>
    <row r="198" spans="1:15" x14ac:dyDescent="0.25">
      <c r="A198" s="30" t="s">
        <v>728</v>
      </c>
      <c r="B198" s="30">
        <v>30019</v>
      </c>
      <c r="C198" s="32">
        <v>45596</v>
      </c>
      <c r="D198" s="32">
        <v>45703</v>
      </c>
      <c r="E198" s="37">
        <f t="shared" si="15"/>
        <v>107</v>
      </c>
      <c r="F198" s="30" t="s">
        <v>1618</v>
      </c>
      <c r="G198" s="37">
        <v>32</v>
      </c>
      <c r="I198" s="30" t="s">
        <v>740</v>
      </c>
      <c r="J198" s="36">
        <v>6757200</v>
      </c>
      <c r="K198" s="35">
        <f t="shared" si="16"/>
        <v>101358</v>
      </c>
      <c r="L198" s="35">
        <f t="shared" si="17"/>
        <v>1313.9</v>
      </c>
      <c r="M198" s="35">
        <f t="shared" si="18"/>
        <v>33786</v>
      </c>
      <c r="N198" s="34">
        <v>6.7943925233644842E-2</v>
      </c>
      <c r="O198" s="33">
        <f t="shared" si="19"/>
        <v>459110.69158878492</v>
      </c>
    </row>
    <row r="199" spans="1:15" x14ac:dyDescent="0.25">
      <c r="A199" s="30" t="s">
        <v>728</v>
      </c>
      <c r="B199" s="30">
        <v>30019</v>
      </c>
      <c r="C199" s="32">
        <v>45596</v>
      </c>
      <c r="D199" s="32">
        <v>45709</v>
      </c>
      <c r="E199" s="37">
        <f t="shared" si="15"/>
        <v>113</v>
      </c>
      <c r="F199" s="30" t="s">
        <v>1602</v>
      </c>
      <c r="G199" s="37">
        <v>32</v>
      </c>
      <c r="I199" s="30" t="s">
        <v>1601</v>
      </c>
      <c r="J199" s="36">
        <v>4977400</v>
      </c>
      <c r="K199" s="35">
        <f t="shared" si="16"/>
        <v>74661</v>
      </c>
      <c r="L199" s="35">
        <f t="shared" si="17"/>
        <v>967.8277777777779</v>
      </c>
      <c r="M199" s="35">
        <f t="shared" si="18"/>
        <v>24887</v>
      </c>
      <c r="N199" s="34">
        <v>6.4336283185840712E-2</v>
      </c>
      <c r="O199" s="33">
        <f t="shared" si="19"/>
        <v>320227.41592920356</v>
      </c>
    </row>
    <row r="200" spans="1:15" x14ac:dyDescent="0.25">
      <c r="A200" s="30" t="s">
        <v>728</v>
      </c>
      <c r="B200" s="30">
        <v>30019</v>
      </c>
      <c r="C200" s="32">
        <v>45596</v>
      </c>
      <c r="D200" s="32">
        <v>45713</v>
      </c>
      <c r="E200" s="37">
        <f t="shared" si="15"/>
        <v>117</v>
      </c>
      <c r="F200" s="30" t="s">
        <v>1583</v>
      </c>
      <c r="G200" s="37">
        <v>32</v>
      </c>
      <c r="I200" s="30" t="s">
        <v>727</v>
      </c>
      <c r="J200" s="36">
        <v>320312</v>
      </c>
      <c r="K200" s="35">
        <f t="shared" si="16"/>
        <v>4804.6799999999994</v>
      </c>
      <c r="L200" s="35">
        <f t="shared" si="17"/>
        <v>62.282888888888898</v>
      </c>
      <c r="M200" s="35">
        <f t="shared" si="18"/>
        <v>1601.56</v>
      </c>
      <c r="N200" s="34">
        <v>6.2136752136752141E-2</v>
      </c>
      <c r="O200" s="33">
        <f t="shared" si="19"/>
        <v>19903.147350427353</v>
      </c>
    </row>
    <row r="201" spans="1:15" x14ac:dyDescent="0.25">
      <c r="A201" s="30" t="s">
        <v>728</v>
      </c>
      <c r="B201" s="30">
        <v>30019</v>
      </c>
      <c r="C201" s="32">
        <v>45596</v>
      </c>
      <c r="D201" s="32">
        <v>45713</v>
      </c>
      <c r="E201" s="37">
        <f t="shared" si="15"/>
        <v>117</v>
      </c>
      <c r="F201" s="30" t="s">
        <v>1583</v>
      </c>
      <c r="G201" s="37">
        <v>32</v>
      </c>
      <c r="I201" s="30" t="s">
        <v>727</v>
      </c>
      <c r="J201" s="36">
        <v>1797768</v>
      </c>
      <c r="K201" s="35">
        <f t="shared" si="16"/>
        <v>26966.52</v>
      </c>
      <c r="L201" s="35">
        <f t="shared" si="17"/>
        <v>349.56600000000003</v>
      </c>
      <c r="M201" s="35">
        <f t="shared" si="18"/>
        <v>8988.84</v>
      </c>
      <c r="N201" s="34">
        <v>6.2136752136752141E-2</v>
      </c>
      <c r="O201" s="33">
        <f t="shared" si="19"/>
        <v>111707.46461538463</v>
      </c>
    </row>
    <row r="202" spans="1:15" x14ac:dyDescent="0.25">
      <c r="A202" s="30" t="s">
        <v>728</v>
      </c>
      <c r="B202" s="30">
        <v>30019</v>
      </c>
      <c r="C202" s="32">
        <v>45596</v>
      </c>
      <c r="D202" s="32">
        <v>45713</v>
      </c>
      <c r="E202" s="37">
        <f t="shared" si="15"/>
        <v>117</v>
      </c>
      <c r="F202" s="30" t="s">
        <v>1583</v>
      </c>
      <c r="G202" s="37">
        <v>32</v>
      </c>
      <c r="I202" s="30" t="s">
        <v>727</v>
      </c>
      <c r="J202" s="36">
        <v>9315000</v>
      </c>
      <c r="K202" s="35">
        <f t="shared" si="16"/>
        <v>139725</v>
      </c>
      <c r="L202" s="35">
        <f t="shared" si="17"/>
        <v>1811.2500000000002</v>
      </c>
      <c r="M202" s="35">
        <f t="shared" si="18"/>
        <v>46575</v>
      </c>
      <c r="N202" s="34">
        <v>6.2136752136752141E-2</v>
      </c>
      <c r="O202" s="33">
        <f t="shared" si="19"/>
        <v>578803.84615384624</v>
      </c>
    </row>
    <row r="203" spans="1:15" x14ac:dyDescent="0.25">
      <c r="A203" s="30" t="s">
        <v>728</v>
      </c>
      <c r="B203" s="30">
        <v>30019</v>
      </c>
      <c r="C203" s="32">
        <v>45602</v>
      </c>
      <c r="D203" s="32">
        <v>45674</v>
      </c>
      <c r="E203" s="37">
        <f t="shared" si="15"/>
        <v>72</v>
      </c>
      <c r="F203" s="30" t="s">
        <v>1602</v>
      </c>
      <c r="G203" s="37">
        <v>32</v>
      </c>
      <c r="I203" s="30" t="s">
        <v>1601</v>
      </c>
      <c r="J203" s="36">
        <v>2313720</v>
      </c>
      <c r="K203" s="35">
        <f t="shared" si="16"/>
        <v>34705.799999999996</v>
      </c>
      <c r="L203" s="35">
        <f t="shared" si="17"/>
        <v>449.89000000000004</v>
      </c>
      <c r="M203" s="35">
        <f t="shared" si="18"/>
        <v>11568.6</v>
      </c>
      <c r="N203" s="34">
        <v>0.1009722222222222</v>
      </c>
      <c r="O203" s="33">
        <f t="shared" si="19"/>
        <v>233621.44999999995</v>
      </c>
    </row>
    <row r="204" spans="1:15" x14ac:dyDescent="0.25">
      <c r="A204" s="30" t="s">
        <v>728</v>
      </c>
      <c r="B204" s="30">
        <v>30019</v>
      </c>
      <c r="C204" s="32">
        <v>45602</v>
      </c>
      <c r="D204" s="32">
        <v>45680</v>
      </c>
      <c r="E204" s="37">
        <f t="shared" si="15"/>
        <v>78</v>
      </c>
      <c r="F204" s="30" t="s">
        <v>1592</v>
      </c>
      <c r="G204" s="37">
        <v>32</v>
      </c>
      <c r="I204" s="30" t="s">
        <v>1591</v>
      </c>
      <c r="J204" s="36">
        <v>8405695</v>
      </c>
      <c r="K204" s="35">
        <f t="shared" si="16"/>
        <v>126085.42499999999</v>
      </c>
      <c r="L204" s="35">
        <f t="shared" si="17"/>
        <v>1634.4406944444445</v>
      </c>
      <c r="M204" s="35">
        <f t="shared" si="18"/>
        <v>42028.474999999999</v>
      </c>
      <c r="N204" s="34">
        <v>9.320512820512819E-2</v>
      </c>
      <c r="O204" s="33">
        <f t="shared" si="19"/>
        <v>783453.88012820506</v>
      </c>
    </row>
    <row r="205" spans="1:15" x14ac:dyDescent="0.25">
      <c r="A205" s="30" t="s">
        <v>728</v>
      </c>
      <c r="B205" s="30">
        <v>30019</v>
      </c>
      <c r="C205" s="32">
        <v>45602</v>
      </c>
      <c r="D205" s="32">
        <v>45688</v>
      </c>
      <c r="E205" s="37">
        <f t="shared" si="15"/>
        <v>86</v>
      </c>
      <c r="F205" s="30" t="s">
        <v>1602</v>
      </c>
      <c r="G205" s="37">
        <v>32</v>
      </c>
      <c r="I205" s="30" t="s">
        <v>1601</v>
      </c>
      <c r="J205" s="36">
        <v>22500000</v>
      </c>
      <c r="K205" s="35">
        <f t="shared" si="16"/>
        <v>337500</v>
      </c>
      <c r="L205" s="35">
        <f t="shared" si="17"/>
        <v>4375.0000000000009</v>
      </c>
      <c r="M205" s="35">
        <f t="shared" si="18"/>
        <v>112500</v>
      </c>
      <c r="N205" s="34">
        <v>8.4534883720930237E-2</v>
      </c>
      <c r="O205" s="33">
        <f t="shared" si="19"/>
        <v>1902034.8837209304</v>
      </c>
    </row>
    <row r="206" spans="1:15" x14ac:dyDescent="0.25">
      <c r="A206" s="30" t="s">
        <v>728</v>
      </c>
      <c r="B206" s="30">
        <v>30019</v>
      </c>
      <c r="C206" s="32">
        <v>45602</v>
      </c>
      <c r="D206" s="32">
        <v>45688</v>
      </c>
      <c r="E206" s="37">
        <f t="shared" si="15"/>
        <v>86</v>
      </c>
      <c r="F206" s="30" t="s">
        <v>1607</v>
      </c>
      <c r="G206" s="37">
        <v>32</v>
      </c>
      <c r="I206" s="30" t="s">
        <v>1586</v>
      </c>
      <c r="J206" s="36">
        <v>29111806</v>
      </c>
      <c r="K206" s="35">
        <f t="shared" si="16"/>
        <v>436677.08999999997</v>
      </c>
      <c r="L206" s="35">
        <f t="shared" si="17"/>
        <v>5660.6289444444446</v>
      </c>
      <c r="M206" s="35">
        <f t="shared" si="18"/>
        <v>145559.03</v>
      </c>
      <c r="N206" s="34">
        <v>8.4534883720930237E-2</v>
      </c>
      <c r="O206" s="33">
        <f t="shared" si="19"/>
        <v>2460963.1351162791</v>
      </c>
    </row>
    <row r="207" spans="1:15" x14ac:dyDescent="0.25">
      <c r="A207" s="30" t="s">
        <v>728</v>
      </c>
      <c r="B207" s="30">
        <v>30019</v>
      </c>
      <c r="C207" s="32">
        <v>45602</v>
      </c>
      <c r="D207" s="32">
        <v>45688</v>
      </c>
      <c r="E207" s="37">
        <f t="shared" si="15"/>
        <v>86</v>
      </c>
      <c r="F207" s="30" t="s">
        <v>1607</v>
      </c>
      <c r="G207" s="37">
        <v>32</v>
      </c>
      <c r="I207" s="30" t="s">
        <v>1586</v>
      </c>
      <c r="J207" s="36">
        <v>60547356</v>
      </c>
      <c r="K207" s="35">
        <f t="shared" si="16"/>
        <v>908210.34</v>
      </c>
      <c r="L207" s="35">
        <f t="shared" si="17"/>
        <v>11773.097000000002</v>
      </c>
      <c r="M207" s="35">
        <f t="shared" si="18"/>
        <v>302736.78000000003</v>
      </c>
      <c r="N207" s="34">
        <v>8.4534883720930223E-2</v>
      </c>
      <c r="O207" s="33">
        <f t="shared" si="19"/>
        <v>5118363.6990697673</v>
      </c>
    </row>
    <row r="208" spans="1:15" x14ac:dyDescent="0.25">
      <c r="A208" s="30" t="s">
        <v>728</v>
      </c>
      <c r="B208" s="30">
        <v>30019</v>
      </c>
      <c r="C208" s="32">
        <v>45602</v>
      </c>
      <c r="D208" s="32">
        <v>45694</v>
      </c>
      <c r="E208" s="37">
        <f t="shared" si="15"/>
        <v>92</v>
      </c>
      <c r="F208" s="30" t="s">
        <v>1602</v>
      </c>
      <c r="G208" s="37">
        <v>32</v>
      </c>
      <c r="I208" s="30" t="s">
        <v>1601</v>
      </c>
      <c r="J208" s="36">
        <v>4773280</v>
      </c>
      <c r="K208" s="35">
        <f t="shared" si="16"/>
        <v>71599.199999999997</v>
      </c>
      <c r="L208" s="35">
        <f t="shared" si="17"/>
        <v>928.13777777777784</v>
      </c>
      <c r="M208" s="35">
        <f t="shared" si="18"/>
        <v>23866.400000000001</v>
      </c>
      <c r="N208" s="34">
        <v>7.9021739130434768E-2</v>
      </c>
      <c r="O208" s="33">
        <f t="shared" si="19"/>
        <v>377192.88695652166</v>
      </c>
    </row>
    <row r="209" spans="1:15" x14ac:dyDescent="0.25">
      <c r="A209" s="30" t="s">
        <v>728</v>
      </c>
      <c r="B209" s="30">
        <v>30019</v>
      </c>
      <c r="C209" s="32">
        <v>45602</v>
      </c>
      <c r="D209" s="32">
        <v>45703</v>
      </c>
      <c r="E209" s="37">
        <f t="shared" si="15"/>
        <v>101</v>
      </c>
      <c r="F209" s="30" t="s">
        <v>1617</v>
      </c>
      <c r="G209" s="37">
        <v>32</v>
      </c>
      <c r="H209" s="30" t="s">
        <v>1616</v>
      </c>
      <c r="I209" s="30" t="s">
        <v>1599</v>
      </c>
      <c r="J209" s="36">
        <v>12801708</v>
      </c>
      <c r="K209" s="35">
        <f t="shared" si="16"/>
        <v>192025.62</v>
      </c>
      <c r="L209" s="35">
        <f t="shared" si="17"/>
        <v>2489.221</v>
      </c>
      <c r="M209" s="35">
        <f t="shared" si="18"/>
        <v>64008.54</v>
      </c>
      <c r="N209" s="34">
        <v>7.1980198019801989E-2</v>
      </c>
      <c r="O209" s="33">
        <f t="shared" si="19"/>
        <v>921469.47683168331</v>
      </c>
    </row>
    <row r="210" spans="1:15" x14ac:dyDescent="0.25">
      <c r="A210" s="30" t="s">
        <v>728</v>
      </c>
      <c r="B210" s="30">
        <v>30019</v>
      </c>
      <c r="C210" s="32">
        <v>45602</v>
      </c>
      <c r="D210" s="32">
        <v>45703</v>
      </c>
      <c r="E210" s="37">
        <f t="shared" si="15"/>
        <v>101</v>
      </c>
      <c r="F210" s="30" t="s">
        <v>1617</v>
      </c>
      <c r="G210" s="37">
        <v>32</v>
      </c>
      <c r="H210" s="30" t="s">
        <v>1616</v>
      </c>
      <c r="I210" s="30" t="s">
        <v>1599</v>
      </c>
      <c r="J210" s="36">
        <v>13251781</v>
      </c>
      <c r="K210" s="35">
        <f t="shared" si="16"/>
        <v>198776.715</v>
      </c>
      <c r="L210" s="35">
        <f t="shared" si="17"/>
        <v>2576.7351944444445</v>
      </c>
      <c r="M210" s="35">
        <f t="shared" si="18"/>
        <v>66258.904999999999</v>
      </c>
      <c r="N210" s="34">
        <v>7.1980198019801961E-2</v>
      </c>
      <c r="O210" s="33">
        <f t="shared" si="19"/>
        <v>953865.82049504924</v>
      </c>
    </row>
    <row r="211" spans="1:15" x14ac:dyDescent="0.25">
      <c r="A211" s="30" t="s">
        <v>728</v>
      </c>
      <c r="B211" s="30">
        <v>30019</v>
      </c>
      <c r="C211" s="32">
        <v>45602</v>
      </c>
      <c r="D211" s="32">
        <v>45703</v>
      </c>
      <c r="E211" s="37">
        <f t="shared" si="15"/>
        <v>101</v>
      </c>
      <c r="F211" s="30" t="s">
        <v>1617</v>
      </c>
      <c r="G211" s="37">
        <v>32</v>
      </c>
      <c r="H211" s="30" t="s">
        <v>1616</v>
      </c>
      <c r="I211" s="30" t="s">
        <v>1599</v>
      </c>
      <c r="J211" s="36">
        <v>20078862</v>
      </c>
      <c r="K211" s="35">
        <f t="shared" si="16"/>
        <v>301182.93</v>
      </c>
      <c r="L211" s="35">
        <f t="shared" si="17"/>
        <v>3904.2231666666671</v>
      </c>
      <c r="M211" s="35">
        <f t="shared" si="18"/>
        <v>100394.31</v>
      </c>
      <c r="N211" s="34">
        <v>7.1980198019801989E-2</v>
      </c>
      <c r="O211" s="33">
        <f t="shared" si="19"/>
        <v>1445280.4627722774</v>
      </c>
    </row>
    <row r="212" spans="1:15" x14ac:dyDescent="0.25">
      <c r="A212" s="30" t="s">
        <v>728</v>
      </c>
      <c r="B212" s="30">
        <v>30019</v>
      </c>
      <c r="C212" s="32">
        <v>45602</v>
      </c>
      <c r="D212" s="32">
        <v>45716</v>
      </c>
      <c r="E212" s="37">
        <f t="shared" si="15"/>
        <v>114</v>
      </c>
      <c r="F212" s="30" t="s">
        <v>1600</v>
      </c>
      <c r="G212" s="37">
        <v>32</v>
      </c>
      <c r="I212" s="30" t="s">
        <v>1599</v>
      </c>
      <c r="J212" s="36">
        <v>40209332</v>
      </c>
      <c r="K212" s="35">
        <f t="shared" si="16"/>
        <v>603139.98</v>
      </c>
      <c r="L212" s="35">
        <f t="shared" si="17"/>
        <v>7818.4812222222226</v>
      </c>
      <c r="M212" s="35">
        <f t="shared" si="18"/>
        <v>201046.66</v>
      </c>
      <c r="N212" s="34">
        <v>6.377192982456141E-2</v>
      </c>
      <c r="O212" s="33">
        <f t="shared" si="19"/>
        <v>2564226.6985964915</v>
      </c>
    </row>
    <row r="213" spans="1:15" x14ac:dyDescent="0.25">
      <c r="A213" s="30" t="s">
        <v>728</v>
      </c>
      <c r="B213" s="30">
        <v>30019</v>
      </c>
      <c r="C213" s="32">
        <v>45602</v>
      </c>
      <c r="D213" s="32">
        <v>45750</v>
      </c>
      <c r="E213" s="37">
        <f t="shared" si="15"/>
        <v>148</v>
      </c>
      <c r="F213" s="30" t="s">
        <v>1615</v>
      </c>
      <c r="G213" s="37">
        <v>31</v>
      </c>
      <c r="H213" s="30" t="s">
        <v>1614</v>
      </c>
      <c r="I213" s="30" t="s">
        <v>1613</v>
      </c>
      <c r="J213" s="36">
        <v>1889534</v>
      </c>
      <c r="K213" s="35">
        <f t="shared" si="16"/>
        <v>28343.01</v>
      </c>
      <c r="L213" s="35">
        <f t="shared" si="17"/>
        <v>367.40938888888888</v>
      </c>
      <c r="M213" s="35">
        <f t="shared" si="18"/>
        <v>9447.67</v>
      </c>
      <c r="N213" s="34">
        <v>4.9121621621621626E-2</v>
      </c>
      <c r="O213" s="33">
        <f t="shared" si="19"/>
        <v>92816.974189189204</v>
      </c>
    </row>
    <row r="214" spans="1:15" x14ac:dyDescent="0.25">
      <c r="A214" s="30" t="s">
        <v>728</v>
      </c>
      <c r="B214" s="30">
        <v>30019</v>
      </c>
      <c r="C214" s="32">
        <v>45604</v>
      </c>
      <c r="D214" s="32">
        <v>45674</v>
      </c>
      <c r="E214" s="37">
        <f t="shared" si="15"/>
        <v>70</v>
      </c>
      <c r="F214" s="30" t="s">
        <v>1602</v>
      </c>
      <c r="G214" s="37">
        <v>32</v>
      </c>
      <c r="I214" s="30" t="s">
        <v>1601</v>
      </c>
      <c r="J214" s="36">
        <v>96750</v>
      </c>
      <c r="K214" s="35">
        <f t="shared" si="16"/>
        <v>1451.25</v>
      </c>
      <c r="L214" s="35">
        <f t="shared" si="17"/>
        <v>18.812500000000004</v>
      </c>
      <c r="M214" s="35">
        <f t="shared" si="18"/>
        <v>483.75</v>
      </c>
      <c r="N214" s="34">
        <v>0.10385714285714287</v>
      </c>
      <c r="O214" s="33">
        <f t="shared" si="19"/>
        <v>10048.178571428572</v>
      </c>
    </row>
    <row r="215" spans="1:15" x14ac:dyDescent="0.25">
      <c r="A215" s="30" t="s">
        <v>728</v>
      </c>
      <c r="B215" s="30">
        <v>30019</v>
      </c>
      <c r="C215" s="32">
        <v>45604</v>
      </c>
      <c r="D215" s="32">
        <v>45674</v>
      </c>
      <c r="E215" s="37">
        <f t="shared" si="15"/>
        <v>70</v>
      </c>
      <c r="F215" s="30" t="s">
        <v>1602</v>
      </c>
      <c r="G215" s="37">
        <v>32</v>
      </c>
      <c r="I215" s="30" t="s">
        <v>1601</v>
      </c>
      <c r="J215" s="36">
        <v>147600</v>
      </c>
      <c r="K215" s="35">
        <f t="shared" si="16"/>
        <v>2214</v>
      </c>
      <c r="L215" s="35">
        <f t="shared" si="17"/>
        <v>28.700000000000006</v>
      </c>
      <c r="M215" s="35">
        <f t="shared" si="18"/>
        <v>738</v>
      </c>
      <c r="N215" s="34">
        <v>0.10385714285714284</v>
      </c>
      <c r="O215" s="33">
        <f t="shared" si="19"/>
        <v>15329.314285714283</v>
      </c>
    </row>
    <row r="216" spans="1:15" x14ac:dyDescent="0.25">
      <c r="A216" s="30" t="s">
        <v>728</v>
      </c>
      <c r="B216" s="30">
        <v>30019</v>
      </c>
      <c r="C216" s="32">
        <v>45604</v>
      </c>
      <c r="D216" s="32">
        <v>45674</v>
      </c>
      <c r="E216" s="37">
        <f t="shared" si="15"/>
        <v>70</v>
      </c>
      <c r="F216" s="30" t="s">
        <v>1602</v>
      </c>
      <c r="G216" s="37">
        <v>32</v>
      </c>
      <c r="I216" s="30" t="s">
        <v>1601</v>
      </c>
      <c r="J216" s="36">
        <v>221400</v>
      </c>
      <c r="K216" s="35">
        <f t="shared" si="16"/>
        <v>3321</v>
      </c>
      <c r="L216" s="35">
        <f t="shared" si="17"/>
        <v>43.050000000000004</v>
      </c>
      <c r="M216" s="35">
        <f t="shared" si="18"/>
        <v>1107</v>
      </c>
      <c r="N216" s="34">
        <v>0.10385714285714287</v>
      </c>
      <c r="O216" s="33">
        <f t="shared" si="19"/>
        <v>22993.971428571433</v>
      </c>
    </row>
    <row r="217" spans="1:15" x14ac:dyDescent="0.25">
      <c r="A217" s="30" t="s">
        <v>728</v>
      </c>
      <c r="B217" s="30">
        <v>30019</v>
      </c>
      <c r="C217" s="32">
        <v>45604</v>
      </c>
      <c r="D217" s="32">
        <v>45674</v>
      </c>
      <c r="E217" s="37">
        <f t="shared" si="15"/>
        <v>70</v>
      </c>
      <c r="F217" s="30" t="s">
        <v>1602</v>
      </c>
      <c r="G217" s="37">
        <v>32</v>
      </c>
      <c r="I217" s="30" t="s">
        <v>1601</v>
      </c>
      <c r="J217" s="36">
        <v>258300</v>
      </c>
      <c r="K217" s="35">
        <f t="shared" si="16"/>
        <v>3874.5</v>
      </c>
      <c r="L217" s="35">
        <f t="shared" si="17"/>
        <v>50.225000000000001</v>
      </c>
      <c r="M217" s="35">
        <f t="shared" si="18"/>
        <v>1291.5</v>
      </c>
      <c r="N217" s="34">
        <v>0.10385714285714287</v>
      </c>
      <c r="O217" s="33">
        <f t="shared" si="19"/>
        <v>26826.300000000003</v>
      </c>
    </row>
    <row r="218" spans="1:15" x14ac:dyDescent="0.25">
      <c r="A218" s="30" t="s">
        <v>728</v>
      </c>
      <c r="B218" s="30">
        <v>30019</v>
      </c>
      <c r="C218" s="32">
        <v>45604</v>
      </c>
      <c r="D218" s="32">
        <v>45674</v>
      </c>
      <c r="E218" s="37">
        <f t="shared" si="15"/>
        <v>70</v>
      </c>
      <c r="F218" s="30" t="s">
        <v>1602</v>
      </c>
      <c r="G218" s="37">
        <v>32</v>
      </c>
      <c r="I218" s="30" t="s">
        <v>1601</v>
      </c>
      <c r="J218" s="36">
        <v>282299</v>
      </c>
      <c r="K218" s="35">
        <f t="shared" si="16"/>
        <v>4234.4849999999997</v>
      </c>
      <c r="L218" s="35">
        <f t="shared" si="17"/>
        <v>54.89147222222222</v>
      </c>
      <c r="M218" s="35">
        <f t="shared" si="18"/>
        <v>1411.4950000000001</v>
      </c>
      <c r="N218" s="34">
        <v>0.10385714285714287</v>
      </c>
      <c r="O218" s="33">
        <f t="shared" si="19"/>
        <v>29318.767571428576</v>
      </c>
    </row>
    <row r="219" spans="1:15" x14ac:dyDescent="0.25">
      <c r="A219" s="30" t="s">
        <v>728</v>
      </c>
      <c r="B219" s="30">
        <v>30019</v>
      </c>
      <c r="C219" s="32">
        <v>45604</v>
      </c>
      <c r="D219" s="32">
        <v>45674</v>
      </c>
      <c r="E219" s="37">
        <f t="shared" si="15"/>
        <v>70</v>
      </c>
      <c r="F219" s="30" t="s">
        <v>1602</v>
      </c>
      <c r="G219" s="37">
        <v>32</v>
      </c>
      <c r="I219" s="30" t="s">
        <v>1601</v>
      </c>
      <c r="J219" s="36">
        <v>345060</v>
      </c>
      <c r="K219" s="35">
        <f t="shared" si="16"/>
        <v>5175.8999999999996</v>
      </c>
      <c r="L219" s="35">
        <f t="shared" si="17"/>
        <v>67.094999999999999</v>
      </c>
      <c r="M219" s="35">
        <f t="shared" si="18"/>
        <v>1725.3</v>
      </c>
      <c r="N219" s="34">
        <v>0.10385714285714287</v>
      </c>
      <c r="O219" s="33">
        <f t="shared" si="19"/>
        <v>35836.945714285721</v>
      </c>
    </row>
    <row r="220" spans="1:15" x14ac:dyDescent="0.25">
      <c r="A220" s="30" t="s">
        <v>728</v>
      </c>
      <c r="B220" s="30">
        <v>30019</v>
      </c>
      <c r="C220" s="32">
        <v>45604</v>
      </c>
      <c r="D220" s="32">
        <v>45674</v>
      </c>
      <c r="E220" s="37">
        <f t="shared" si="15"/>
        <v>70</v>
      </c>
      <c r="F220" s="30" t="s">
        <v>1602</v>
      </c>
      <c r="G220" s="37">
        <v>32</v>
      </c>
      <c r="I220" s="30" t="s">
        <v>1601</v>
      </c>
      <c r="J220" s="36">
        <v>442800</v>
      </c>
      <c r="K220" s="35">
        <f t="shared" si="16"/>
        <v>6642</v>
      </c>
      <c r="L220" s="35">
        <f t="shared" si="17"/>
        <v>86.100000000000009</v>
      </c>
      <c r="M220" s="35">
        <f t="shared" si="18"/>
        <v>2214</v>
      </c>
      <c r="N220" s="34">
        <v>0.10385714285714287</v>
      </c>
      <c r="O220" s="33">
        <f t="shared" si="19"/>
        <v>45987.942857142865</v>
      </c>
    </row>
    <row r="221" spans="1:15" x14ac:dyDescent="0.25">
      <c r="A221" s="30" t="s">
        <v>728</v>
      </c>
      <c r="B221" s="30">
        <v>30019</v>
      </c>
      <c r="C221" s="32">
        <v>45604</v>
      </c>
      <c r="D221" s="32">
        <v>45674</v>
      </c>
      <c r="E221" s="37">
        <f t="shared" si="15"/>
        <v>70</v>
      </c>
      <c r="F221" s="30" t="s">
        <v>1602</v>
      </c>
      <c r="G221" s="37">
        <v>32</v>
      </c>
      <c r="I221" s="30" t="s">
        <v>1601</v>
      </c>
      <c r="J221" s="36">
        <v>601920</v>
      </c>
      <c r="K221" s="35">
        <f t="shared" si="16"/>
        <v>9028.7999999999993</v>
      </c>
      <c r="L221" s="35">
        <f t="shared" si="17"/>
        <v>117.04</v>
      </c>
      <c r="M221" s="35">
        <f t="shared" si="18"/>
        <v>3009.6</v>
      </c>
      <c r="N221" s="34">
        <v>0.10385714285714287</v>
      </c>
      <c r="O221" s="33">
        <f t="shared" si="19"/>
        <v>62513.691428571437</v>
      </c>
    </row>
    <row r="222" spans="1:15" x14ac:dyDescent="0.25">
      <c r="A222" s="30" t="s">
        <v>728</v>
      </c>
      <c r="B222" s="30">
        <v>30019</v>
      </c>
      <c r="C222" s="32">
        <v>45604</v>
      </c>
      <c r="D222" s="32">
        <v>45674</v>
      </c>
      <c r="E222" s="37">
        <f t="shared" si="15"/>
        <v>70</v>
      </c>
      <c r="F222" s="30" t="s">
        <v>1602</v>
      </c>
      <c r="G222" s="37">
        <v>32</v>
      </c>
      <c r="I222" s="30" t="s">
        <v>1601</v>
      </c>
      <c r="J222" s="36">
        <v>640350</v>
      </c>
      <c r="K222" s="35">
        <f t="shared" si="16"/>
        <v>9605.25</v>
      </c>
      <c r="L222" s="35">
        <f t="shared" si="17"/>
        <v>124.51250000000002</v>
      </c>
      <c r="M222" s="35">
        <f t="shared" si="18"/>
        <v>3201.75</v>
      </c>
      <c r="N222" s="34">
        <v>0.10385714285714287</v>
      </c>
      <c r="O222" s="33">
        <f t="shared" si="19"/>
        <v>66504.921428571441</v>
      </c>
    </row>
    <row r="223" spans="1:15" x14ac:dyDescent="0.25">
      <c r="A223" s="30" t="s">
        <v>728</v>
      </c>
      <c r="B223" s="30">
        <v>30019</v>
      </c>
      <c r="C223" s="32">
        <v>45604</v>
      </c>
      <c r="D223" s="32">
        <v>45674</v>
      </c>
      <c r="E223" s="37">
        <f t="shared" si="15"/>
        <v>70</v>
      </c>
      <c r="F223" s="30" t="s">
        <v>1602</v>
      </c>
      <c r="G223" s="37">
        <v>32</v>
      </c>
      <c r="I223" s="30" t="s">
        <v>1601</v>
      </c>
      <c r="J223" s="36">
        <v>752400</v>
      </c>
      <c r="K223" s="35">
        <f t="shared" si="16"/>
        <v>11286</v>
      </c>
      <c r="L223" s="35">
        <f t="shared" si="17"/>
        <v>146.30000000000001</v>
      </c>
      <c r="M223" s="35">
        <f t="shared" si="18"/>
        <v>3762</v>
      </c>
      <c r="N223" s="34">
        <v>0.10385714285714284</v>
      </c>
      <c r="O223" s="33">
        <f t="shared" si="19"/>
        <v>78142.114285714269</v>
      </c>
    </row>
    <row r="224" spans="1:15" x14ac:dyDescent="0.25">
      <c r="A224" s="30" t="s">
        <v>728</v>
      </c>
      <c r="B224" s="30">
        <v>30019</v>
      </c>
      <c r="C224" s="32">
        <v>45604</v>
      </c>
      <c r="D224" s="32">
        <v>45674</v>
      </c>
      <c r="E224" s="37">
        <f t="shared" si="15"/>
        <v>70</v>
      </c>
      <c r="F224" s="30" t="s">
        <v>1602</v>
      </c>
      <c r="G224" s="37">
        <v>32</v>
      </c>
      <c r="I224" s="30" t="s">
        <v>1601</v>
      </c>
      <c r="J224" s="36">
        <v>1217700</v>
      </c>
      <c r="K224" s="35">
        <f t="shared" si="16"/>
        <v>18265.5</v>
      </c>
      <c r="L224" s="35">
        <f t="shared" si="17"/>
        <v>236.77500000000003</v>
      </c>
      <c r="M224" s="35">
        <f t="shared" si="18"/>
        <v>6088.5</v>
      </c>
      <c r="N224" s="34">
        <v>0.10385714285714287</v>
      </c>
      <c r="O224" s="33">
        <f t="shared" si="19"/>
        <v>126466.84285714287</v>
      </c>
    </row>
    <row r="225" spans="1:15" x14ac:dyDescent="0.25">
      <c r="A225" s="30" t="s">
        <v>728</v>
      </c>
      <c r="B225" s="30">
        <v>30019</v>
      </c>
      <c r="C225" s="32">
        <v>45604</v>
      </c>
      <c r="D225" s="32">
        <v>45674</v>
      </c>
      <c r="E225" s="37">
        <f t="shared" si="15"/>
        <v>70</v>
      </c>
      <c r="F225" s="30" t="s">
        <v>1602</v>
      </c>
      <c r="G225" s="37">
        <v>32</v>
      </c>
      <c r="I225" s="30" t="s">
        <v>1601</v>
      </c>
      <c r="J225" s="36">
        <v>3037500</v>
      </c>
      <c r="K225" s="35">
        <f t="shared" si="16"/>
        <v>45562.5</v>
      </c>
      <c r="L225" s="35">
        <f t="shared" si="17"/>
        <v>590.62500000000011</v>
      </c>
      <c r="M225" s="35">
        <f t="shared" si="18"/>
        <v>15187.5</v>
      </c>
      <c r="N225" s="34">
        <v>0.10385714285714287</v>
      </c>
      <c r="O225" s="33">
        <f t="shared" si="19"/>
        <v>315466.07142857148</v>
      </c>
    </row>
    <row r="226" spans="1:15" x14ac:dyDescent="0.25">
      <c r="A226" s="30" t="s">
        <v>728</v>
      </c>
      <c r="B226" s="30">
        <v>30019</v>
      </c>
      <c r="C226" s="32">
        <v>45607</v>
      </c>
      <c r="D226" s="32">
        <v>45674</v>
      </c>
      <c r="E226" s="37">
        <f t="shared" si="15"/>
        <v>67</v>
      </c>
      <c r="F226" s="30" t="s">
        <v>1602</v>
      </c>
      <c r="G226" s="37">
        <v>32</v>
      </c>
      <c r="I226" s="30" t="s">
        <v>1601</v>
      </c>
      <c r="J226" s="36">
        <v>135000</v>
      </c>
      <c r="K226" s="35">
        <f t="shared" si="16"/>
        <v>2025</v>
      </c>
      <c r="L226" s="35">
        <f t="shared" si="17"/>
        <v>26.25</v>
      </c>
      <c r="M226" s="35">
        <f t="shared" si="18"/>
        <v>675</v>
      </c>
      <c r="N226" s="34">
        <v>0.10850746268656718</v>
      </c>
      <c r="O226" s="33">
        <f t="shared" si="19"/>
        <v>14648.507462686568</v>
      </c>
    </row>
    <row r="227" spans="1:15" x14ac:dyDescent="0.25">
      <c r="A227" s="30" t="s">
        <v>728</v>
      </c>
      <c r="B227" s="30">
        <v>30019</v>
      </c>
      <c r="C227" s="32">
        <v>45607</v>
      </c>
      <c r="D227" s="32">
        <v>45674</v>
      </c>
      <c r="E227" s="37">
        <f t="shared" si="15"/>
        <v>67</v>
      </c>
      <c r="F227" s="30" t="s">
        <v>1602</v>
      </c>
      <c r="G227" s="37">
        <v>32</v>
      </c>
      <c r="I227" s="30" t="s">
        <v>1601</v>
      </c>
      <c r="J227" s="36">
        <v>225000</v>
      </c>
      <c r="K227" s="35">
        <f t="shared" si="16"/>
        <v>3375</v>
      </c>
      <c r="L227" s="35">
        <f t="shared" si="17"/>
        <v>43.750000000000007</v>
      </c>
      <c r="M227" s="35">
        <f t="shared" si="18"/>
        <v>1125</v>
      </c>
      <c r="N227" s="34">
        <v>0.10850746268656718</v>
      </c>
      <c r="O227" s="33">
        <f t="shared" si="19"/>
        <v>24414.179104477615</v>
      </c>
    </row>
    <row r="228" spans="1:15" x14ac:dyDescent="0.25">
      <c r="A228" s="30" t="s">
        <v>728</v>
      </c>
      <c r="B228" s="30">
        <v>30019</v>
      </c>
      <c r="C228" s="32">
        <v>45607</v>
      </c>
      <c r="D228" s="32">
        <v>45674</v>
      </c>
      <c r="E228" s="37">
        <f t="shared" si="15"/>
        <v>67</v>
      </c>
      <c r="F228" s="30" t="s">
        <v>1602</v>
      </c>
      <c r="G228" s="37">
        <v>32</v>
      </c>
      <c r="I228" s="30" t="s">
        <v>1601</v>
      </c>
      <c r="J228" s="36">
        <v>553500</v>
      </c>
      <c r="K228" s="35">
        <f t="shared" si="16"/>
        <v>8302.5</v>
      </c>
      <c r="L228" s="35">
        <f t="shared" si="17"/>
        <v>107.62500000000001</v>
      </c>
      <c r="M228" s="35">
        <f t="shared" si="18"/>
        <v>2767.5</v>
      </c>
      <c r="N228" s="34">
        <v>0.10850746268656718</v>
      </c>
      <c r="O228" s="33">
        <f t="shared" si="19"/>
        <v>60058.880597014933</v>
      </c>
    </row>
    <row r="229" spans="1:15" x14ac:dyDescent="0.25">
      <c r="A229" s="30" t="s">
        <v>728</v>
      </c>
      <c r="B229" s="30">
        <v>30019</v>
      </c>
      <c r="C229" s="32">
        <v>45607</v>
      </c>
      <c r="D229" s="32">
        <v>45674</v>
      </c>
      <c r="E229" s="37">
        <f t="shared" si="15"/>
        <v>67</v>
      </c>
      <c r="F229" s="30" t="s">
        <v>1602</v>
      </c>
      <c r="G229" s="37">
        <v>32</v>
      </c>
      <c r="I229" s="30" t="s">
        <v>1601</v>
      </c>
      <c r="J229" s="36">
        <v>627300</v>
      </c>
      <c r="K229" s="35">
        <f t="shared" si="16"/>
        <v>9409.5</v>
      </c>
      <c r="L229" s="35">
        <f t="shared" si="17"/>
        <v>121.97500000000002</v>
      </c>
      <c r="M229" s="35">
        <f t="shared" si="18"/>
        <v>3136.5</v>
      </c>
      <c r="N229" s="34">
        <v>0.10850746268656718</v>
      </c>
      <c r="O229" s="33">
        <f t="shared" si="19"/>
        <v>68066.731343283594</v>
      </c>
    </row>
    <row r="230" spans="1:15" x14ac:dyDescent="0.25">
      <c r="A230" s="30" t="s">
        <v>728</v>
      </c>
      <c r="B230" s="30">
        <v>30019</v>
      </c>
      <c r="C230" s="32">
        <v>45607</v>
      </c>
      <c r="D230" s="32">
        <v>45675</v>
      </c>
      <c r="E230" s="37">
        <f t="shared" si="15"/>
        <v>68</v>
      </c>
      <c r="F230" s="30" t="s">
        <v>1592</v>
      </c>
      <c r="G230" s="37">
        <v>32</v>
      </c>
      <c r="I230" s="30" t="s">
        <v>1591</v>
      </c>
      <c r="J230" s="36">
        <v>1029436</v>
      </c>
      <c r="K230" s="35">
        <f t="shared" si="16"/>
        <v>15441.539999999999</v>
      </c>
      <c r="L230" s="35">
        <f t="shared" si="17"/>
        <v>200.16811111111113</v>
      </c>
      <c r="M230" s="35">
        <f t="shared" si="18"/>
        <v>5147.18</v>
      </c>
      <c r="N230" s="34">
        <v>0.10691176470588236</v>
      </c>
      <c r="O230" s="33">
        <f t="shared" si="19"/>
        <v>110058.81941176471</v>
      </c>
    </row>
    <row r="231" spans="1:15" x14ac:dyDescent="0.25">
      <c r="A231" s="30" t="s">
        <v>728</v>
      </c>
      <c r="B231" s="30">
        <v>30019</v>
      </c>
      <c r="C231" s="32">
        <v>45607</v>
      </c>
      <c r="D231" s="32">
        <v>45688</v>
      </c>
      <c r="E231" s="37">
        <f t="shared" si="15"/>
        <v>81</v>
      </c>
      <c r="F231" s="30" t="s">
        <v>1608</v>
      </c>
      <c r="G231" s="37">
        <v>32</v>
      </c>
      <c r="H231" s="30" t="s">
        <v>784</v>
      </c>
      <c r="I231" s="30" t="s">
        <v>730</v>
      </c>
      <c r="J231" s="36">
        <v>14212800</v>
      </c>
      <c r="K231" s="35">
        <f t="shared" si="16"/>
        <v>213192</v>
      </c>
      <c r="L231" s="35">
        <f t="shared" si="17"/>
        <v>2763.6000000000004</v>
      </c>
      <c r="M231" s="35">
        <f t="shared" si="18"/>
        <v>71064</v>
      </c>
      <c r="N231" s="34">
        <v>8.9753086419753075E-2</v>
      </c>
      <c r="O231" s="33">
        <f t="shared" si="19"/>
        <v>1275642.6666666665</v>
      </c>
    </row>
    <row r="232" spans="1:15" x14ac:dyDescent="0.25">
      <c r="A232" s="30" t="s">
        <v>728</v>
      </c>
      <c r="B232" s="30">
        <v>30019</v>
      </c>
      <c r="C232" s="32">
        <v>45607</v>
      </c>
      <c r="D232" s="32">
        <v>45692</v>
      </c>
      <c r="E232" s="37">
        <f t="shared" si="15"/>
        <v>85</v>
      </c>
      <c r="F232" s="30" t="s">
        <v>1583</v>
      </c>
      <c r="G232" s="37">
        <v>32</v>
      </c>
      <c r="I232" s="30" t="s">
        <v>727</v>
      </c>
      <c r="J232" s="36">
        <v>1011245</v>
      </c>
      <c r="K232" s="35">
        <f t="shared" si="16"/>
        <v>15168.674999999999</v>
      </c>
      <c r="L232" s="35">
        <f t="shared" si="17"/>
        <v>196.63097222222225</v>
      </c>
      <c r="M232" s="35">
        <f t="shared" si="18"/>
        <v>5056.2250000000004</v>
      </c>
      <c r="N232" s="34">
        <v>8.5529411764705882E-2</v>
      </c>
      <c r="O232" s="33">
        <f t="shared" si="19"/>
        <v>86491.19</v>
      </c>
    </row>
    <row r="233" spans="1:15" x14ac:dyDescent="0.25">
      <c r="A233" s="30" t="s">
        <v>728</v>
      </c>
      <c r="B233" s="30">
        <v>30019</v>
      </c>
      <c r="C233" s="32">
        <v>45610</v>
      </c>
      <c r="D233" s="32">
        <v>45657</v>
      </c>
      <c r="E233" s="37">
        <f t="shared" si="15"/>
        <v>47</v>
      </c>
      <c r="F233" s="30" t="s">
        <v>1612</v>
      </c>
      <c r="G233" s="37">
        <v>32</v>
      </c>
      <c r="I233" s="30" t="s">
        <v>740</v>
      </c>
      <c r="J233" s="36">
        <v>76073</v>
      </c>
      <c r="K233" s="35">
        <f t="shared" si="16"/>
        <v>1141.095</v>
      </c>
      <c r="L233" s="35">
        <f t="shared" si="17"/>
        <v>14.791972222222224</v>
      </c>
      <c r="M233" s="35">
        <f t="shared" si="18"/>
        <v>380.36500000000001</v>
      </c>
      <c r="N233" s="34">
        <v>0.15468085106382981</v>
      </c>
      <c r="O233" s="33">
        <f t="shared" si="19"/>
        <v>11767.036382978726</v>
      </c>
    </row>
    <row r="234" spans="1:15" x14ac:dyDescent="0.25">
      <c r="A234" s="30" t="s">
        <v>728</v>
      </c>
      <c r="B234" s="30">
        <v>30019</v>
      </c>
      <c r="C234" s="32">
        <v>45610</v>
      </c>
      <c r="D234" s="32">
        <v>45657</v>
      </c>
      <c r="E234" s="37">
        <f t="shared" si="15"/>
        <v>47</v>
      </c>
      <c r="F234" s="30" t="s">
        <v>1612</v>
      </c>
      <c r="G234" s="37">
        <v>32</v>
      </c>
      <c r="I234" s="30" t="s">
        <v>740</v>
      </c>
      <c r="J234" s="36">
        <v>2001382</v>
      </c>
      <c r="K234" s="35">
        <f t="shared" si="16"/>
        <v>30020.73</v>
      </c>
      <c r="L234" s="35">
        <f t="shared" si="17"/>
        <v>389.15761111111118</v>
      </c>
      <c r="M234" s="35">
        <f t="shared" si="18"/>
        <v>10006.91</v>
      </c>
      <c r="N234" s="34">
        <v>0.15468085106382976</v>
      </c>
      <c r="O234" s="33">
        <f t="shared" si="19"/>
        <v>309575.47106382973</v>
      </c>
    </row>
    <row r="235" spans="1:15" x14ac:dyDescent="0.25">
      <c r="A235" s="30" t="s">
        <v>728</v>
      </c>
      <c r="B235" s="30">
        <v>30019</v>
      </c>
      <c r="C235" s="32">
        <v>45610</v>
      </c>
      <c r="D235" s="32">
        <v>45657</v>
      </c>
      <c r="E235" s="37">
        <f t="shared" si="15"/>
        <v>47</v>
      </c>
      <c r="F235" s="30" t="s">
        <v>1612</v>
      </c>
      <c r="G235" s="37">
        <v>32</v>
      </c>
      <c r="I235" s="30" t="s">
        <v>740</v>
      </c>
      <c r="J235" s="36">
        <v>7857287</v>
      </c>
      <c r="K235" s="35">
        <f t="shared" si="16"/>
        <v>117859.30499999999</v>
      </c>
      <c r="L235" s="35">
        <f t="shared" si="17"/>
        <v>1527.8058055555557</v>
      </c>
      <c r="M235" s="35">
        <f t="shared" si="18"/>
        <v>39286.434999999998</v>
      </c>
      <c r="N235" s="34">
        <v>0.15468085106382976</v>
      </c>
      <c r="O235" s="33">
        <f t="shared" si="19"/>
        <v>1215371.8402127656</v>
      </c>
    </row>
    <row r="236" spans="1:15" x14ac:dyDescent="0.25">
      <c r="A236" s="30" t="s">
        <v>728</v>
      </c>
      <c r="B236" s="30">
        <v>30019</v>
      </c>
      <c r="C236" s="32">
        <v>45610</v>
      </c>
      <c r="D236" s="32">
        <v>45679</v>
      </c>
      <c r="E236" s="37">
        <f t="shared" si="15"/>
        <v>69</v>
      </c>
      <c r="F236" s="30" t="s">
        <v>1604</v>
      </c>
      <c r="G236" s="37">
        <v>32</v>
      </c>
      <c r="I236" s="30" t="s">
        <v>1603</v>
      </c>
      <c r="J236" s="36">
        <v>2116418</v>
      </c>
      <c r="K236" s="35">
        <f t="shared" si="16"/>
        <v>31746.27</v>
      </c>
      <c r="L236" s="35">
        <f t="shared" si="17"/>
        <v>411.52572222222227</v>
      </c>
      <c r="M236" s="35">
        <f t="shared" si="18"/>
        <v>10582.09</v>
      </c>
      <c r="N236" s="34">
        <v>0.10536231884057971</v>
      </c>
      <c r="O236" s="33">
        <f t="shared" si="19"/>
        <v>222990.70811594205</v>
      </c>
    </row>
    <row r="237" spans="1:15" x14ac:dyDescent="0.25">
      <c r="A237" s="30" t="s">
        <v>728</v>
      </c>
      <c r="B237" s="30">
        <v>30019</v>
      </c>
      <c r="C237" s="32">
        <v>45610</v>
      </c>
      <c r="D237" s="32">
        <v>45679</v>
      </c>
      <c r="E237" s="37">
        <f t="shared" si="15"/>
        <v>69</v>
      </c>
      <c r="F237" s="30" t="s">
        <v>1604</v>
      </c>
      <c r="G237" s="37">
        <v>32</v>
      </c>
      <c r="I237" s="30" t="s">
        <v>1603</v>
      </c>
      <c r="J237" s="36">
        <v>2223293</v>
      </c>
      <c r="K237" s="35">
        <f t="shared" si="16"/>
        <v>33349.394999999997</v>
      </c>
      <c r="L237" s="35">
        <f t="shared" si="17"/>
        <v>432.30697222222227</v>
      </c>
      <c r="M237" s="35">
        <f t="shared" si="18"/>
        <v>11116.465</v>
      </c>
      <c r="N237" s="34">
        <v>0.10536231884057969</v>
      </c>
      <c r="O237" s="33">
        <f t="shared" si="19"/>
        <v>234251.30594202894</v>
      </c>
    </row>
    <row r="238" spans="1:15" x14ac:dyDescent="0.25">
      <c r="A238" s="30" t="s">
        <v>728</v>
      </c>
      <c r="B238" s="30">
        <v>30019</v>
      </c>
      <c r="C238" s="32">
        <v>45610</v>
      </c>
      <c r="D238" s="32">
        <v>45688</v>
      </c>
      <c r="E238" s="37">
        <f t="shared" si="15"/>
        <v>78</v>
      </c>
      <c r="F238" s="30" t="s">
        <v>1605</v>
      </c>
      <c r="G238" s="37">
        <v>32</v>
      </c>
      <c r="H238" s="30" t="s">
        <v>784</v>
      </c>
      <c r="I238" s="30" t="s">
        <v>1586</v>
      </c>
      <c r="J238" s="36">
        <v>3906000</v>
      </c>
      <c r="K238" s="35">
        <f t="shared" si="16"/>
        <v>58590</v>
      </c>
      <c r="L238" s="35">
        <f t="shared" si="17"/>
        <v>759.5</v>
      </c>
      <c r="M238" s="35">
        <f t="shared" si="18"/>
        <v>19530</v>
      </c>
      <c r="N238" s="34">
        <v>9.3205128205128204E-2</v>
      </c>
      <c r="O238" s="33">
        <f t="shared" si="19"/>
        <v>364059.23076923075</v>
      </c>
    </row>
    <row r="239" spans="1:15" x14ac:dyDescent="0.25">
      <c r="A239" s="30" t="s">
        <v>728</v>
      </c>
      <c r="B239" s="30">
        <v>30019</v>
      </c>
      <c r="C239" s="32">
        <v>45610</v>
      </c>
      <c r="D239" s="32">
        <v>45695</v>
      </c>
      <c r="E239" s="37">
        <f t="shared" si="15"/>
        <v>85</v>
      </c>
      <c r="F239" s="30" t="s">
        <v>1582</v>
      </c>
      <c r="G239" s="37">
        <v>32</v>
      </c>
      <c r="H239" s="30" t="s">
        <v>1178</v>
      </c>
      <c r="I239" s="30" t="s">
        <v>740</v>
      </c>
      <c r="J239" s="36">
        <v>6970417</v>
      </c>
      <c r="K239" s="35">
        <f t="shared" si="16"/>
        <v>104556.25499999999</v>
      </c>
      <c r="L239" s="35">
        <f t="shared" si="17"/>
        <v>1355.3588611111113</v>
      </c>
      <c r="M239" s="35">
        <f t="shared" si="18"/>
        <v>34852.084999999999</v>
      </c>
      <c r="N239" s="34">
        <v>8.5529411764705868E-2</v>
      </c>
      <c r="O239" s="33">
        <f t="shared" si="19"/>
        <v>596175.66576470574</v>
      </c>
    </row>
    <row r="240" spans="1:15" x14ac:dyDescent="0.25">
      <c r="A240" s="30" t="s">
        <v>728</v>
      </c>
      <c r="B240" s="30">
        <v>30019</v>
      </c>
      <c r="C240" s="32">
        <v>45611</v>
      </c>
      <c r="D240" s="32">
        <v>45679</v>
      </c>
      <c r="E240" s="37">
        <f t="shared" si="15"/>
        <v>68</v>
      </c>
      <c r="F240" s="30" t="s">
        <v>1604</v>
      </c>
      <c r="G240" s="37">
        <v>32</v>
      </c>
      <c r="I240" s="30" t="s">
        <v>1603</v>
      </c>
      <c r="J240" s="36">
        <v>2223293</v>
      </c>
      <c r="K240" s="35">
        <f t="shared" si="16"/>
        <v>33349.394999999997</v>
      </c>
      <c r="L240" s="35">
        <f t="shared" si="17"/>
        <v>432.30697222222227</v>
      </c>
      <c r="M240" s="35">
        <f t="shared" si="18"/>
        <v>11116.465</v>
      </c>
      <c r="N240" s="34">
        <v>0.10691176470588233</v>
      </c>
      <c r="O240" s="33">
        <f t="shared" si="19"/>
        <v>237696.17808823523</v>
      </c>
    </row>
    <row r="241" spans="1:15" x14ac:dyDescent="0.25">
      <c r="A241" s="30" t="s">
        <v>728</v>
      </c>
      <c r="B241" s="30">
        <v>30019</v>
      </c>
      <c r="C241" s="32">
        <v>45611</v>
      </c>
      <c r="D241" s="32">
        <v>45682</v>
      </c>
      <c r="E241" s="37">
        <f t="shared" si="15"/>
        <v>71</v>
      </c>
      <c r="F241" s="30" t="s">
        <v>1604</v>
      </c>
      <c r="G241" s="37">
        <v>32</v>
      </c>
      <c r="I241" s="30" t="s">
        <v>1603</v>
      </c>
      <c r="J241" s="36">
        <v>2116418</v>
      </c>
      <c r="K241" s="35">
        <f t="shared" si="16"/>
        <v>31746.27</v>
      </c>
      <c r="L241" s="35">
        <f t="shared" si="17"/>
        <v>411.52572222222227</v>
      </c>
      <c r="M241" s="35">
        <f t="shared" si="18"/>
        <v>10582.09</v>
      </c>
      <c r="N241" s="34">
        <v>0.1023943661971831</v>
      </c>
      <c r="O241" s="33">
        <f t="shared" si="19"/>
        <v>216709.27971830987</v>
      </c>
    </row>
    <row r="242" spans="1:15" x14ac:dyDescent="0.25">
      <c r="A242" s="30" t="s">
        <v>728</v>
      </c>
      <c r="B242" s="30">
        <v>30019</v>
      </c>
      <c r="C242" s="32">
        <v>45611</v>
      </c>
      <c r="D242" s="32">
        <v>45686</v>
      </c>
      <c r="E242" s="37">
        <f t="shared" si="15"/>
        <v>75</v>
      </c>
      <c r="F242" s="30" t="s">
        <v>1604</v>
      </c>
      <c r="G242" s="37">
        <v>32</v>
      </c>
      <c r="I242" s="30" t="s">
        <v>1603</v>
      </c>
      <c r="J242" s="36">
        <v>2223293</v>
      </c>
      <c r="K242" s="35">
        <f t="shared" si="16"/>
        <v>33349.394999999997</v>
      </c>
      <c r="L242" s="35">
        <f t="shared" si="17"/>
        <v>432.30697222222227</v>
      </c>
      <c r="M242" s="35">
        <f t="shared" si="18"/>
        <v>11116.465</v>
      </c>
      <c r="N242" s="34">
        <v>9.6933333333333316E-2</v>
      </c>
      <c r="O242" s="33">
        <f t="shared" si="19"/>
        <v>215511.20146666662</v>
      </c>
    </row>
    <row r="243" spans="1:15" x14ac:dyDescent="0.25">
      <c r="A243" s="30" t="s">
        <v>728</v>
      </c>
      <c r="B243" s="30">
        <v>30019</v>
      </c>
      <c r="C243" s="32">
        <v>45611</v>
      </c>
      <c r="D243" s="32">
        <v>45688</v>
      </c>
      <c r="E243" s="37">
        <f t="shared" si="15"/>
        <v>77</v>
      </c>
      <c r="F243" s="30" t="s">
        <v>1604</v>
      </c>
      <c r="G243" s="37">
        <v>32</v>
      </c>
      <c r="I243" s="30" t="s">
        <v>1603</v>
      </c>
      <c r="J243" s="36">
        <v>2223293</v>
      </c>
      <c r="K243" s="35">
        <f t="shared" si="16"/>
        <v>33349.394999999997</v>
      </c>
      <c r="L243" s="35">
        <f t="shared" si="17"/>
        <v>432.30697222222227</v>
      </c>
      <c r="M243" s="35">
        <f t="shared" si="18"/>
        <v>11116.465</v>
      </c>
      <c r="N243" s="34">
        <v>9.4415584415584397E-2</v>
      </c>
      <c r="O243" s="33">
        <f t="shared" si="19"/>
        <v>209913.50792207787</v>
      </c>
    </row>
    <row r="244" spans="1:15" x14ac:dyDescent="0.25">
      <c r="A244" s="30" t="s">
        <v>728</v>
      </c>
      <c r="B244" s="30">
        <v>30019</v>
      </c>
      <c r="C244" s="32">
        <v>45611</v>
      </c>
      <c r="D244" s="32">
        <v>45692</v>
      </c>
      <c r="E244" s="37">
        <f t="shared" si="15"/>
        <v>81</v>
      </c>
      <c r="F244" s="30" t="s">
        <v>1604</v>
      </c>
      <c r="G244" s="37">
        <v>32</v>
      </c>
      <c r="I244" s="30" t="s">
        <v>1603</v>
      </c>
      <c r="J244" s="36">
        <v>2223293</v>
      </c>
      <c r="K244" s="35">
        <f t="shared" si="16"/>
        <v>33349.394999999997</v>
      </c>
      <c r="L244" s="35">
        <f t="shared" si="17"/>
        <v>432.30697222222227</v>
      </c>
      <c r="M244" s="35">
        <f t="shared" si="18"/>
        <v>11116.465</v>
      </c>
      <c r="N244" s="34">
        <v>8.9753086419753075E-2</v>
      </c>
      <c r="O244" s="33">
        <f t="shared" si="19"/>
        <v>199547.40876543208</v>
      </c>
    </row>
    <row r="245" spans="1:15" x14ac:dyDescent="0.25">
      <c r="A245" s="30" t="s">
        <v>728</v>
      </c>
      <c r="B245" s="30">
        <v>30019</v>
      </c>
      <c r="C245" s="32">
        <v>45616</v>
      </c>
      <c r="D245" s="32">
        <v>45674</v>
      </c>
      <c r="E245" s="37">
        <f t="shared" si="15"/>
        <v>58</v>
      </c>
      <c r="F245" s="30" t="s">
        <v>1602</v>
      </c>
      <c r="G245" s="37">
        <v>32</v>
      </c>
      <c r="I245" s="30" t="s">
        <v>1601</v>
      </c>
      <c r="J245" s="36">
        <v>31500</v>
      </c>
      <c r="K245" s="35">
        <f t="shared" si="16"/>
        <v>472.5</v>
      </c>
      <c r="L245" s="35">
        <f t="shared" si="17"/>
        <v>6.125</v>
      </c>
      <c r="M245" s="35">
        <f t="shared" si="18"/>
        <v>157.5</v>
      </c>
      <c r="N245" s="34">
        <v>0.12534482758620691</v>
      </c>
      <c r="O245" s="33">
        <f t="shared" si="19"/>
        <v>3948.3620689655177</v>
      </c>
    </row>
    <row r="246" spans="1:15" x14ac:dyDescent="0.25">
      <c r="A246" s="30" t="s">
        <v>728</v>
      </c>
      <c r="B246" s="30">
        <v>30019</v>
      </c>
      <c r="C246" s="32">
        <v>45616</v>
      </c>
      <c r="D246" s="32">
        <v>45674</v>
      </c>
      <c r="E246" s="37">
        <f t="shared" si="15"/>
        <v>58</v>
      </c>
      <c r="F246" s="30" t="s">
        <v>1602</v>
      </c>
      <c r="G246" s="37">
        <v>32</v>
      </c>
      <c r="I246" s="30" t="s">
        <v>1601</v>
      </c>
      <c r="J246" s="36">
        <v>40500</v>
      </c>
      <c r="K246" s="35">
        <f t="shared" si="16"/>
        <v>607.5</v>
      </c>
      <c r="L246" s="35">
        <f t="shared" si="17"/>
        <v>7.8750000000000009</v>
      </c>
      <c r="M246" s="35">
        <f t="shared" si="18"/>
        <v>202.5</v>
      </c>
      <c r="N246" s="34">
        <v>0.12534482758620691</v>
      </c>
      <c r="O246" s="33">
        <f t="shared" si="19"/>
        <v>5076.4655172413795</v>
      </c>
    </row>
    <row r="247" spans="1:15" x14ac:dyDescent="0.25">
      <c r="A247" s="30" t="s">
        <v>728</v>
      </c>
      <c r="B247" s="30">
        <v>30019</v>
      </c>
      <c r="C247" s="32">
        <v>45616</v>
      </c>
      <c r="D247" s="32">
        <v>45674</v>
      </c>
      <c r="E247" s="37">
        <f t="shared" si="15"/>
        <v>58</v>
      </c>
      <c r="F247" s="30" t="s">
        <v>1602</v>
      </c>
      <c r="G247" s="37">
        <v>32</v>
      </c>
      <c r="I247" s="30" t="s">
        <v>1601</v>
      </c>
      <c r="J247" s="36">
        <v>47250</v>
      </c>
      <c r="K247" s="35">
        <f t="shared" si="16"/>
        <v>708.75</v>
      </c>
      <c r="L247" s="35">
        <f t="shared" si="17"/>
        <v>9.1875000000000018</v>
      </c>
      <c r="M247" s="35">
        <f t="shared" si="18"/>
        <v>236.25</v>
      </c>
      <c r="N247" s="34">
        <v>0.12534482758620691</v>
      </c>
      <c r="O247" s="33">
        <f t="shared" si="19"/>
        <v>5922.5431034482763</v>
      </c>
    </row>
    <row r="248" spans="1:15" x14ac:dyDescent="0.25">
      <c r="A248" s="30" t="s">
        <v>728</v>
      </c>
      <c r="B248" s="30">
        <v>30019</v>
      </c>
      <c r="C248" s="32">
        <v>45616</v>
      </c>
      <c r="D248" s="32">
        <v>45674</v>
      </c>
      <c r="E248" s="37">
        <f t="shared" si="15"/>
        <v>58</v>
      </c>
      <c r="F248" s="30" t="s">
        <v>1602</v>
      </c>
      <c r="G248" s="37">
        <v>32</v>
      </c>
      <c r="I248" s="30" t="s">
        <v>1601</v>
      </c>
      <c r="J248" s="36">
        <v>450000</v>
      </c>
      <c r="K248" s="35">
        <f t="shared" si="16"/>
        <v>6750</v>
      </c>
      <c r="L248" s="35">
        <f t="shared" si="17"/>
        <v>87.500000000000014</v>
      </c>
      <c r="M248" s="35">
        <f t="shared" si="18"/>
        <v>2250</v>
      </c>
      <c r="N248" s="34">
        <v>0.12534482758620691</v>
      </c>
      <c r="O248" s="33">
        <f t="shared" si="19"/>
        <v>56405.172413793109</v>
      </c>
    </row>
    <row r="249" spans="1:15" x14ac:dyDescent="0.25">
      <c r="A249" s="30" t="s">
        <v>728</v>
      </c>
      <c r="B249" s="30">
        <v>30019</v>
      </c>
      <c r="C249" s="32">
        <v>45616</v>
      </c>
      <c r="D249" s="32">
        <v>45695</v>
      </c>
      <c r="E249" s="37">
        <f t="shared" si="15"/>
        <v>79</v>
      </c>
      <c r="F249" s="30" t="s">
        <v>1611</v>
      </c>
      <c r="G249" s="37">
        <v>32</v>
      </c>
      <c r="I249" s="30" t="s">
        <v>754</v>
      </c>
      <c r="J249" s="36">
        <v>56139586</v>
      </c>
      <c r="K249" s="35">
        <f t="shared" si="16"/>
        <v>842093.78999999992</v>
      </c>
      <c r="L249" s="35">
        <f t="shared" si="17"/>
        <v>10916.030611111113</v>
      </c>
      <c r="M249" s="35">
        <f t="shared" si="18"/>
        <v>280697.93</v>
      </c>
      <c r="N249" s="34">
        <v>9.2025316455696185E-2</v>
      </c>
      <c r="O249" s="33">
        <f t="shared" si="19"/>
        <v>5166263.1673417715</v>
      </c>
    </row>
    <row r="250" spans="1:15" x14ac:dyDescent="0.25">
      <c r="A250" s="30" t="s">
        <v>728</v>
      </c>
      <c r="B250" s="30">
        <v>30019</v>
      </c>
      <c r="C250" s="32">
        <v>45616</v>
      </c>
      <c r="D250" s="32">
        <v>45696</v>
      </c>
      <c r="E250" s="37">
        <f t="shared" si="15"/>
        <v>80</v>
      </c>
      <c r="F250" s="30" t="s">
        <v>1588</v>
      </c>
      <c r="G250" s="37">
        <v>32</v>
      </c>
      <c r="H250" s="30" t="s">
        <v>1587</v>
      </c>
      <c r="I250" s="30" t="s">
        <v>1586</v>
      </c>
      <c r="J250" s="36">
        <v>3000560</v>
      </c>
      <c r="K250" s="35">
        <f t="shared" si="16"/>
        <v>45008.4</v>
      </c>
      <c r="L250" s="35">
        <f t="shared" si="17"/>
        <v>583.4422222222222</v>
      </c>
      <c r="M250" s="35">
        <f t="shared" si="18"/>
        <v>15002.800000000001</v>
      </c>
      <c r="N250" s="34">
        <v>9.0875000000000011E-2</v>
      </c>
      <c r="O250" s="33">
        <f t="shared" si="19"/>
        <v>272675.89</v>
      </c>
    </row>
    <row r="251" spans="1:15" x14ac:dyDescent="0.25">
      <c r="A251" s="30" t="s">
        <v>728</v>
      </c>
      <c r="B251" s="30">
        <v>30019</v>
      </c>
      <c r="C251" s="32">
        <v>45616</v>
      </c>
      <c r="D251" s="32">
        <v>45696</v>
      </c>
      <c r="E251" s="37">
        <f t="shared" si="15"/>
        <v>80</v>
      </c>
      <c r="F251" s="30" t="s">
        <v>1588</v>
      </c>
      <c r="G251" s="37">
        <v>32</v>
      </c>
      <c r="H251" s="30" t="s">
        <v>1587</v>
      </c>
      <c r="I251" s="30" t="s">
        <v>1586</v>
      </c>
      <c r="J251" s="36">
        <v>15169416</v>
      </c>
      <c r="K251" s="35">
        <f t="shared" si="16"/>
        <v>227541.24</v>
      </c>
      <c r="L251" s="35">
        <f t="shared" si="17"/>
        <v>2949.608666666667</v>
      </c>
      <c r="M251" s="35">
        <f t="shared" si="18"/>
        <v>75847.08</v>
      </c>
      <c r="N251" s="34">
        <v>9.0875000000000011E-2</v>
      </c>
      <c r="O251" s="33">
        <f t="shared" si="19"/>
        <v>1378520.6790000002</v>
      </c>
    </row>
    <row r="252" spans="1:15" x14ac:dyDescent="0.25">
      <c r="A252" s="30" t="s">
        <v>728</v>
      </c>
      <c r="B252" s="30">
        <v>30019</v>
      </c>
      <c r="C252" s="32">
        <v>45616</v>
      </c>
      <c r="D252" s="32">
        <v>45703</v>
      </c>
      <c r="E252" s="37">
        <f t="shared" si="15"/>
        <v>87</v>
      </c>
      <c r="F252" s="30" t="s">
        <v>1600</v>
      </c>
      <c r="G252" s="37">
        <v>32</v>
      </c>
      <c r="I252" s="30" t="s">
        <v>1599</v>
      </c>
      <c r="J252" s="36">
        <v>17226735</v>
      </c>
      <c r="K252" s="35">
        <f t="shared" si="16"/>
        <v>258401.02499999999</v>
      </c>
      <c r="L252" s="35">
        <f t="shared" si="17"/>
        <v>3349.6429166666671</v>
      </c>
      <c r="M252" s="35">
        <f t="shared" si="18"/>
        <v>86133.675000000003</v>
      </c>
      <c r="N252" s="34">
        <v>8.3563218390804578E-2</v>
      </c>
      <c r="O252" s="33">
        <f t="shared" si="19"/>
        <v>1439521.4189655168</v>
      </c>
    </row>
    <row r="253" spans="1:15" x14ac:dyDescent="0.25">
      <c r="A253" s="30" t="s">
        <v>728</v>
      </c>
      <c r="B253" s="30">
        <v>30019</v>
      </c>
      <c r="C253" s="32">
        <v>45616</v>
      </c>
      <c r="D253" s="32">
        <v>45703</v>
      </c>
      <c r="E253" s="37">
        <f t="shared" si="15"/>
        <v>87</v>
      </c>
      <c r="F253" s="30" t="s">
        <v>1610</v>
      </c>
      <c r="G253" s="37">
        <v>32</v>
      </c>
      <c r="I253" s="30" t="s">
        <v>1609</v>
      </c>
      <c r="J253" s="36">
        <v>14720940</v>
      </c>
      <c r="K253" s="35">
        <f t="shared" si="16"/>
        <v>220814.1</v>
      </c>
      <c r="L253" s="35">
        <f t="shared" si="17"/>
        <v>2862.4050000000002</v>
      </c>
      <c r="M253" s="35">
        <f t="shared" si="18"/>
        <v>73604.7</v>
      </c>
      <c r="N253" s="34">
        <v>8.3563218390804606E-2</v>
      </c>
      <c r="O253" s="33">
        <f t="shared" si="19"/>
        <v>1230129.124137931</v>
      </c>
    </row>
    <row r="254" spans="1:15" x14ac:dyDescent="0.25">
      <c r="A254" s="30" t="s">
        <v>728</v>
      </c>
      <c r="B254" s="30">
        <v>30019</v>
      </c>
      <c r="C254" s="32">
        <v>45618</v>
      </c>
      <c r="D254" s="32">
        <v>45701</v>
      </c>
      <c r="E254" s="37">
        <f t="shared" si="15"/>
        <v>83</v>
      </c>
      <c r="F254" s="30" t="s">
        <v>1583</v>
      </c>
      <c r="G254" s="37">
        <v>32</v>
      </c>
      <c r="I254" s="30" t="s">
        <v>727</v>
      </c>
      <c r="J254" s="36">
        <v>42804</v>
      </c>
      <c r="K254" s="35">
        <f t="shared" si="16"/>
        <v>642.05999999999995</v>
      </c>
      <c r="L254" s="35">
        <f t="shared" si="17"/>
        <v>8.3230000000000004</v>
      </c>
      <c r="M254" s="35">
        <f t="shared" si="18"/>
        <v>214.02</v>
      </c>
      <c r="N254" s="34">
        <v>8.759036144578311E-2</v>
      </c>
      <c r="O254" s="33">
        <f t="shared" si="19"/>
        <v>3749.2178313253003</v>
      </c>
    </row>
    <row r="255" spans="1:15" x14ac:dyDescent="0.25">
      <c r="A255" s="30" t="s">
        <v>728</v>
      </c>
      <c r="B255" s="30">
        <v>30019</v>
      </c>
      <c r="C255" s="32">
        <v>45618</v>
      </c>
      <c r="D255" s="32">
        <v>45701</v>
      </c>
      <c r="E255" s="37">
        <f t="shared" si="15"/>
        <v>83</v>
      </c>
      <c r="F255" s="30" t="s">
        <v>1583</v>
      </c>
      <c r="G255" s="37">
        <v>32</v>
      </c>
      <c r="I255" s="30" t="s">
        <v>727</v>
      </c>
      <c r="J255" s="36">
        <v>80258</v>
      </c>
      <c r="K255" s="35">
        <f t="shared" si="16"/>
        <v>1203.8699999999999</v>
      </c>
      <c r="L255" s="35">
        <f t="shared" si="17"/>
        <v>15.605722222222223</v>
      </c>
      <c r="M255" s="35">
        <f t="shared" si="18"/>
        <v>401.29</v>
      </c>
      <c r="N255" s="34">
        <v>8.7590361445783138E-2</v>
      </c>
      <c r="O255" s="33">
        <f t="shared" si="19"/>
        <v>7029.827228915663</v>
      </c>
    </row>
    <row r="256" spans="1:15" x14ac:dyDescent="0.25">
      <c r="A256" s="30" t="s">
        <v>728</v>
      </c>
      <c r="B256" s="30">
        <v>30019</v>
      </c>
      <c r="C256" s="32">
        <v>45618</v>
      </c>
      <c r="D256" s="32">
        <v>45701</v>
      </c>
      <c r="E256" s="37">
        <f t="shared" si="15"/>
        <v>83</v>
      </c>
      <c r="F256" s="30" t="s">
        <v>1583</v>
      </c>
      <c r="G256" s="37">
        <v>32</v>
      </c>
      <c r="I256" s="30" t="s">
        <v>727</v>
      </c>
      <c r="J256" s="36">
        <v>160515</v>
      </c>
      <c r="K256" s="35">
        <f t="shared" si="16"/>
        <v>2407.7249999999999</v>
      </c>
      <c r="L256" s="35">
        <f t="shared" si="17"/>
        <v>31.211250000000003</v>
      </c>
      <c r="M256" s="35">
        <f t="shared" si="18"/>
        <v>802.57500000000005</v>
      </c>
      <c r="N256" s="34">
        <v>8.759036144578311E-2</v>
      </c>
      <c r="O256" s="33">
        <f t="shared" si="19"/>
        <v>14059.566867469875</v>
      </c>
    </row>
    <row r="257" spans="1:15" x14ac:dyDescent="0.25">
      <c r="A257" s="30" t="s">
        <v>728</v>
      </c>
      <c r="B257" s="30">
        <v>30019</v>
      </c>
      <c r="C257" s="32">
        <v>45618</v>
      </c>
      <c r="D257" s="32">
        <v>45701</v>
      </c>
      <c r="E257" s="37">
        <f t="shared" si="15"/>
        <v>83</v>
      </c>
      <c r="F257" s="30" t="s">
        <v>1583</v>
      </c>
      <c r="G257" s="37">
        <v>32</v>
      </c>
      <c r="I257" s="30" t="s">
        <v>727</v>
      </c>
      <c r="J257" s="36">
        <v>392459</v>
      </c>
      <c r="K257" s="35">
        <f t="shared" si="16"/>
        <v>5886.8850000000002</v>
      </c>
      <c r="L257" s="35">
        <f t="shared" si="17"/>
        <v>76.311472222222221</v>
      </c>
      <c r="M257" s="35">
        <f t="shared" si="18"/>
        <v>1962.2950000000001</v>
      </c>
      <c r="N257" s="34">
        <v>8.7590361445783138E-2</v>
      </c>
      <c r="O257" s="33">
        <f t="shared" si="19"/>
        <v>34375.625662650607</v>
      </c>
    </row>
    <row r="258" spans="1:15" x14ac:dyDescent="0.25">
      <c r="A258" s="30" t="s">
        <v>728</v>
      </c>
      <c r="B258" s="30">
        <v>30019</v>
      </c>
      <c r="C258" s="32">
        <v>45618</v>
      </c>
      <c r="D258" s="32">
        <v>45701</v>
      </c>
      <c r="E258" s="37">
        <f t="shared" ref="E258:E321" si="20">DATEDIF(C258,D258,"yd")</f>
        <v>83</v>
      </c>
      <c r="F258" s="30" t="s">
        <v>1583</v>
      </c>
      <c r="G258" s="37">
        <v>32</v>
      </c>
      <c r="I258" s="30" t="s">
        <v>727</v>
      </c>
      <c r="J258" s="36">
        <v>856080</v>
      </c>
      <c r="K258" s="35">
        <f t="shared" ref="K258:K321" si="21">J258*1.5%</f>
        <v>12841.199999999999</v>
      </c>
      <c r="L258" s="35">
        <f t="shared" ref="L258:L321" si="22">(J258*7%)/360</f>
        <v>166.46</v>
      </c>
      <c r="M258" s="35">
        <f t="shared" ref="M258:M321" si="23">J258*0.5%</f>
        <v>4280.3999999999996</v>
      </c>
      <c r="N258" s="34">
        <v>8.759036144578311E-2</v>
      </c>
      <c r="O258" s="33">
        <f t="shared" ref="O258:O321" si="24">N258*J258</f>
        <v>74984.356626506007</v>
      </c>
    </row>
    <row r="259" spans="1:15" x14ac:dyDescent="0.25">
      <c r="A259" s="30" t="s">
        <v>728</v>
      </c>
      <c r="B259" s="30">
        <v>30019</v>
      </c>
      <c r="C259" s="32">
        <v>45618</v>
      </c>
      <c r="D259" s="32">
        <v>45702</v>
      </c>
      <c r="E259" s="37">
        <f t="shared" si="20"/>
        <v>84</v>
      </c>
      <c r="F259" s="30" t="s">
        <v>1606</v>
      </c>
      <c r="G259" s="37">
        <v>32</v>
      </c>
      <c r="I259" s="30" t="s">
        <v>740</v>
      </c>
      <c r="J259" s="36">
        <v>315000</v>
      </c>
      <c r="K259" s="35">
        <f t="shared" si="21"/>
        <v>4725</v>
      </c>
      <c r="L259" s="35">
        <f t="shared" si="22"/>
        <v>61.250000000000007</v>
      </c>
      <c r="M259" s="35">
        <f t="shared" si="23"/>
        <v>1575</v>
      </c>
      <c r="N259" s="34">
        <v>8.6547619047619054E-2</v>
      </c>
      <c r="O259" s="33">
        <f t="shared" si="24"/>
        <v>27262.500000000004</v>
      </c>
    </row>
    <row r="260" spans="1:15" x14ac:dyDescent="0.25">
      <c r="A260" s="30" t="s">
        <v>728</v>
      </c>
      <c r="B260" s="30">
        <v>30019</v>
      </c>
      <c r="C260" s="32">
        <v>45618</v>
      </c>
      <c r="D260" s="32">
        <v>45707</v>
      </c>
      <c r="E260" s="37">
        <f t="shared" si="20"/>
        <v>89</v>
      </c>
      <c r="F260" s="30" t="s">
        <v>1582</v>
      </c>
      <c r="G260" s="37">
        <v>32</v>
      </c>
      <c r="H260" s="30" t="s">
        <v>1178</v>
      </c>
      <c r="I260" s="30" t="s">
        <v>740</v>
      </c>
      <c r="J260" s="36">
        <v>2827289</v>
      </c>
      <c r="K260" s="35">
        <f t="shared" si="21"/>
        <v>42409.334999999999</v>
      </c>
      <c r="L260" s="35">
        <f t="shared" si="22"/>
        <v>549.75063888888894</v>
      </c>
      <c r="M260" s="35">
        <f t="shared" si="23"/>
        <v>14136.445</v>
      </c>
      <c r="N260" s="34">
        <v>8.1685393258426955E-2</v>
      </c>
      <c r="O260" s="33">
        <f t="shared" si="24"/>
        <v>230948.21382022469</v>
      </c>
    </row>
    <row r="261" spans="1:15" x14ac:dyDescent="0.25">
      <c r="A261" s="30" t="s">
        <v>728</v>
      </c>
      <c r="B261" s="30">
        <v>30019</v>
      </c>
      <c r="C261" s="32">
        <v>45618</v>
      </c>
      <c r="D261" s="32">
        <v>45730</v>
      </c>
      <c r="E261" s="37">
        <f t="shared" si="20"/>
        <v>112</v>
      </c>
      <c r="F261" s="30" t="s">
        <v>1585</v>
      </c>
      <c r="G261" s="37">
        <v>32</v>
      </c>
      <c r="H261" s="30" t="s">
        <v>1584</v>
      </c>
      <c r="I261" s="30" t="s">
        <v>740</v>
      </c>
      <c r="J261" s="36">
        <v>734999</v>
      </c>
      <c r="K261" s="35">
        <f t="shared" si="21"/>
        <v>11024.984999999999</v>
      </c>
      <c r="L261" s="35">
        <f t="shared" si="22"/>
        <v>142.91647222222224</v>
      </c>
      <c r="M261" s="35">
        <f t="shared" si="23"/>
        <v>3674.9949999999999</v>
      </c>
      <c r="N261" s="34">
        <v>6.4910714285714294E-2</v>
      </c>
      <c r="O261" s="33">
        <f t="shared" si="24"/>
        <v>47709.310089285718</v>
      </c>
    </row>
    <row r="262" spans="1:15" x14ac:dyDescent="0.25">
      <c r="A262" s="30" t="s">
        <v>728</v>
      </c>
      <c r="B262" s="30">
        <v>30019</v>
      </c>
      <c r="C262" s="32">
        <v>45618</v>
      </c>
      <c r="D262" s="32">
        <v>45730</v>
      </c>
      <c r="E262" s="37">
        <f t="shared" si="20"/>
        <v>112</v>
      </c>
      <c r="F262" s="30" t="s">
        <v>1585</v>
      </c>
      <c r="G262" s="37">
        <v>32</v>
      </c>
      <c r="H262" s="30" t="s">
        <v>1584</v>
      </c>
      <c r="I262" s="30" t="s">
        <v>740</v>
      </c>
      <c r="J262" s="36">
        <v>1640885</v>
      </c>
      <c r="K262" s="35">
        <f t="shared" si="21"/>
        <v>24613.274999999998</v>
      </c>
      <c r="L262" s="35">
        <f t="shared" si="22"/>
        <v>319.06097222222223</v>
      </c>
      <c r="M262" s="35">
        <f t="shared" si="23"/>
        <v>8204.4249999999993</v>
      </c>
      <c r="N262" s="34">
        <v>6.491071428571428E-2</v>
      </c>
      <c r="O262" s="33">
        <f t="shared" si="24"/>
        <v>106511.01741071428</v>
      </c>
    </row>
    <row r="263" spans="1:15" x14ac:dyDescent="0.25">
      <c r="A263" s="30" t="s">
        <v>728</v>
      </c>
      <c r="B263" s="30">
        <v>30019</v>
      </c>
      <c r="C263" s="32">
        <v>45618</v>
      </c>
      <c r="D263" s="32">
        <v>45731</v>
      </c>
      <c r="E263" s="37">
        <f t="shared" si="20"/>
        <v>113</v>
      </c>
      <c r="F263" s="30" t="s">
        <v>1585</v>
      </c>
      <c r="G263" s="37">
        <v>32</v>
      </c>
      <c r="H263" s="30" t="s">
        <v>1584</v>
      </c>
      <c r="I263" s="30" t="s">
        <v>740</v>
      </c>
      <c r="J263" s="36">
        <v>1198512</v>
      </c>
      <c r="K263" s="35">
        <f t="shared" si="21"/>
        <v>17977.68</v>
      </c>
      <c r="L263" s="35">
        <f t="shared" si="22"/>
        <v>233.04400000000004</v>
      </c>
      <c r="M263" s="35">
        <f t="shared" si="23"/>
        <v>5992.56</v>
      </c>
      <c r="N263" s="34">
        <v>6.4336283185840726E-2</v>
      </c>
      <c r="O263" s="33">
        <f t="shared" si="24"/>
        <v>77107.807433628346</v>
      </c>
    </row>
    <row r="264" spans="1:15" x14ac:dyDescent="0.25">
      <c r="A264" s="30" t="s">
        <v>728</v>
      </c>
      <c r="B264" s="30">
        <v>30019</v>
      </c>
      <c r="C264" s="32">
        <v>45618</v>
      </c>
      <c r="D264" s="32">
        <v>45731</v>
      </c>
      <c r="E264" s="37">
        <f t="shared" si="20"/>
        <v>113</v>
      </c>
      <c r="F264" s="30" t="s">
        <v>1585</v>
      </c>
      <c r="G264" s="37">
        <v>32</v>
      </c>
      <c r="H264" s="30" t="s">
        <v>1584</v>
      </c>
      <c r="I264" s="30" t="s">
        <v>740</v>
      </c>
      <c r="J264" s="36">
        <v>3229331</v>
      </c>
      <c r="K264" s="35">
        <f t="shared" si="21"/>
        <v>48439.964999999997</v>
      </c>
      <c r="L264" s="35">
        <f t="shared" si="22"/>
        <v>627.92547222222231</v>
      </c>
      <c r="M264" s="35">
        <f t="shared" si="23"/>
        <v>16146.655000000001</v>
      </c>
      <c r="N264" s="34">
        <v>6.4336283185840712E-2</v>
      </c>
      <c r="O264" s="33">
        <f t="shared" si="24"/>
        <v>207763.15371681418</v>
      </c>
    </row>
    <row r="265" spans="1:15" x14ac:dyDescent="0.25">
      <c r="A265" s="30" t="s">
        <v>728</v>
      </c>
      <c r="B265" s="30">
        <v>30019</v>
      </c>
      <c r="C265" s="32">
        <v>45629</v>
      </c>
      <c r="D265" s="32">
        <v>45690</v>
      </c>
      <c r="E265" s="37">
        <f t="shared" si="20"/>
        <v>61</v>
      </c>
      <c r="F265" s="30" t="s">
        <v>1602</v>
      </c>
      <c r="G265" s="37">
        <v>32</v>
      </c>
      <c r="I265" s="30" t="s">
        <v>1601</v>
      </c>
      <c r="J265" s="36">
        <v>2177285</v>
      </c>
      <c r="K265" s="35">
        <f t="shared" si="21"/>
        <v>32659.274999999998</v>
      </c>
      <c r="L265" s="35">
        <f t="shared" si="22"/>
        <v>423.36097222222224</v>
      </c>
      <c r="M265" s="35">
        <f t="shared" si="23"/>
        <v>10886.425000000001</v>
      </c>
      <c r="N265" s="34">
        <v>0.11918032786885246</v>
      </c>
      <c r="O265" s="33">
        <f t="shared" si="24"/>
        <v>259489.54016393443</v>
      </c>
    </row>
    <row r="266" spans="1:15" x14ac:dyDescent="0.25">
      <c r="A266" s="30" t="s">
        <v>728</v>
      </c>
      <c r="B266" s="30">
        <v>30019</v>
      </c>
      <c r="C266" s="32">
        <v>45629</v>
      </c>
      <c r="D266" s="32">
        <v>45702</v>
      </c>
      <c r="E266" s="37">
        <f t="shared" si="20"/>
        <v>73</v>
      </c>
      <c r="F266" s="30" t="s">
        <v>1602</v>
      </c>
      <c r="G266" s="37">
        <v>32</v>
      </c>
      <c r="I266" s="30" t="s">
        <v>1601</v>
      </c>
      <c r="J266" s="36">
        <v>4140003</v>
      </c>
      <c r="K266" s="35">
        <f t="shared" si="21"/>
        <v>62100.044999999998</v>
      </c>
      <c r="L266" s="35">
        <f t="shared" si="22"/>
        <v>805.00058333333334</v>
      </c>
      <c r="M266" s="35">
        <f t="shared" si="23"/>
        <v>20700.014999999999</v>
      </c>
      <c r="N266" s="34">
        <v>9.9589041095890424E-2</v>
      </c>
      <c r="O266" s="33">
        <f t="shared" si="24"/>
        <v>412298.92890410963</v>
      </c>
    </row>
    <row r="267" spans="1:15" x14ac:dyDescent="0.25">
      <c r="A267" s="30" t="s">
        <v>728</v>
      </c>
      <c r="B267" s="30">
        <v>30019</v>
      </c>
      <c r="C267" s="32">
        <v>45629</v>
      </c>
      <c r="D267" s="32">
        <v>45702</v>
      </c>
      <c r="E267" s="37">
        <f t="shared" si="20"/>
        <v>73</v>
      </c>
      <c r="F267" s="30" t="s">
        <v>1602</v>
      </c>
      <c r="G267" s="37">
        <v>32</v>
      </c>
      <c r="I267" s="30" t="s">
        <v>1601</v>
      </c>
      <c r="J267" s="36">
        <v>7881940</v>
      </c>
      <c r="K267" s="35">
        <f t="shared" si="21"/>
        <v>118229.09999999999</v>
      </c>
      <c r="L267" s="35">
        <f t="shared" si="22"/>
        <v>1532.5994444444445</v>
      </c>
      <c r="M267" s="35">
        <f t="shared" si="23"/>
        <v>39409.700000000004</v>
      </c>
      <c r="N267" s="34">
        <v>9.9589041095890424E-2</v>
      </c>
      <c r="O267" s="33">
        <f t="shared" si="24"/>
        <v>784954.84657534258</v>
      </c>
    </row>
    <row r="268" spans="1:15" x14ac:dyDescent="0.25">
      <c r="A268" s="30" t="s">
        <v>728</v>
      </c>
      <c r="B268" s="30">
        <v>30019</v>
      </c>
      <c r="C268" s="32">
        <v>45629</v>
      </c>
      <c r="D268" s="32">
        <v>45702</v>
      </c>
      <c r="E268" s="37">
        <f t="shared" si="20"/>
        <v>73</v>
      </c>
      <c r="F268" s="30" t="s">
        <v>1604</v>
      </c>
      <c r="G268" s="37">
        <v>32</v>
      </c>
      <c r="I268" s="30" t="s">
        <v>1603</v>
      </c>
      <c r="J268" s="36">
        <v>2116418</v>
      </c>
      <c r="K268" s="35">
        <f t="shared" si="21"/>
        <v>31746.27</v>
      </c>
      <c r="L268" s="35">
        <f t="shared" si="22"/>
        <v>411.52572222222227</v>
      </c>
      <c r="M268" s="35">
        <f t="shared" si="23"/>
        <v>10582.09</v>
      </c>
      <c r="N268" s="34">
        <v>9.9589041095890424E-2</v>
      </c>
      <c r="O268" s="33">
        <f t="shared" si="24"/>
        <v>210772.03917808222</v>
      </c>
    </row>
    <row r="269" spans="1:15" x14ac:dyDescent="0.25">
      <c r="A269" s="30" t="s">
        <v>728</v>
      </c>
      <c r="B269" s="30">
        <v>30019</v>
      </c>
      <c r="C269" s="32">
        <v>45629</v>
      </c>
      <c r="D269" s="32">
        <v>45702</v>
      </c>
      <c r="E269" s="37">
        <f t="shared" si="20"/>
        <v>73</v>
      </c>
      <c r="F269" s="30" t="s">
        <v>1604</v>
      </c>
      <c r="G269" s="37">
        <v>32</v>
      </c>
      <c r="I269" s="30" t="s">
        <v>1603</v>
      </c>
      <c r="J269" s="36">
        <v>2223293</v>
      </c>
      <c r="K269" s="35">
        <f t="shared" si="21"/>
        <v>33349.394999999997</v>
      </c>
      <c r="L269" s="35">
        <f t="shared" si="22"/>
        <v>432.30697222222227</v>
      </c>
      <c r="M269" s="35">
        <f t="shared" si="23"/>
        <v>11116.465</v>
      </c>
      <c r="N269" s="34">
        <v>9.9589041095890396E-2</v>
      </c>
      <c r="O269" s="33">
        <f t="shared" si="24"/>
        <v>221415.61794520545</v>
      </c>
    </row>
    <row r="270" spans="1:15" x14ac:dyDescent="0.25">
      <c r="A270" s="30" t="s">
        <v>728</v>
      </c>
      <c r="B270" s="30">
        <v>30019</v>
      </c>
      <c r="C270" s="32">
        <v>45629</v>
      </c>
      <c r="D270" s="32">
        <v>45738</v>
      </c>
      <c r="E270" s="37">
        <f t="shared" si="20"/>
        <v>109</v>
      </c>
      <c r="F270" s="30" t="s">
        <v>1582</v>
      </c>
      <c r="G270" s="37">
        <v>32</v>
      </c>
      <c r="H270" s="30" t="s">
        <v>1178</v>
      </c>
      <c r="I270" s="30" t="s">
        <v>740</v>
      </c>
      <c r="J270" s="36">
        <v>1723471</v>
      </c>
      <c r="K270" s="35">
        <f t="shared" si="21"/>
        <v>25852.064999999999</v>
      </c>
      <c r="L270" s="35">
        <f t="shared" si="22"/>
        <v>335.11936111111117</v>
      </c>
      <c r="M270" s="35">
        <f t="shared" si="23"/>
        <v>8617.3549999999996</v>
      </c>
      <c r="N270" s="34">
        <v>6.6697247706422005E-2</v>
      </c>
      <c r="O270" s="33">
        <f t="shared" si="24"/>
        <v>114950.77220183484</v>
      </c>
    </row>
    <row r="271" spans="1:15" x14ac:dyDescent="0.25">
      <c r="A271" s="30" t="s">
        <v>728</v>
      </c>
      <c r="B271" s="30">
        <v>30019</v>
      </c>
      <c r="C271" s="32">
        <v>45629</v>
      </c>
      <c r="D271" s="32">
        <v>45738</v>
      </c>
      <c r="E271" s="37">
        <f t="shared" si="20"/>
        <v>109</v>
      </c>
      <c r="F271" s="30" t="s">
        <v>1582</v>
      </c>
      <c r="G271" s="37">
        <v>32</v>
      </c>
      <c r="H271" s="30" t="s">
        <v>1178</v>
      </c>
      <c r="I271" s="30" t="s">
        <v>740</v>
      </c>
      <c r="J271" s="36">
        <v>5967248</v>
      </c>
      <c r="K271" s="35">
        <f t="shared" si="21"/>
        <v>89508.72</v>
      </c>
      <c r="L271" s="35">
        <f t="shared" si="22"/>
        <v>1160.2982222222224</v>
      </c>
      <c r="M271" s="35">
        <f t="shared" si="23"/>
        <v>29836.240000000002</v>
      </c>
      <c r="N271" s="34">
        <v>6.6697247706422019E-2</v>
      </c>
      <c r="O271" s="33">
        <f t="shared" si="24"/>
        <v>397999.01798165136</v>
      </c>
    </row>
    <row r="272" spans="1:15" x14ac:dyDescent="0.25">
      <c r="A272" s="30" t="s">
        <v>728</v>
      </c>
      <c r="B272" s="30">
        <v>30019</v>
      </c>
      <c r="C272" s="32">
        <v>45630</v>
      </c>
      <c r="D272" s="32">
        <v>45716</v>
      </c>
      <c r="E272" s="37">
        <f t="shared" si="20"/>
        <v>86</v>
      </c>
      <c r="F272" s="30" t="s">
        <v>1608</v>
      </c>
      <c r="G272" s="37">
        <v>32</v>
      </c>
      <c r="H272" s="30" t="s">
        <v>784</v>
      </c>
      <c r="I272" s="30" t="s">
        <v>730</v>
      </c>
      <c r="J272" s="36">
        <v>14212800</v>
      </c>
      <c r="K272" s="35">
        <f t="shared" si="21"/>
        <v>213192</v>
      </c>
      <c r="L272" s="35">
        <f t="shared" si="22"/>
        <v>2763.6000000000004</v>
      </c>
      <c r="M272" s="35">
        <f t="shared" si="23"/>
        <v>71064</v>
      </c>
      <c r="N272" s="34">
        <v>8.4534883720930223E-2</v>
      </c>
      <c r="O272" s="33">
        <f t="shared" si="24"/>
        <v>1201477.3953488371</v>
      </c>
    </row>
    <row r="273" spans="1:15" x14ac:dyDescent="0.25">
      <c r="A273" s="30" t="s">
        <v>728</v>
      </c>
      <c r="B273" s="30">
        <v>30019</v>
      </c>
      <c r="C273" s="32">
        <v>45630</v>
      </c>
      <c r="D273" s="32">
        <v>45718</v>
      </c>
      <c r="E273" s="37">
        <f t="shared" si="20"/>
        <v>88</v>
      </c>
      <c r="F273" s="30" t="s">
        <v>1607</v>
      </c>
      <c r="G273" s="37">
        <v>32</v>
      </c>
      <c r="I273" s="30" t="s">
        <v>1586</v>
      </c>
      <c r="J273" s="36">
        <v>43385435</v>
      </c>
      <c r="K273" s="35">
        <f t="shared" si="21"/>
        <v>650781.52500000002</v>
      </c>
      <c r="L273" s="35">
        <f t="shared" si="22"/>
        <v>8436.0568055555559</v>
      </c>
      <c r="M273" s="35">
        <f t="shared" si="23"/>
        <v>216927.17500000002</v>
      </c>
      <c r="N273" s="34">
        <v>8.2613636363636375E-2</v>
      </c>
      <c r="O273" s="33">
        <f t="shared" si="24"/>
        <v>3584228.5505681825</v>
      </c>
    </row>
    <row r="274" spans="1:15" x14ac:dyDescent="0.25">
      <c r="A274" s="30" t="s">
        <v>728</v>
      </c>
      <c r="B274" s="30">
        <v>30019</v>
      </c>
      <c r="C274" s="32">
        <v>45630</v>
      </c>
      <c r="D274" s="32">
        <v>45718</v>
      </c>
      <c r="E274" s="37">
        <f t="shared" si="20"/>
        <v>88</v>
      </c>
      <c r="F274" s="30" t="s">
        <v>1607</v>
      </c>
      <c r="G274" s="37">
        <v>32</v>
      </c>
      <c r="I274" s="30" t="s">
        <v>1586</v>
      </c>
      <c r="J274" s="36">
        <v>60192846</v>
      </c>
      <c r="K274" s="35">
        <f t="shared" si="21"/>
        <v>902892.69</v>
      </c>
      <c r="L274" s="35">
        <f t="shared" si="22"/>
        <v>11704.164500000003</v>
      </c>
      <c r="M274" s="35">
        <f t="shared" si="23"/>
        <v>300964.23</v>
      </c>
      <c r="N274" s="34">
        <v>8.2613636363636347E-2</v>
      </c>
      <c r="O274" s="33">
        <f t="shared" si="24"/>
        <v>4972749.8911363622</v>
      </c>
    </row>
    <row r="275" spans="1:15" x14ac:dyDescent="0.25">
      <c r="A275" s="30" t="s">
        <v>728</v>
      </c>
      <c r="B275" s="30">
        <v>30019</v>
      </c>
      <c r="C275" s="32">
        <v>45632</v>
      </c>
      <c r="D275" s="32">
        <v>45749</v>
      </c>
      <c r="E275" s="37">
        <f t="shared" si="20"/>
        <v>117</v>
      </c>
      <c r="F275" s="30" t="s">
        <v>1585</v>
      </c>
      <c r="G275" s="37">
        <v>32</v>
      </c>
      <c r="H275" s="30" t="s">
        <v>1584</v>
      </c>
      <c r="I275" s="30" t="s">
        <v>740</v>
      </c>
      <c r="J275" s="36">
        <v>310329</v>
      </c>
      <c r="K275" s="35">
        <f t="shared" si="21"/>
        <v>4654.9349999999995</v>
      </c>
      <c r="L275" s="35">
        <f t="shared" si="22"/>
        <v>60.341750000000005</v>
      </c>
      <c r="M275" s="35">
        <f t="shared" si="23"/>
        <v>1551.645</v>
      </c>
      <c r="N275" s="34">
        <v>6.2136752136752127E-2</v>
      </c>
      <c r="O275" s="33">
        <f t="shared" si="24"/>
        <v>19282.83615384615</v>
      </c>
    </row>
    <row r="276" spans="1:15" x14ac:dyDescent="0.25">
      <c r="A276" s="30" t="s">
        <v>728</v>
      </c>
      <c r="B276" s="30">
        <v>30019</v>
      </c>
      <c r="C276" s="32">
        <v>45632</v>
      </c>
      <c r="D276" s="32">
        <v>45994</v>
      </c>
      <c r="E276" s="37">
        <f t="shared" si="20"/>
        <v>362</v>
      </c>
      <c r="F276" s="30" t="s">
        <v>1602</v>
      </c>
      <c r="G276" s="37">
        <v>32</v>
      </c>
      <c r="I276" s="30" t="s">
        <v>1601</v>
      </c>
      <c r="J276" s="36">
        <v>22500000</v>
      </c>
      <c r="K276" s="35">
        <f t="shared" si="21"/>
        <v>337500</v>
      </c>
      <c r="L276" s="35">
        <f t="shared" si="22"/>
        <v>4375.0000000000009</v>
      </c>
      <c r="M276" s="35">
        <f t="shared" si="23"/>
        <v>112500</v>
      </c>
      <c r="N276" s="34">
        <v>2.0082872928176797E-2</v>
      </c>
      <c r="O276" s="33">
        <f t="shared" si="24"/>
        <v>451864.64088397793</v>
      </c>
    </row>
    <row r="277" spans="1:15" x14ac:dyDescent="0.25">
      <c r="A277" s="30" t="s">
        <v>728</v>
      </c>
      <c r="B277" s="30">
        <v>30019</v>
      </c>
      <c r="C277" s="32">
        <v>45635</v>
      </c>
      <c r="D277" s="32">
        <v>45708</v>
      </c>
      <c r="E277" s="37">
        <f t="shared" si="20"/>
        <v>73</v>
      </c>
      <c r="F277" s="30" t="s">
        <v>1602</v>
      </c>
      <c r="G277" s="37">
        <v>32</v>
      </c>
      <c r="I277" s="30" t="s">
        <v>1601</v>
      </c>
      <c r="J277" s="36">
        <v>618300</v>
      </c>
      <c r="K277" s="35">
        <f t="shared" si="21"/>
        <v>9274.5</v>
      </c>
      <c r="L277" s="35">
        <f t="shared" si="22"/>
        <v>120.22500000000002</v>
      </c>
      <c r="M277" s="35">
        <f t="shared" si="23"/>
        <v>3091.5</v>
      </c>
      <c r="N277" s="34">
        <v>9.9589041095890424E-2</v>
      </c>
      <c r="O277" s="33">
        <f t="shared" si="24"/>
        <v>61575.90410958905</v>
      </c>
    </row>
    <row r="278" spans="1:15" x14ac:dyDescent="0.25">
      <c r="A278" s="30" t="s">
        <v>728</v>
      </c>
      <c r="B278" s="30">
        <v>30019</v>
      </c>
      <c r="C278" s="32">
        <v>45635</v>
      </c>
      <c r="D278" s="32">
        <v>45708</v>
      </c>
      <c r="E278" s="37">
        <f t="shared" si="20"/>
        <v>73</v>
      </c>
      <c r="F278" s="30" t="s">
        <v>1602</v>
      </c>
      <c r="G278" s="37">
        <v>32</v>
      </c>
      <c r="I278" s="30" t="s">
        <v>1601</v>
      </c>
      <c r="J278" s="36">
        <v>881820</v>
      </c>
      <c r="K278" s="35">
        <f t="shared" si="21"/>
        <v>13227.3</v>
      </c>
      <c r="L278" s="35">
        <f t="shared" si="22"/>
        <v>171.46500000000003</v>
      </c>
      <c r="M278" s="35">
        <f t="shared" si="23"/>
        <v>4409.1000000000004</v>
      </c>
      <c r="N278" s="34">
        <v>9.9589041095890396E-2</v>
      </c>
      <c r="O278" s="33">
        <f t="shared" si="24"/>
        <v>87819.608219178073</v>
      </c>
    </row>
    <row r="279" spans="1:15" x14ac:dyDescent="0.25">
      <c r="A279" s="30" t="s">
        <v>728</v>
      </c>
      <c r="B279" s="30">
        <v>30019</v>
      </c>
      <c r="C279" s="32">
        <v>45635</v>
      </c>
      <c r="D279" s="32">
        <v>45708</v>
      </c>
      <c r="E279" s="37">
        <f t="shared" si="20"/>
        <v>73</v>
      </c>
      <c r="F279" s="30" t="s">
        <v>1602</v>
      </c>
      <c r="G279" s="37">
        <v>32</v>
      </c>
      <c r="I279" s="30" t="s">
        <v>1601</v>
      </c>
      <c r="J279" s="36">
        <v>6075000</v>
      </c>
      <c r="K279" s="35">
        <f t="shared" si="21"/>
        <v>91125</v>
      </c>
      <c r="L279" s="35">
        <f t="shared" si="22"/>
        <v>1181.2500000000002</v>
      </c>
      <c r="M279" s="35">
        <f t="shared" si="23"/>
        <v>30375</v>
      </c>
      <c r="N279" s="34">
        <v>9.9589041095890424E-2</v>
      </c>
      <c r="O279" s="33">
        <f t="shared" si="24"/>
        <v>605003.42465753434</v>
      </c>
    </row>
    <row r="280" spans="1:15" x14ac:dyDescent="0.25">
      <c r="A280" s="30" t="s">
        <v>728</v>
      </c>
      <c r="B280" s="30">
        <v>30019</v>
      </c>
      <c r="C280" s="32">
        <v>45635</v>
      </c>
      <c r="D280" s="32">
        <v>45708</v>
      </c>
      <c r="E280" s="37">
        <f t="shared" si="20"/>
        <v>73</v>
      </c>
      <c r="F280" s="30" t="s">
        <v>1602</v>
      </c>
      <c r="G280" s="37">
        <v>32</v>
      </c>
      <c r="I280" s="30" t="s">
        <v>1601</v>
      </c>
      <c r="J280" s="36">
        <v>27210206</v>
      </c>
      <c r="K280" s="35">
        <f t="shared" si="21"/>
        <v>408153.08999999997</v>
      </c>
      <c r="L280" s="35">
        <f t="shared" si="22"/>
        <v>5290.8733888888892</v>
      </c>
      <c r="M280" s="35">
        <f t="shared" si="23"/>
        <v>136051.03</v>
      </c>
      <c r="N280" s="34">
        <v>9.9589041095890424E-2</v>
      </c>
      <c r="O280" s="33">
        <f t="shared" si="24"/>
        <v>2709838.3235616442</v>
      </c>
    </row>
    <row r="281" spans="1:15" x14ac:dyDescent="0.25">
      <c r="A281" s="30" t="s">
        <v>728</v>
      </c>
      <c r="B281" s="30">
        <v>30019</v>
      </c>
      <c r="C281" s="32">
        <v>45635</v>
      </c>
      <c r="D281" s="32">
        <v>45716</v>
      </c>
      <c r="E281" s="37">
        <f t="shared" si="20"/>
        <v>81</v>
      </c>
      <c r="F281" s="30" t="s">
        <v>1600</v>
      </c>
      <c r="G281" s="37">
        <v>32</v>
      </c>
      <c r="I281" s="30" t="s">
        <v>1599</v>
      </c>
      <c r="J281" s="36">
        <v>4536000</v>
      </c>
      <c r="K281" s="35">
        <f t="shared" si="21"/>
        <v>68040</v>
      </c>
      <c r="L281" s="35">
        <f t="shared" si="22"/>
        <v>882.00000000000011</v>
      </c>
      <c r="M281" s="35">
        <f t="shared" si="23"/>
        <v>22680</v>
      </c>
      <c r="N281" s="34">
        <v>8.9753086419753089E-2</v>
      </c>
      <c r="O281" s="33">
        <f t="shared" si="24"/>
        <v>407120</v>
      </c>
    </row>
    <row r="282" spans="1:15" x14ac:dyDescent="0.25">
      <c r="A282" s="30" t="s">
        <v>728</v>
      </c>
      <c r="B282" s="30">
        <v>30019</v>
      </c>
      <c r="C282" s="32">
        <v>45635</v>
      </c>
      <c r="D282" s="32">
        <v>45716</v>
      </c>
      <c r="E282" s="37">
        <f t="shared" si="20"/>
        <v>81</v>
      </c>
      <c r="F282" s="30" t="s">
        <v>1600</v>
      </c>
      <c r="G282" s="37">
        <v>32</v>
      </c>
      <c r="I282" s="30" t="s">
        <v>1599</v>
      </c>
      <c r="J282" s="36">
        <v>7263000</v>
      </c>
      <c r="K282" s="35">
        <f t="shared" si="21"/>
        <v>108945</v>
      </c>
      <c r="L282" s="35">
        <f t="shared" si="22"/>
        <v>1412.2500000000002</v>
      </c>
      <c r="M282" s="35">
        <f t="shared" si="23"/>
        <v>36315</v>
      </c>
      <c r="N282" s="34">
        <v>8.9753086419753089E-2</v>
      </c>
      <c r="O282" s="33">
        <f t="shared" si="24"/>
        <v>651876.66666666674</v>
      </c>
    </row>
    <row r="283" spans="1:15" x14ac:dyDescent="0.25">
      <c r="A283" s="30" t="s">
        <v>728</v>
      </c>
      <c r="B283" s="30">
        <v>30019</v>
      </c>
      <c r="C283" s="32">
        <v>45635</v>
      </c>
      <c r="D283" s="32">
        <v>45716</v>
      </c>
      <c r="E283" s="37">
        <f t="shared" si="20"/>
        <v>81</v>
      </c>
      <c r="F283" s="30" t="s">
        <v>1600</v>
      </c>
      <c r="G283" s="37">
        <v>32</v>
      </c>
      <c r="I283" s="30" t="s">
        <v>1599</v>
      </c>
      <c r="J283" s="36">
        <v>14148000</v>
      </c>
      <c r="K283" s="35">
        <f t="shared" si="21"/>
        <v>212220</v>
      </c>
      <c r="L283" s="35">
        <f t="shared" si="22"/>
        <v>2751.0000000000005</v>
      </c>
      <c r="M283" s="35">
        <f t="shared" si="23"/>
        <v>70740</v>
      </c>
      <c r="N283" s="34">
        <v>8.9753086419753089E-2</v>
      </c>
      <c r="O283" s="33">
        <f t="shared" si="24"/>
        <v>1269826.6666666667</v>
      </c>
    </row>
    <row r="284" spans="1:15" x14ac:dyDescent="0.25">
      <c r="A284" s="30" t="s">
        <v>728</v>
      </c>
      <c r="B284" s="30">
        <v>30019</v>
      </c>
      <c r="C284" s="32">
        <v>45635</v>
      </c>
      <c r="D284" s="32">
        <v>45716</v>
      </c>
      <c r="E284" s="37">
        <f t="shared" si="20"/>
        <v>81</v>
      </c>
      <c r="F284" s="30" t="s">
        <v>1600</v>
      </c>
      <c r="G284" s="37">
        <v>32</v>
      </c>
      <c r="I284" s="30" t="s">
        <v>1599</v>
      </c>
      <c r="J284" s="36">
        <v>74417823</v>
      </c>
      <c r="K284" s="35">
        <f t="shared" si="21"/>
        <v>1116267.345</v>
      </c>
      <c r="L284" s="35">
        <f t="shared" si="22"/>
        <v>14470.132250000001</v>
      </c>
      <c r="M284" s="35">
        <f t="shared" si="23"/>
        <v>372089.11499999999</v>
      </c>
      <c r="N284" s="34">
        <v>8.9753086419753089E-2</v>
      </c>
      <c r="O284" s="33">
        <f t="shared" si="24"/>
        <v>6679229.2988888891</v>
      </c>
    </row>
    <row r="285" spans="1:15" x14ac:dyDescent="0.25">
      <c r="A285" s="30" t="s">
        <v>728</v>
      </c>
      <c r="B285" s="30">
        <v>30019</v>
      </c>
      <c r="C285" s="32">
        <v>45635</v>
      </c>
      <c r="D285" s="32">
        <v>45718</v>
      </c>
      <c r="E285" s="37">
        <f t="shared" si="20"/>
        <v>83</v>
      </c>
      <c r="F285" s="30" t="s">
        <v>1605</v>
      </c>
      <c r="G285" s="37">
        <v>32</v>
      </c>
      <c r="H285" s="30" t="s">
        <v>784</v>
      </c>
      <c r="I285" s="30" t="s">
        <v>1586</v>
      </c>
      <c r="J285" s="36">
        <v>2587500</v>
      </c>
      <c r="K285" s="35">
        <f t="shared" si="21"/>
        <v>38812.5</v>
      </c>
      <c r="L285" s="35">
        <f t="shared" si="22"/>
        <v>503.12500000000006</v>
      </c>
      <c r="M285" s="35">
        <f t="shared" si="23"/>
        <v>12937.5</v>
      </c>
      <c r="N285" s="34">
        <v>8.7590361445783138E-2</v>
      </c>
      <c r="O285" s="33">
        <f t="shared" si="24"/>
        <v>226640.06024096388</v>
      </c>
    </row>
    <row r="286" spans="1:15" x14ac:dyDescent="0.25">
      <c r="A286" s="30" t="s">
        <v>728</v>
      </c>
      <c r="B286" s="30">
        <v>30019</v>
      </c>
      <c r="C286" s="32">
        <v>45635</v>
      </c>
      <c r="D286" s="32">
        <v>45718</v>
      </c>
      <c r="E286" s="37">
        <f t="shared" si="20"/>
        <v>83</v>
      </c>
      <c r="F286" s="30" t="s">
        <v>1605</v>
      </c>
      <c r="G286" s="37">
        <v>32</v>
      </c>
      <c r="H286" s="30" t="s">
        <v>784</v>
      </c>
      <c r="I286" s="30" t="s">
        <v>1586</v>
      </c>
      <c r="J286" s="36">
        <v>3780000</v>
      </c>
      <c r="K286" s="35">
        <f t="shared" si="21"/>
        <v>56700</v>
      </c>
      <c r="L286" s="35">
        <f t="shared" si="22"/>
        <v>735</v>
      </c>
      <c r="M286" s="35">
        <f t="shared" si="23"/>
        <v>18900</v>
      </c>
      <c r="N286" s="34">
        <v>8.7590361445783138E-2</v>
      </c>
      <c r="O286" s="33">
        <f t="shared" si="24"/>
        <v>331091.56626506028</v>
      </c>
    </row>
    <row r="287" spans="1:15" x14ac:dyDescent="0.25">
      <c r="A287" s="30" t="s">
        <v>728</v>
      </c>
      <c r="B287" s="30">
        <v>30019</v>
      </c>
      <c r="C287" s="32">
        <v>45635</v>
      </c>
      <c r="D287" s="32">
        <v>45749</v>
      </c>
      <c r="E287" s="37">
        <f t="shared" si="20"/>
        <v>114</v>
      </c>
      <c r="F287" s="30" t="s">
        <v>1585</v>
      </c>
      <c r="G287" s="37">
        <v>32</v>
      </c>
      <c r="H287" s="30" t="s">
        <v>1584</v>
      </c>
      <c r="I287" s="30" t="s">
        <v>740</v>
      </c>
      <c r="J287" s="36">
        <v>7996274</v>
      </c>
      <c r="K287" s="35">
        <f t="shared" si="21"/>
        <v>119944.11</v>
      </c>
      <c r="L287" s="35">
        <f t="shared" si="22"/>
        <v>1554.8310555555556</v>
      </c>
      <c r="M287" s="35">
        <f t="shared" si="23"/>
        <v>39981.370000000003</v>
      </c>
      <c r="N287" s="34">
        <v>6.377192982456141E-2</v>
      </c>
      <c r="O287" s="33">
        <f t="shared" si="24"/>
        <v>509937.82438596495</v>
      </c>
    </row>
    <row r="288" spans="1:15" x14ac:dyDescent="0.25">
      <c r="A288" s="30" t="s">
        <v>728</v>
      </c>
      <c r="B288" s="30">
        <v>30019</v>
      </c>
      <c r="C288" s="32">
        <v>45636</v>
      </c>
      <c r="D288" s="32">
        <v>45682</v>
      </c>
      <c r="E288" s="37">
        <f t="shared" si="20"/>
        <v>46</v>
      </c>
      <c r="F288" s="30" t="s">
        <v>1606</v>
      </c>
      <c r="G288" s="37">
        <v>32</v>
      </c>
      <c r="I288" s="30" t="s">
        <v>740</v>
      </c>
      <c r="J288" s="36">
        <v>5238989</v>
      </c>
      <c r="K288" s="35">
        <f t="shared" si="21"/>
        <v>78584.834999999992</v>
      </c>
      <c r="L288" s="35">
        <f t="shared" si="22"/>
        <v>1018.6923055555557</v>
      </c>
      <c r="M288" s="35">
        <f t="shared" si="23"/>
        <v>26194.945</v>
      </c>
      <c r="N288" s="34">
        <v>0.15804347826086954</v>
      </c>
      <c r="O288" s="33">
        <f t="shared" si="24"/>
        <v>827988.04413043463</v>
      </c>
    </row>
    <row r="289" spans="1:15" x14ac:dyDescent="0.25">
      <c r="A289" s="30" t="s">
        <v>728</v>
      </c>
      <c r="B289" s="30">
        <v>30019</v>
      </c>
      <c r="C289" s="32">
        <v>45636</v>
      </c>
      <c r="D289" s="32">
        <v>45688</v>
      </c>
      <c r="E289" s="37">
        <f t="shared" si="20"/>
        <v>52</v>
      </c>
      <c r="F289" s="30" t="s">
        <v>1605</v>
      </c>
      <c r="G289" s="37">
        <v>32</v>
      </c>
      <c r="H289" s="30" t="s">
        <v>784</v>
      </c>
      <c r="I289" s="30" t="s">
        <v>1586</v>
      </c>
      <c r="J289" s="36">
        <v>3037500</v>
      </c>
      <c r="K289" s="35">
        <f t="shared" si="21"/>
        <v>45562.5</v>
      </c>
      <c r="L289" s="35">
        <f t="shared" si="22"/>
        <v>590.62500000000011</v>
      </c>
      <c r="M289" s="35">
        <f t="shared" si="23"/>
        <v>15187.5</v>
      </c>
      <c r="N289" s="34">
        <v>0.13980769230769233</v>
      </c>
      <c r="O289" s="33">
        <f t="shared" si="24"/>
        <v>424665.86538461543</v>
      </c>
    </row>
    <row r="290" spans="1:15" x14ac:dyDescent="0.25">
      <c r="A290" s="30" t="s">
        <v>728</v>
      </c>
      <c r="B290" s="30">
        <v>30019</v>
      </c>
      <c r="C290" s="32">
        <v>45636</v>
      </c>
      <c r="D290" s="32">
        <v>45699</v>
      </c>
      <c r="E290" s="37">
        <f t="shared" si="20"/>
        <v>63</v>
      </c>
      <c r="F290" s="30" t="s">
        <v>1590</v>
      </c>
      <c r="G290" s="37">
        <v>32</v>
      </c>
      <c r="I290" s="30" t="s">
        <v>1589</v>
      </c>
      <c r="J290" s="36">
        <v>175500</v>
      </c>
      <c r="K290" s="35">
        <f t="shared" si="21"/>
        <v>2632.5</v>
      </c>
      <c r="L290" s="35">
        <f t="shared" si="22"/>
        <v>34.125000000000007</v>
      </c>
      <c r="M290" s="35">
        <f t="shared" si="23"/>
        <v>877.5</v>
      </c>
      <c r="N290" s="34">
        <v>0.1153968253968254</v>
      </c>
      <c r="O290" s="33">
        <f t="shared" si="24"/>
        <v>20252.142857142859</v>
      </c>
    </row>
    <row r="291" spans="1:15" x14ac:dyDescent="0.25">
      <c r="A291" s="30" t="s">
        <v>728</v>
      </c>
      <c r="B291" s="30">
        <v>30019</v>
      </c>
      <c r="C291" s="32">
        <v>45636</v>
      </c>
      <c r="D291" s="32">
        <v>45699</v>
      </c>
      <c r="E291" s="37">
        <f t="shared" si="20"/>
        <v>63</v>
      </c>
      <c r="F291" s="30" t="s">
        <v>1590</v>
      </c>
      <c r="G291" s="37">
        <v>32</v>
      </c>
      <c r="I291" s="30" t="s">
        <v>1589</v>
      </c>
      <c r="J291" s="36">
        <v>526500</v>
      </c>
      <c r="K291" s="35">
        <f t="shared" si="21"/>
        <v>7897.5</v>
      </c>
      <c r="L291" s="35">
        <f t="shared" si="22"/>
        <v>102.375</v>
      </c>
      <c r="M291" s="35">
        <f t="shared" si="23"/>
        <v>2632.5</v>
      </c>
      <c r="N291" s="34">
        <v>0.1153968253968254</v>
      </c>
      <c r="O291" s="33">
        <f t="shared" si="24"/>
        <v>60756.428571428572</v>
      </c>
    </row>
    <row r="292" spans="1:15" x14ac:dyDescent="0.25">
      <c r="A292" s="30" t="s">
        <v>728</v>
      </c>
      <c r="B292" s="30">
        <v>30019</v>
      </c>
      <c r="C292" s="32">
        <v>45636</v>
      </c>
      <c r="D292" s="32">
        <v>45699</v>
      </c>
      <c r="E292" s="37">
        <f t="shared" si="20"/>
        <v>63</v>
      </c>
      <c r="F292" s="30" t="s">
        <v>1590</v>
      </c>
      <c r="G292" s="37">
        <v>32</v>
      </c>
      <c r="I292" s="30" t="s">
        <v>1589</v>
      </c>
      <c r="J292" s="36">
        <v>1228500</v>
      </c>
      <c r="K292" s="35">
        <f t="shared" si="21"/>
        <v>18427.5</v>
      </c>
      <c r="L292" s="35">
        <f t="shared" si="22"/>
        <v>238.87500000000003</v>
      </c>
      <c r="M292" s="35">
        <f t="shared" si="23"/>
        <v>6142.5</v>
      </c>
      <c r="N292" s="34">
        <v>0.1153968253968254</v>
      </c>
      <c r="O292" s="33">
        <f t="shared" si="24"/>
        <v>141765</v>
      </c>
    </row>
    <row r="293" spans="1:15" x14ac:dyDescent="0.25">
      <c r="A293" s="30" t="s">
        <v>728</v>
      </c>
      <c r="B293" s="30">
        <v>30019</v>
      </c>
      <c r="C293" s="32">
        <v>45636</v>
      </c>
      <c r="D293" s="32">
        <v>45699</v>
      </c>
      <c r="E293" s="37">
        <f t="shared" si="20"/>
        <v>63</v>
      </c>
      <c r="F293" s="30" t="s">
        <v>1590</v>
      </c>
      <c r="G293" s="37">
        <v>32</v>
      </c>
      <c r="I293" s="30" t="s">
        <v>1589</v>
      </c>
      <c r="J293" s="36">
        <v>1491750</v>
      </c>
      <c r="K293" s="35">
        <f t="shared" si="21"/>
        <v>22376.25</v>
      </c>
      <c r="L293" s="35">
        <f t="shared" si="22"/>
        <v>290.06250000000006</v>
      </c>
      <c r="M293" s="35">
        <f t="shared" si="23"/>
        <v>7458.75</v>
      </c>
      <c r="N293" s="34">
        <v>0.1153968253968254</v>
      </c>
      <c r="O293" s="33">
        <f t="shared" si="24"/>
        <v>172143.21428571429</v>
      </c>
    </row>
    <row r="294" spans="1:15" x14ac:dyDescent="0.25">
      <c r="A294" s="30" t="s">
        <v>728</v>
      </c>
      <c r="B294" s="30">
        <v>30019</v>
      </c>
      <c r="C294" s="32">
        <v>45636</v>
      </c>
      <c r="D294" s="32">
        <v>45708</v>
      </c>
      <c r="E294" s="37">
        <f t="shared" si="20"/>
        <v>72</v>
      </c>
      <c r="F294" s="30" t="s">
        <v>1590</v>
      </c>
      <c r="G294" s="37">
        <v>32</v>
      </c>
      <c r="I294" s="30" t="s">
        <v>1589</v>
      </c>
      <c r="J294" s="36">
        <v>751685</v>
      </c>
      <c r="K294" s="35">
        <f t="shared" si="21"/>
        <v>11275.275</v>
      </c>
      <c r="L294" s="35">
        <f t="shared" si="22"/>
        <v>146.16097222222223</v>
      </c>
      <c r="M294" s="35">
        <f t="shared" si="23"/>
        <v>3758.4250000000002</v>
      </c>
      <c r="N294" s="34">
        <v>0.1009722222222222</v>
      </c>
      <c r="O294" s="33">
        <f t="shared" si="24"/>
        <v>75899.304861111101</v>
      </c>
    </row>
    <row r="295" spans="1:15" x14ac:dyDescent="0.25">
      <c r="A295" s="30" t="s">
        <v>728</v>
      </c>
      <c r="B295" s="30">
        <v>30019</v>
      </c>
      <c r="C295" s="32">
        <v>45636</v>
      </c>
      <c r="D295" s="32">
        <v>45708</v>
      </c>
      <c r="E295" s="37">
        <f t="shared" si="20"/>
        <v>72</v>
      </c>
      <c r="F295" s="30" t="s">
        <v>1590</v>
      </c>
      <c r="G295" s="37">
        <v>32</v>
      </c>
      <c r="I295" s="30" t="s">
        <v>1589</v>
      </c>
      <c r="J295" s="36">
        <v>4345580</v>
      </c>
      <c r="K295" s="35">
        <f t="shared" si="21"/>
        <v>65183.7</v>
      </c>
      <c r="L295" s="35">
        <f t="shared" si="22"/>
        <v>844.97388888888895</v>
      </c>
      <c r="M295" s="35">
        <f t="shared" si="23"/>
        <v>21727.9</v>
      </c>
      <c r="N295" s="34">
        <v>0.1009722222222222</v>
      </c>
      <c r="O295" s="33">
        <f t="shared" si="24"/>
        <v>438782.86944444437</v>
      </c>
    </row>
    <row r="296" spans="1:15" x14ac:dyDescent="0.25">
      <c r="A296" s="30" t="s">
        <v>728</v>
      </c>
      <c r="B296" s="30">
        <v>30019</v>
      </c>
      <c r="C296" s="32">
        <v>45636</v>
      </c>
      <c r="D296" s="32">
        <v>45719</v>
      </c>
      <c r="E296" s="37">
        <f t="shared" si="20"/>
        <v>83</v>
      </c>
      <c r="F296" s="30" t="s">
        <v>1604</v>
      </c>
      <c r="G296" s="37">
        <v>32</v>
      </c>
      <c r="I296" s="30" t="s">
        <v>1603</v>
      </c>
      <c r="J296" s="36">
        <v>2116418</v>
      </c>
      <c r="K296" s="35">
        <f t="shared" si="21"/>
        <v>31746.27</v>
      </c>
      <c r="L296" s="35">
        <f t="shared" si="22"/>
        <v>411.52572222222227</v>
      </c>
      <c r="M296" s="35">
        <f t="shared" si="23"/>
        <v>10582.09</v>
      </c>
      <c r="N296" s="34">
        <v>8.7590361445783138E-2</v>
      </c>
      <c r="O296" s="33">
        <f t="shared" si="24"/>
        <v>185377.81759036146</v>
      </c>
    </row>
    <row r="297" spans="1:15" x14ac:dyDescent="0.25">
      <c r="A297" s="30" t="s">
        <v>728</v>
      </c>
      <c r="B297" s="30">
        <v>30019</v>
      </c>
      <c r="C297" s="32">
        <v>45636</v>
      </c>
      <c r="D297" s="32">
        <v>45719</v>
      </c>
      <c r="E297" s="37">
        <f t="shared" si="20"/>
        <v>83</v>
      </c>
      <c r="F297" s="30" t="s">
        <v>1604</v>
      </c>
      <c r="G297" s="37">
        <v>32</v>
      </c>
      <c r="I297" s="30" t="s">
        <v>1603</v>
      </c>
      <c r="J297" s="36">
        <v>2223293</v>
      </c>
      <c r="K297" s="35">
        <f t="shared" si="21"/>
        <v>33349.394999999997</v>
      </c>
      <c r="L297" s="35">
        <f t="shared" si="22"/>
        <v>432.30697222222227</v>
      </c>
      <c r="M297" s="35">
        <f t="shared" si="23"/>
        <v>11116.465</v>
      </c>
      <c r="N297" s="34">
        <v>8.759036144578311E-2</v>
      </c>
      <c r="O297" s="33">
        <f t="shared" si="24"/>
        <v>194739.03746987946</v>
      </c>
    </row>
    <row r="298" spans="1:15" x14ac:dyDescent="0.25">
      <c r="A298" s="30" t="s">
        <v>728</v>
      </c>
      <c r="B298" s="30">
        <v>30019</v>
      </c>
      <c r="C298" s="32">
        <v>45636</v>
      </c>
      <c r="D298" s="32">
        <v>45719</v>
      </c>
      <c r="E298" s="37">
        <f t="shared" si="20"/>
        <v>83</v>
      </c>
      <c r="F298" s="30" t="s">
        <v>1604</v>
      </c>
      <c r="G298" s="37">
        <v>32</v>
      </c>
      <c r="I298" s="30" t="s">
        <v>1603</v>
      </c>
      <c r="J298" s="36">
        <v>2470325</v>
      </c>
      <c r="K298" s="35">
        <f t="shared" si="21"/>
        <v>37054.875</v>
      </c>
      <c r="L298" s="35">
        <f t="shared" si="22"/>
        <v>480.34097222222232</v>
      </c>
      <c r="M298" s="35">
        <f t="shared" si="23"/>
        <v>12351.625</v>
      </c>
      <c r="N298" s="34">
        <v>8.7590361445783138E-2</v>
      </c>
      <c r="O298" s="33">
        <f t="shared" si="24"/>
        <v>216376.65963855424</v>
      </c>
    </row>
    <row r="299" spans="1:15" x14ac:dyDescent="0.25">
      <c r="A299" s="30" t="s">
        <v>728</v>
      </c>
      <c r="B299" s="30">
        <v>30019</v>
      </c>
      <c r="C299" s="32">
        <v>45638</v>
      </c>
      <c r="D299" s="32">
        <v>45721</v>
      </c>
      <c r="E299" s="37">
        <f t="shared" si="20"/>
        <v>83</v>
      </c>
      <c r="F299" s="30" t="s">
        <v>1602</v>
      </c>
      <c r="G299" s="37">
        <v>32</v>
      </c>
      <c r="I299" s="30" t="s">
        <v>1601</v>
      </c>
      <c r="J299" s="36">
        <v>2001515</v>
      </c>
      <c r="K299" s="35">
        <f t="shared" si="21"/>
        <v>30022.724999999999</v>
      </c>
      <c r="L299" s="35">
        <f t="shared" si="22"/>
        <v>389.18347222222229</v>
      </c>
      <c r="M299" s="35">
        <f t="shared" si="23"/>
        <v>10007.575000000001</v>
      </c>
      <c r="N299" s="34">
        <v>8.7590361445783138E-2</v>
      </c>
      <c r="O299" s="33">
        <f t="shared" si="24"/>
        <v>175313.42228915665</v>
      </c>
    </row>
    <row r="300" spans="1:15" x14ac:dyDescent="0.25">
      <c r="A300" s="30" t="s">
        <v>728</v>
      </c>
      <c r="B300" s="30">
        <v>30019</v>
      </c>
      <c r="C300" s="32">
        <v>45638</v>
      </c>
      <c r="D300" s="32">
        <v>45721</v>
      </c>
      <c r="E300" s="37">
        <f t="shared" si="20"/>
        <v>83</v>
      </c>
      <c r="F300" s="30" t="s">
        <v>1602</v>
      </c>
      <c r="G300" s="37">
        <v>32</v>
      </c>
      <c r="I300" s="30" t="s">
        <v>1601</v>
      </c>
      <c r="J300" s="36">
        <v>3151337</v>
      </c>
      <c r="K300" s="35">
        <f t="shared" si="21"/>
        <v>47270.055</v>
      </c>
      <c r="L300" s="35">
        <f t="shared" si="22"/>
        <v>612.75997222222225</v>
      </c>
      <c r="M300" s="35">
        <f t="shared" si="23"/>
        <v>15756.684999999999</v>
      </c>
      <c r="N300" s="34">
        <v>8.7590361445783138E-2</v>
      </c>
      <c r="O300" s="33">
        <f t="shared" si="24"/>
        <v>276026.74686746992</v>
      </c>
    </row>
    <row r="301" spans="1:15" x14ac:dyDescent="0.25">
      <c r="A301" s="30" t="s">
        <v>728</v>
      </c>
      <c r="B301" s="30">
        <v>30019</v>
      </c>
      <c r="C301" s="32">
        <v>45638</v>
      </c>
      <c r="D301" s="32">
        <v>45753</v>
      </c>
      <c r="E301" s="37">
        <f t="shared" si="20"/>
        <v>115</v>
      </c>
      <c r="F301" s="30" t="s">
        <v>1582</v>
      </c>
      <c r="G301" s="37">
        <v>32</v>
      </c>
      <c r="H301" s="30" t="s">
        <v>1178</v>
      </c>
      <c r="I301" s="30" t="s">
        <v>740</v>
      </c>
      <c r="J301" s="36">
        <v>2571664</v>
      </c>
      <c r="K301" s="35">
        <f t="shared" si="21"/>
        <v>38574.959999999999</v>
      </c>
      <c r="L301" s="35">
        <f t="shared" si="22"/>
        <v>500.0457777777778</v>
      </c>
      <c r="M301" s="35">
        <f t="shared" si="23"/>
        <v>12858.32</v>
      </c>
      <c r="N301" s="34">
        <v>6.3217391304347836E-2</v>
      </c>
      <c r="O301" s="33">
        <f t="shared" si="24"/>
        <v>162573.88939130437</v>
      </c>
    </row>
    <row r="302" spans="1:15" x14ac:dyDescent="0.25">
      <c r="A302" s="30" t="s">
        <v>728</v>
      </c>
      <c r="B302" s="30">
        <v>30019</v>
      </c>
      <c r="C302" s="32">
        <v>45638</v>
      </c>
      <c r="D302" s="32">
        <v>45753</v>
      </c>
      <c r="E302" s="37">
        <f t="shared" si="20"/>
        <v>115</v>
      </c>
      <c r="F302" s="30" t="s">
        <v>1582</v>
      </c>
      <c r="G302" s="37">
        <v>32</v>
      </c>
      <c r="H302" s="30" t="s">
        <v>1178</v>
      </c>
      <c r="I302" s="30" t="s">
        <v>740</v>
      </c>
      <c r="J302" s="36">
        <v>2970961</v>
      </c>
      <c r="K302" s="35">
        <f t="shared" si="21"/>
        <v>44564.415000000001</v>
      </c>
      <c r="L302" s="35">
        <f t="shared" si="22"/>
        <v>577.68686111111117</v>
      </c>
      <c r="M302" s="35">
        <f t="shared" si="23"/>
        <v>14854.805</v>
      </c>
      <c r="N302" s="34">
        <v>6.3217391304347836E-2</v>
      </c>
      <c r="O302" s="33">
        <f t="shared" si="24"/>
        <v>187816.40408695655</v>
      </c>
    </row>
    <row r="303" spans="1:15" x14ac:dyDescent="0.25">
      <c r="A303" s="30" t="s">
        <v>728</v>
      </c>
      <c r="B303" s="30">
        <v>30019</v>
      </c>
      <c r="C303" s="32">
        <v>45650</v>
      </c>
      <c r="D303" s="32">
        <v>45713</v>
      </c>
      <c r="E303" s="37">
        <f t="shared" si="20"/>
        <v>63</v>
      </c>
      <c r="F303" s="30" t="s">
        <v>1590</v>
      </c>
      <c r="G303" s="37">
        <v>32</v>
      </c>
      <c r="I303" s="30" t="s">
        <v>1589</v>
      </c>
      <c r="J303" s="36">
        <v>526500</v>
      </c>
      <c r="K303" s="35">
        <f t="shared" si="21"/>
        <v>7897.5</v>
      </c>
      <c r="L303" s="35">
        <f t="shared" si="22"/>
        <v>102.375</v>
      </c>
      <c r="M303" s="35">
        <f t="shared" si="23"/>
        <v>2632.5</v>
      </c>
      <c r="N303" s="34">
        <v>0.1153968253968254</v>
      </c>
      <c r="O303" s="33">
        <f t="shared" si="24"/>
        <v>60756.428571428572</v>
      </c>
    </row>
    <row r="304" spans="1:15" x14ac:dyDescent="0.25">
      <c r="A304" s="30" t="s">
        <v>728</v>
      </c>
      <c r="B304" s="30">
        <v>30019</v>
      </c>
      <c r="C304" s="32">
        <v>45650</v>
      </c>
      <c r="D304" s="32">
        <v>45713</v>
      </c>
      <c r="E304" s="37">
        <f t="shared" si="20"/>
        <v>63</v>
      </c>
      <c r="F304" s="30" t="s">
        <v>1590</v>
      </c>
      <c r="G304" s="37">
        <v>32</v>
      </c>
      <c r="I304" s="30" t="s">
        <v>1589</v>
      </c>
      <c r="J304" s="36">
        <v>1228500</v>
      </c>
      <c r="K304" s="35">
        <f t="shared" si="21"/>
        <v>18427.5</v>
      </c>
      <c r="L304" s="35">
        <f t="shared" si="22"/>
        <v>238.87500000000003</v>
      </c>
      <c r="M304" s="35">
        <f t="shared" si="23"/>
        <v>6142.5</v>
      </c>
      <c r="N304" s="34">
        <v>0.1153968253968254</v>
      </c>
      <c r="O304" s="33">
        <f t="shared" si="24"/>
        <v>141765</v>
      </c>
    </row>
    <row r="305" spans="1:15" x14ac:dyDescent="0.25">
      <c r="A305" s="30" t="s">
        <v>728</v>
      </c>
      <c r="B305" s="30">
        <v>30019</v>
      </c>
      <c r="C305" s="32">
        <v>45650</v>
      </c>
      <c r="D305" s="32">
        <v>45716</v>
      </c>
      <c r="E305" s="37">
        <f t="shared" si="20"/>
        <v>66</v>
      </c>
      <c r="F305" s="30" t="s">
        <v>1600</v>
      </c>
      <c r="G305" s="37">
        <v>32</v>
      </c>
      <c r="I305" s="30" t="s">
        <v>1599</v>
      </c>
      <c r="J305" s="36">
        <v>19008000</v>
      </c>
      <c r="K305" s="35">
        <f t="shared" si="21"/>
        <v>285120</v>
      </c>
      <c r="L305" s="35">
        <f t="shared" si="22"/>
        <v>3696.0000000000005</v>
      </c>
      <c r="M305" s="35">
        <f t="shared" si="23"/>
        <v>95040</v>
      </c>
      <c r="N305" s="34">
        <v>0.11015151515151515</v>
      </c>
      <c r="O305" s="33">
        <f t="shared" si="24"/>
        <v>2093760</v>
      </c>
    </row>
    <row r="306" spans="1:15" x14ac:dyDescent="0.25">
      <c r="A306" s="30" t="s">
        <v>728</v>
      </c>
      <c r="B306" s="30">
        <v>30019</v>
      </c>
      <c r="C306" s="32">
        <v>45650</v>
      </c>
      <c r="D306" s="32">
        <v>45716</v>
      </c>
      <c r="E306" s="37">
        <f t="shared" si="20"/>
        <v>66</v>
      </c>
      <c r="F306" s="30" t="s">
        <v>1600</v>
      </c>
      <c r="G306" s="37">
        <v>32</v>
      </c>
      <c r="I306" s="30" t="s">
        <v>1599</v>
      </c>
      <c r="J306" s="36">
        <v>104628527</v>
      </c>
      <c r="K306" s="35">
        <f t="shared" si="21"/>
        <v>1569427.905</v>
      </c>
      <c r="L306" s="35">
        <f t="shared" si="22"/>
        <v>20344.435805555557</v>
      </c>
      <c r="M306" s="35">
        <f t="shared" si="23"/>
        <v>523142.63500000001</v>
      </c>
      <c r="N306" s="34">
        <v>0.11015151515151513</v>
      </c>
      <c r="O306" s="33">
        <f t="shared" si="24"/>
        <v>11524990.777121209</v>
      </c>
    </row>
    <row r="307" spans="1:15" x14ac:dyDescent="0.25">
      <c r="A307" s="30" t="s">
        <v>728</v>
      </c>
      <c r="B307" s="30">
        <v>30019</v>
      </c>
      <c r="C307" s="32">
        <v>45650</v>
      </c>
      <c r="D307" s="32">
        <v>45726</v>
      </c>
      <c r="E307" s="37">
        <f t="shared" si="20"/>
        <v>76</v>
      </c>
      <c r="F307" s="30" t="s">
        <v>1598</v>
      </c>
      <c r="G307" s="37">
        <v>32</v>
      </c>
      <c r="I307" s="30" t="s">
        <v>1597</v>
      </c>
      <c r="J307" s="36">
        <v>306000</v>
      </c>
      <c r="K307" s="35">
        <f t="shared" si="21"/>
        <v>4590</v>
      </c>
      <c r="L307" s="35">
        <f t="shared" si="22"/>
        <v>59.500000000000007</v>
      </c>
      <c r="M307" s="35">
        <f t="shared" si="23"/>
        <v>1530</v>
      </c>
      <c r="N307" s="34">
        <v>9.5657894736842108E-2</v>
      </c>
      <c r="O307" s="33">
        <f t="shared" si="24"/>
        <v>29271.315789473687</v>
      </c>
    </row>
    <row r="308" spans="1:15" x14ac:dyDescent="0.25">
      <c r="A308" s="30" t="s">
        <v>728</v>
      </c>
      <c r="B308" s="30">
        <v>30019</v>
      </c>
      <c r="C308" s="32">
        <v>45650</v>
      </c>
      <c r="D308" s="32">
        <v>45728</v>
      </c>
      <c r="E308" s="37">
        <f t="shared" si="20"/>
        <v>78</v>
      </c>
      <c r="F308" s="30" t="s">
        <v>1583</v>
      </c>
      <c r="G308" s="37">
        <v>32</v>
      </c>
      <c r="I308" s="30" t="s">
        <v>727</v>
      </c>
      <c r="J308" s="36">
        <v>42804</v>
      </c>
      <c r="K308" s="35">
        <f t="shared" si="21"/>
        <v>642.05999999999995</v>
      </c>
      <c r="L308" s="35">
        <f t="shared" si="22"/>
        <v>8.3230000000000004</v>
      </c>
      <c r="M308" s="35">
        <f t="shared" si="23"/>
        <v>214.02</v>
      </c>
      <c r="N308" s="34">
        <v>9.320512820512819E-2</v>
      </c>
      <c r="O308" s="33">
        <f t="shared" si="24"/>
        <v>3989.5523076923068</v>
      </c>
    </row>
    <row r="309" spans="1:15" x14ac:dyDescent="0.25">
      <c r="A309" s="30" t="s">
        <v>728</v>
      </c>
      <c r="B309" s="30">
        <v>30019</v>
      </c>
      <c r="C309" s="32">
        <v>45650</v>
      </c>
      <c r="D309" s="32">
        <v>45728</v>
      </c>
      <c r="E309" s="37">
        <f t="shared" si="20"/>
        <v>78</v>
      </c>
      <c r="F309" s="30" t="s">
        <v>1583</v>
      </c>
      <c r="G309" s="37">
        <v>32</v>
      </c>
      <c r="I309" s="30" t="s">
        <v>727</v>
      </c>
      <c r="J309" s="36">
        <v>80258</v>
      </c>
      <c r="K309" s="35">
        <f t="shared" si="21"/>
        <v>1203.8699999999999</v>
      </c>
      <c r="L309" s="35">
        <f t="shared" si="22"/>
        <v>15.605722222222223</v>
      </c>
      <c r="M309" s="35">
        <f t="shared" si="23"/>
        <v>401.29</v>
      </c>
      <c r="N309" s="34">
        <v>9.3205128205128204E-2</v>
      </c>
      <c r="O309" s="33">
        <f t="shared" si="24"/>
        <v>7480.457179487179</v>
      </c>
    </row>
    <row r="310" spans="1:15" x14ac:dyDescent="0.25">
      <c r="A310" s="30" t="s">
        <v>728</v>
      </c>
      <c r="B310" s="30">
        <v>30019</v>
      </c>
      <c r="C310" s="32">
        <v>45650</v>
      </c>
      <c r="D310" s="32">
        <v>45728</v>
      </c>
      <c r="E310" s="37">
        <f t="shared" si="20"/>
        <v>78</v>
      </c>
      <c r="F310" s="30" t="s">
        <v>1583</v>
      </c>
      <c r="G310" s="37">
        <v>32</v>
      </c>
      <c r="I310" s="30" t="s">
        <v>727</v>
      </c>
      <c r="J310" s="36">
        <v>160515</v>
      </c>
      <c r="K310" s="35">
        <f t="shared" si="21"/>
        <v>2407.7249999999999</v>
      </c>
      <c r="L310" s="35">
        <f t="shared" si="22"/>
        <v>31.211250000000003</v>
      </c>
      <c r="M310" s="35">
        <f t="shared" si="23"/>
        <v>802.57500000000005</v>
      </c>
      <c r="N310" s="34">
        <v>9.320512820512819E-2</v>
      </c>
      <c r="O310" s="33">
        <f t="shared" si="24"/>
        <v>14960.821153846151</v>
      </c>
    </row>
    <row r="311" spans="1:15" x14ac:dyDescent="0.25">
      <c r="A311" s="30" t="s">
        <v>728</v>
      </c>
      <c r="B311" s="30">
        <v>30019</v>
      </c>
      <c r="C311" s="32">
        <v>45650</v>
      </c>
      <c r="D311" s="32">
        <v>45728</v>
      </c>
      <c r="E311" s="37">
        <f t="shared" si="20"/>
        <v>78</v>
      </c>
      <c r="F311" s="30" t="s">
        <v>1583</v>
      </c>
      <c r="G311" s="37">
        <v>32</v>
      </c>
      <c r="I311" s="30" t="s">
        <v>727</v>
      </c>
      <c r="J311" s="36">
        <v>856080</v>
      </c>
      <c r="K311" s="35">
        <f t="shared" si="21"/>
        <v>12841.199999999999</v>
      </c>
      <c r="L311" s="35">
        <f t="shared" si="22"/>
        <v>166.46</v>
      </c>
      <c r="M311" s="35">
        <f t="shared" si="23"/>
        <v>4280.3999999999996</v>
      </c>
      <c r="N311" s="34">
        <v>9.320512820512819E-2</v>
      </c>
      <c r="O311" s="33">
        <f t="shared" si="24"/>
        <v>79791.046153846139</v>
      </c>
    </row>
    <row r="312" spans="1:15" x14ac:dyDescent="0.25">
      <c r="A312" s="30" t="s">
        <v>728</v>
      </c>
      <c r="B312" s="30">
        <v>30019</v>
      </c>
      <c r="C312" s="32">
        <v>45653</v>
      </c>
      <c r="D312" s="32">
        <v>45698</v>
      </c>
      <c r="E312" s="37">
        <f t="shared" si="20"/>
        <v>45</v>
      </c>
      <c r="F312" s="30" t="s">
        <v>1590</v>
      </c>
      <c r="G312" s="37">
        <v>32</v>
      </c>
      <c r="I312" s="30" t="s">
        <v>1589</v>
      </c>
      <c r="J312" s="36">
        <v>751685</v>
      </c>
      <c r="K312" s="35">
        <f t="shared" si="21"/>
        <v>11275.275</v>
      </c>
      <c r="L312" s="35">
        <f t="shared" si="22"/>
        <v>146.16097222222223</v>
      </c>
      <c r="M312" s="35">
        <f t="shared" si="23"/>
        <v>3758.4250000000002</v>
      </c>
      <c r="N312" s="34">
        <v>0.16155555555555554</v>
      </c>
      <c r="O312" s="33">
        <f t="shared" si="24"/>
        <v>121438.88777777777</v>
      </c>
    </row>
    <row r="313" spans="1:15" x14ac:dyDescent="0.25">
      <c r="A313" s="30" t="s">
        <v>728</v>
      </c>
      <c r="B313" s="30">
        <v>30019</v>
      </c>
      <c r="C313" s="32">
        <v>45653</v>
      </c>
      <c r="D313" s="32">
        <v>45708</v>
      </c>
      <c r="E313" s="37">
        <f t="shared" si="20"/>
        <v>55</v>
      </c>
      <c r="F313" s="30" t="s">
        <v>1596</v>
      </c>
      <c r="G313" s="37">
        <v>32</v>
      </c>
      <c r="H313" s="30" t="s">
        <v>1595</v>
      </c>
      <c r="I313" s="30" t="s">
        <v>1594</v>
      </c>
      <c r="J313" s="36">
        <v>104632</v>
      </c>
      <c r="K313" s="35">
        <f t="shared" si="21"/>
        <v>1569.48</v>
      </c>
      <c r="L313" s="35">
        <f t="shared" si="22"/>
        <v>20.345111111111112</v>
      </c>
      <c r="M313" s="35">
        <f t="shared" si="23"/>
        <v>523.16</v>
      </c>
      <c r="N313" s="34">
        <v>0.13218181818181818</v>
      </c>
      <c r="O313" s="33">
        <f t="shared" si="24"/>
        <v>13830.448</v>
      </c>
    </row>
    <row r="314" spans="1:15" x14ac:dyDescent="0.25">
      <c r="A314" s="30" t="s">
        <v>728</v>
      </c>
      <c r="B314" s="30">
        <v>30019</v>
      </c>
      <c r="C314" s="32">
        <v>45653</v>
      </c>
      <c r="D314" s="32">
        <v>45708</v>
      </c>
      <c r="E314" s="37">
        <f t="shared" si="20"/>
        <v>55</v>
      </c>
      <c r="F314" s="30" t="s">
        <v>1596</v>
      </c>
      <c r="G314" s="37">
        <v>32</v>
      </c>
      <c r="H314" s="30" t="s">
        <v>1595</v>
      </c>
      <c r="I314" s="30" t="s">
        <v>1594</v>
      </c>
      <c r="J314" s="36">
        <v>118900</v>
      </c>
      <c r="K314" s="35">
        <f t="shared" si="21"/>
        <v>1783.5</v>
      </c>
      <c r="L314" s="35">
        <f t="shared" si="22"/>
        <v>23.119444444444444</v>
      </c>
      <c r="M314" s="35">
        <f t="shared" si="23"/>
        <v>594.5</v>
      </c>
      <c r="N314" s="34">
        <v>0.13218181818181818</v>
      </c>
      <c r="O314" s="33">
        <f t="shared" si="24"/>
        <v>15716.418181818181</v>
      </c>
    </row>
    <row r="315" spans="1:15" x14ac:dyDescent="0.25">
      <c r="A315" s="30" t="s">
        <v>728</v>
      </c>
      <c r="B315" s="30">
        <v>30019</v>
      </c>
      <c r="C315" s="32">
        <v>45653</v>
      </c>
      <c r="D315" s="32">
        <v>45708</v>
      </c>
      <c r="E315" s="37">
        <f t="shared" si="20"/>
        <v>55</v>
      </c>
      <c r="F315" s="30" t="s">
        <v>1596</v>
      </c>
      <c r="G315" s="37">
        <v>32</v>
      </c>
      <c r="H315" s="30" t="s">
        <v>1595</v>
      </c>
      <c r="I315" s="30" t="s">
        <v>1594</v>
      </c>
      <c r="J315" s="36">
        <v>1926180</v>
      </c>
      <c r="K315" s="35">
        <f t="shared" si="21"/>
        <v>28892.7</v>
      </c>
      <c r="L315" s="35">
        <f t="shared" si="22"/>
        <v>374.53500000000003</v>
      </c>
      <c r="M315" s="35">
        <f t="shared" si="23"/>
        <v>9630.9</v>
      </c>
      <c r="N315" s="34">
        <v>0.13218181818181818</v>
      </c>
      <c r="O315" s="33">
        <f t="shared" si="24"/>
        <v>254605.97454545455</v>
      </c>
    </row>
    <row r="316" spans="1:15" x14ac:dyDescent="0.25">
      <c r="A316" s="30" t="s">
        <v>728</v>
      </c>
      <c r="B316" s="30">
        <v>30019</v>
      </c>
      <c r="C316" s="32">
        <v>45653</v>
      </c>
      <c r="D316" s="32">
        <v>45708</v>
      </c>
      <c r="E316" s="37">
        <f t="shared" si="20"/>
        <v>55</v>
      </c>
      <c r="F316" s="30" t="s">
        <v>1596</v>
      </c>
      <c r="G316" s="37">
        <v>32</v>
      </c>
      <c r="H316" s="30" t="s">
        <v>1595</v>
      </c>
      <c r="I316" s="30" t="s">
        <v>1594</v>
      </c>
      <c r="J316" s="36">
        <v>3531330</v>
      </c>
      <c r="K316" s="35">
        <f t="shared" si="21"/>
        <v>52969.95</v>
      </c>
      <c r="L316" s="35">
        <f t="shared" si="22"/>
        <v>686.64750000000015</v>
      </c>
      <c r="M316" s="35">
        <f t="shared" si="23"/>
        <v>17656.650000000001</v>
      </c>
      <c r="N316" s="34">
        <v>0.13218181818181818</v>
      </c>
      <c r="O316" s="33">
        <f t="shared" si="24"/>
        <v>466777.62</v>
      </c>
    </row>
    <row r="317" spans="1:15" x14ac:dyDescent="0.25">
      <c r="A317" s="30" t="s">
        <v>728</v>
      </c>
      <c r="B317" s="30">
        <v>30019</v>
      </c>
      <c r="C317" s="32">
        <v>45653</v>
      </c>
      <c r="D317" s="32">
        <v>45708</v>
      </c>
      <c r="E317" s="37">
        <f t="shared" si="20"/>
        <v>55</v>
      </c>
      <c r="F317" s="30" t="s">
        <v>1596</v>
      </c>
      <c r="G317" s="37">
        <v>32</v>
      </c>
      <c r="H317" s="30" t="s">
        <v>1595</v>
      </c>
      <c r="I317" s="30" t="s">
        <v>1594</v>
      </c>
      <c r="J317" s="36">
        <v>4547925</v>
      </c>
      <c r="K317" s="35">
        <f t="shared" si="21"/>
        <v>68218.875</v>
      </c>
      <c r="L317" s="35">
        <f t="shared" si="22"/>
        <v>884.31875000000014</v>
      </c>
      <c r="M317" s="35">
        <f t="shared" si="23"/>
        <v>22739.625</v>
      </c>
      <c r="N317" s="34">
        <v>0.13218181818181818</v>
      </c>
      <c r="O317" s="33">
        <f t="shared" si="24"/>
        <v>601152.99545454548</v>
      </c>
    </row>
    <row r="318" spans="1:15" x14ac:dyDescent="0.25">
      <c r="A318" s="30" t="s">
        <v>728</v>
      </c>
      <c r="B318" s="30">
        <v>30019</v>
      </c>
      <c r="C318" s="32">
        <v>45653</v>
      </c>
      <c r="D318" s="32">
        <v>45708</v>
      </c>
      <c r="E318" s="37">
        <f t="shared" si="20"/>
        <v>55</v>
      </c>
      <c r="F318" s="30" t="s">
        <v>1596</v>
      </c>
      <c r="G318" s="37">
        <v>32</v>
      </c>
      <c r="H318" s="30" t="s">
        <v>1595</v>
      </c>
      <c r="I318" s="30" t="s">
        <v>1594</v>
      </c>
      <c r="J318" s="36">
        <v>25358398</v>
      </c>
      <c r="K318" s="35">
        <f t="shared" si="21"/>
        <v>380375.97</v>
      </c>
      <c r="L318" s="35">
        <f t="shared" si="22"/>
        <v>4930.7996111111115</v>
      </c>
      <c r="M318" s="35">
        <f t="shared" si="23"/>
        <v>126791.99</v>
      </c>
      <c r="N318" s="34">
        <v>0.13218181818181815</v>
      </c>
      <c r="O318" s="33">
        <f t="shared" si="24"/>
        <v>3351919.1538181813</v>
      </c>
    </row>
    <row r="319" spans="1:15" x14ac:dyDescent="0.25">
      <c r="A319" s="30" t="s">
        <v>728</v>
      </c>
      <c r="B319" s="30">
        <v>30019</v>
      </c>
      <c r="C319" s="32">
        <v>45653</v>
      </c>
      <c r="D319" s="32">
        <v>45712</v>
      </c>
      <c r="E319" s="37">
        <f t="shared" si="20"/>
        <v>59</v>
      </c>
      <c r="F319" s="30" t="s">
        <v>1593</v>
      </c>
      <c r="G319" s="37">
        <v>32</v>
      </c>
      <c r="I319" s="30" t="s">
        <v>735</v>
      </c>
      <c r="J319" s="36">
        <v>308240</v>
      </c>
      <c r="K319" s="35">
        <f t="shared" si="21"/>
        <v>4623.5999999999995</v>
      </c>
      <c r="L319" s="35">
        <f t="shared" si="22"/>
        <v>59.935555555555567</v>
      </c>
      <c r="M319" s="35">
        <f t="shared" si="23"/>
        <v>1541.2</v>
      </c>
      <c r="N319" s="34">
        <v>0.12322033898305082</v>
      </c>
      <c r="O319" s="33">
        <f t="shared" si="24"/>
        <v>37981.437288135581</v>
      </c>
    </row>
    <row r="320" spans="1:15" x14ac:dyDescent="0.25">
      <c r="A320" s="30" t="s">
        <v>728</v>
      </c>
      <c r="B320" s="30">
        <v>30019</v>
      </c>
      <c r="C320" s="32">
        <v>45653</v>
      </c>
      <c r="D320" s="32">
        <v>45712</v>
      </c>
      <c r="E320" s="37">
        <f t="shared" si="20"/>
        <v>59</v>
      </c>
      <c r="F320" s="30" t="s">
        <v>1593</v>
      </c>
      <c r="G320" s="37">
        <v>32</v>
      </c>
      <c r="I320" s="30" t="s">
        <v>735</v>
      </c>
      <c r="J320" s="36">
        <v>1724050</v>
      </c>
      <c r="K320" s="35">
        <f t="shared" si="21"/>
        <v>25860.75</v>
      </c>
      <c r="L320" s="35">
        <f t="shared" si="22"/>
        <v>335.23194444444448</v>
      </c>
      <c r="M320" s="35">
        <f t="shared" si="23"/>
        <v>8620.25</v>
      </c>
      <c r="N320" s="34">
        <v>0.12322033898305086</v>
      </c>
      <c r="O320" s="33">
        <f t="shared" si="24"/>
        <v>212438.02542372883</v>
      </c>
    </row>
    <row r="321" spans="1:15" x14ac:dyDescent="0.25">
      <c r="A321" s="30" t="s">
        <v>728</v>
      </c>
      <c r="B321" s="30">
        <v>30019</v>
      </c>
      <c r="C321" s="32">
        <v>45653</v>
      </c>
      <c r="D321" s="32">
        <v>45719</v>
      </c>
      <c r="E321" s="37">
        <f t="shared" si="20"/>
        <v>66</v>
      </c>
      <c r="F321" s="30" t="s">
        <v>1593</v>
      </c>
      <c r="G321" s="37">
        <v>32</v>
      </c>
      <c r="I321" s="30" t="s">
        <v>735</v>
      </c>
      <c r="J321" s="36">
        <v>8590228</v>
      </c>
      <c r="K321" s="35">
        <f t="shared" si="21"/>
        <v>128853.42</v>
      </c>
      <c r="L321" s="35">
        <f t="shared" si="22"/>
        <v>1670.3221111111113</v>
      </c>
      <c r="M321" s="35">
        <f t="shared" si="23"/>
        <v>42951.14</v>
      </c>
      <c r="N321" s="34">
        <v>0.11015151515151513</v>
      </c>
      <c r="O321" s="33">
        <f t="shared" si="24"/>
        <v>946226.62969696952</v>
      </c>
    </row>
    <row r="322" spans="1:15" x14ac:dyDescent="0.25">
      <c r="A322" s="30" t="s">
        <v>728</v>
      </c>
      <c r="B322" s="30">
        <v>30019</v>
      </c>
      <c r="C322" s="32">
        <v>45653</v>
      </c>
      <c r="D322" s="32">
        <v>45725</v>
      </c>
      <c r="E322" s="37">
        <f t="shared" ref="E322:E330" si="25">DATEDIF(C322,D322,"yd")</f>
        <v>72</v>
      </c>
      <c r="F322" s="30" t="s">
        <v>1592</v>
      </c>
      <c r="G322" s="37">
        <v>32</v>
      </c>
      <c r="I322" s="30" t="s">
        <v>1591</v>
      </c>
      <c r="J322" s="36">
        <v>893534</v>
      </c>
      <c r="K322" s="35">
        <f t="shared" ref="K322:K330" si="26">J322*1.5%</f>
        <v>13403.01</v>
      </c>
      <c r="L322" s="35">
        <f t="shared" ref="L322:L330" si="27">(J322*7%)/360</f>
        <v>173.74272222222223</v>
      </c>
      <c r="M322" s="35">
        <f t="shared" ref="M322:M330" si="28">J322*0.5%</f>
        <v>4467.67</v>
      </c>
      <c r="N322" s="34">
        <v>0.10097222222222223</v>
      </c>
      <c r="O322" s="33">
        <f t="shared" ref="O322:O330" si="29">N322*J322</f>
        <v>90222.113611111112</v>
      </c>
    </row>
    <row r="323" spans="1:15" x14ac:dyDescent="0.25">
      <c r="A323" s="30" t="s">
        <v>728</v>
      </c>
      <c r="B323" s="30">
        <v>30019</v>
      </c>
      <c r="C323" s="32">
        <v>45653</v>
      </c>
      <c r="D323" s="32">
        <v>45725</v>
      </c>
      <c r="E323" s="37">
        <f t="shared" si="25"/>
        <v>72</v>
      </c>
      <c r="F323" s="30" t="s">
        <v>1592</v>
      </c>
      <c r="G323" s="37">
        <v>32</v>
      </c>
      <c r="I323" s="30" t="s">
        <v>1591</v>
      </c>
      <c r="J323" s="36">
        <v>1024285</v>
      </c>
      <c r="K323" s="35">
        <f t="shared" si="26"/>
        <v>15364.275</v>
      </c>
      <c r="L323" s="35">
        <f t="shared" si="27"/>
        <v>199.16652777777782</v>
      </c>
      <c r="M323" s="35">
        <f t="shared" si="28"/>
        <v>5121.4250000000002</v>
      </c>
      <c r="N323" s="34">
        <v>0.1009722222222222</v>
      </c>
      <c r="O323" s="33">
        <f t="shared" si="29"/>
        <v>103424.33263888887</v>
      </c>
    </row>
    <row r="324" spans="1:15" x14ac:dyDescent="0.25">
      <c r="A324" s="30" t="s">
        <v>728</v>
      </c>
      <c r="B324" s="30">
        <v>30019</v>
      </c>
      <c r="C324" s="32">
        <v>45653</v>
      </c>
      <c r="D324" s="32">
        <v>45725</v>
      </c>
      <c r="E324" s="37">
        <f t="shared" si="25"/>
        <v>72</v>
      </c>
      <c r="F324" s="30" t="s">
        <v>1592</v>
      </c>
      <c r="G324" s="37">
        <v>32</v>
      </c>
      <c r="I324" s="30" t="s">
        <v>1591</v>
      </c>
      <c r="J324" s="36">
        <v>1029436</v>
      </c>
      <c r="K324" s="35">
        <f t="shared" si="26"/>
        <v>15441.539999999999</v>
      </c>
      <c r="L324" s="35">
        <f t="shared" si="27"/>
        <v>200.16811111111113</v>
      </c>
      <c r="M324" s="35">
        <f t="shared" si="28"/>
        <v>5147.18</v>
      </c>
      <c r="N324" s="34">
        <v>0.10097222222222223</v>
      </c>
      <c r="O324" s="33">
        <f t="shared" si="29"/>
        <v>103944.44055555556</v>
      </c>
    </row>
    <row r="325" spans="1:15" x14ac:dyDescent="0.25">
      <c r="A325" s="30" t="s">
        <v>728</v>
      </c>
      <c r="B325" s="30">
        <v>30019</v>
      </c>
      <c r="C325" s="32">
        <v>45653</v>
      </c>
      <c r="D325" s="32">
        <v>45726</v>
      </c>
      <c r="E325" s="37">
        <f t="shared" si="25"/>
        <v>73</v>
      </c>
      <c r="F325" s="30" t="s">
        <v>1590</v>
      </c>
      <c r="G325" s="37">
        <v>32</v>
      </c>
      <c r="I325" s="30" t="s">
        <v>1589</v>
      </c>
      <c r="J325" s="36">
        <v>4345580</v>
      </c>
      <c r="K325" s="35">
        <f t="shared" si="26"/>
        <v>65183.7</v>
      </c>
      <c r="L325" s="35">
        <f t="shared" si="27"/>
        <v>844.97388888888895</v>
      </c>
      <c r="M325" s="35">
        <f t="shared" si="28"/>
        <v>21727.9</v>
      </c>
      <c r="N325" s="34">
        <v>9.9589041095890396E-2</v>
      </c>
      <c r="O325" s="33">
        <f t="shared" si="29"/>
        <v>432772.14520547941</v>
      </c>
    </row>
    <row r="326" spans="1:15" x14ac:dyDescent="0.25">
      <c r="A326" s="30" t="s">
        <v>728</v>
      </c>
      <c r="B326" s="30">
        <v>30019</v>
      </c>
      <c r="C326" s="32">
        <v>45653</v>
      </c>
      <c r="D326" s="32">
        <v>45750</v>
      </c>
      <c r="E326" s="37">
        <f t="shared" si="25"/>
        <v>97</v>
      </c>
      <c r="F326" s="30" t="s">
        <v>1588</v>
      </c>
      <c r="G326" s="37">
        <v>32</v>
      </c>
      <c r="H326" s="30" t="s">
        <v>1587</v>
      </c>
      <c r="I326" s="30" t="s">
        <v>1586</v>
      </c>
      <c r="J326" s="36">
        <v>46788785</v>
      </c>
      <c r="K326" s="35">
        <f t="shared" si="26"/>
        <v>701831.77500000002</v>
      </c>
      <c r="L326" s="35">
        <f t="shared" si="27"/>
        <v>9097.8193055555566</v>
      </c>
      <c r="M326" s="35">
        <f t="shared" si="28"/>
        <v>233943.92500000002</v>
      </c>
      <c r="N326" s="34">
        <v>7.4948453608247423E-2</v>
      </c>
      <c r="O326" s="33">
        <f t="shared" si="29"/>
        <v>3506747.0819587628</v>
      </c>
    </row>
    <row r="327" spans="1:15" x14ac:dyDescent="0.25">
      <c r="A327" s="30" t="s">
        <v>728</v>
      </c>
      <c r="B327" s="30">
        <v>30019</v>
      </c>
      <c r="C327" s="32">
        <v>45653</v>
      </c>
      <c r="D327" s="32">
        <v>45760</v>
      </c>
      <c r="E327" s="37">
        <f t="shared" si="25"/>
        <v>107</v>
      </c>
      <c r="F327" s="30" t="s">
        <v>1585</v>
      </c>
      <c r="G327" s="37">
        <v>32</v>
      </c>
      <c r="H327" s="30" t="s">
        <v>1584</v>
      </c>
      <c r="I327" s="30" t="s">
        <v>740</v>
      </c>
      <c r="J327" s="36">
        <v>7233060</v>
      </c>
      <c r="K327" s="35">
        <f t="shared" si="26"/>
        <v>108495.9</v>
      </c>
      <c r="L327" s="35">
        <f t="shared" si="27"/>
        <v>1406.4283333333335</v>
      </c>
      <c r="M327" s="35">
        <f t="shared" si="28"/>
        <v>36165.300000000003</v>
      </c>
      <c r="N327" s="34">
        <v>6.7943925233644842E-2</v>
      </c>
      <c r="O327" s="33">
        <f t="shared" si="29"/>
        <v>491442.48785046715</v>
      </c>
    </row>
    <row r="328" spans="1:15" x14ac:dyDescent="0.25">
      <c r="A328" s="30" t="s">
        <v>728</v>
      </c>
      <c r="B328" s="30">
        <v>30019</v>
      </c>
      <c r="C328" s="32">
        <v>45656</v>
      </c>
      <c r="D328" s="32">
        <v>45735</v>
      </c>
      <c r="E328" s="37">
        <f t="shared" si="25"/>
        <v>79</v>
      </c>
      <c r="F328" s="30" t="s">
        <v>1583</v>
      </c>
      <c r="G328" s="37">
        <v>32</v>
      </c>
      <c r="I328" s="30" t="s">
        <v>727</v>
      </c>
      <c r="J328" s="36">
        <v>18940500</v>
      </c>
      <c r="K328" s="35">
        <f t="shared" si="26"/>
        <v>284107.5</v>
      </c>
      <c r="L328" s="35">
        <f t="shared" si="27"/>
        <v>3682.8750000000005</v>
      </c>
      <c r="M328" s="35">
        <f t="shared" si="28"/>
        <v>94702.5</v>
      </c>
      <c r="N328" s="34">
        <v>9.2025316455696213E-2</v>
      </c>
      <c r="O328" s="33">
        <f t="shared" si="29"/>
        <v>1743005.5063291141</v>
      </c>
    </row>
    <row r="329" spans="1:15" x14ac:dyDescent="0.25">
      <c r="A329" s="30" t="s">
        <v>728</v>
      </c>
      <c r="B329" s="30">
        <v>30019</v>
      </c>
      <c r="C329" s="32">
        <v>45656</v>
      </c>
      <c r="D329" s="32">
        <v>45737</v>
      </c>
      <c r="E329" s="37">
        <f t="shared" si="25"/>
        <v>81</v>
      </c>
      <c r="F329" s="30" t="s">
        <v>1582</v>
      </c>
      <c r="G329" s="37">
        <v>32</v>
      </c>
      <c r="H329" s="30" t="s">
        <v>1178</v>
      </c>
      <c r="I329" s="30" t="s">
        <v>740</v>
      </c>
      <c r="J329" s="36">
        <v>6826625</v>
      </c>
      <c r="K329" s="35">
        <f t="shared" si="26"/>
        <v>102399.375</v>
      </c>
      <c r="L329" s="35">
        <f t="shared" si="27"/>
        <v>1327.3993055555557</v>
      </c>
      <c r="M329" s="35">
        <f t="shared" si="28"/>
        <v>34133.125</v>
      </c>
      <c r="N329" s="34">
        <v>8.9753086419753089E-2</v>
      </c>
      <c r="O329" s="33">
        <f t="shared" si="29"/>
        <v>612710.66358024697</v>
      </c>
    </row>
    <row r="330" spans="1:15" x14ac:dyDescent="0.25">
      <c r="A330" s="30" t="s">
        <v>728</v>
      </c>
      <c r="B330" s="30">
        <v>30019</v>
      </c>
      <c r="C330" s="32">
        <v>45656</v>
      </c>
      <c r="D330" s="32">
        <v>45737</v>
      </c>
      <c r="E330" s="37">
        <f t="shared" si="25"/>
        <v>81</v>
      </c>
      <c r="F330" s="30" t="s">
        <v>1582</v>
      </c>
      <c r="G330" s="37">
        <v>32</v>
      </c>
      <c r="H330" s="30" t="s">
        <v>1178</v>
      </c>
      <c r="I330" s="30" t="s">
        <v>740</v>
      </c>
      <c r="J330" s="36">
        <v>14479298</v>
      </c>
      <c r="K330" s="35">
        <f t="shared" si="26"/>
        <v>217189.47</v>
      </c>
      <c r="L330" s="35">
        <f t="shared" si="27"/>
        <v>2815.419055555556</v>
      </c>
      <c r="M330" s="35">
        <f t="shared" si="28"/>
        <v>72396.490000000005</v>
      </c>
      <c r="N330" s="34">
        <v>8.9753086419753089E-2</v>
      </c>
      <c r="O330" s="33">
        <f t="shared" si="29"/>
        <v>1299561.6846913581</v>
      </c>
    </row>
  </sheetData>
  <autoFilter ref="A1:O33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18"/>
  <sheetViews>
    <sheetView topLeftCell="A471" workbookViewId="0">
      <selection activeCell="B709" sqref="B709"/>
    </sheetView>
  </sheetViews>
  <sheetFormatPr baseColWidth="10" defaultRowHeight="15" x14ac:dyDescent="0.25"/>
  <sheetData>
    <row r="1" spans="1:29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24</v>
      </c>
      <c r="Z1" s="44" t="s">
        <v>25</v>
      </c>
      <c r="AA1" s="45"/>
    </row>
    <row r="2" spans="1:29" x14ac:dyDescent="0.25">
      <c r="A2" s="46" t="s">
        <v>259</v>
      </c>
      <c r="B2" s="46">
        <v>30013</v>
      </c>
      <c r="C2" s="47">
        <v>45832</v>
      </c>
      <c r="D2" s="46">
        <v>321201</v>
      </c>
      <c r="E2" s="46">
        <v>2</v>
      </c>
      <c r="F2" s="46" t="s">
        <v>1640</v>
      </c>
      <c r="G2" s="48" t="s">
        <v>1641</v>
      </c>
      <c r="H2" s="46" t="s">
        <v>1642</v>
      </c>
      <c r="I2" s="46" t="s">
        <v>1643</v>
      </c>
      <c r="J2" s="49">
        <v>0</v>
      </c>
      <c r="K2" s="46"/>
      <c r="L2" s="46" t="s">
        <v>696</v>
      </c>
      <c r="M2" s="49">
        <v>500000000</v>
      </c>
      <c r="N2" s="49">
        <v>6</v>
      </c>
      <c r="O2" s="49">
        <v>0</v>
      </c>
      <c r="P2" s="46">
        <v>1</v>
      </c>
      <c r="Q2" s="49">
        <v>7</v>
      </c>
      <c r="R2" s="49">
        <v>2972500</v>
      </c>
      <c r="S2" s="46">
        <v>1</v>
      </c>
      <c r="T2" s="49">
        <v>0</v>
      </c>
      <c r="U2" s="49">
        <f t="shared" ref="U2:U21" si="0">M2/100+11700</f>
        <v>5011700</v>
      </c>
      <c r="V2" s="46">
        <v>1</v>
      </c>
      <c r="W2" s="49">
        <v>519767125</v>
      </c>
      <c r="X2" s="46">
        <v>1</v>
      </c>
      <c r="Y2" s="46">
        <v>1</v>
      </c>
      <c r="Z2" s="50">
        <v>9.503689999999998E-2</v>
      </c>
      <c r="AA2" s="51">
        <f>((W2/M2)-1)*12/N2+(R2+T2+U2)/M2</f>
        <v>9.503689999999998E-2</v>
      </c>
    </row>
    <row r="3" spans="1:29" x14ac:dyDescent="0.25">
      <c r="A3" s="52" t="s">
        <v>259</v>
      </c>
      <c r="B3" s="46">
        <v>30013</v>
      </c>
      <c r="C3" s="47">
        <v>45748</v>
      </c>
      <c r="D3" s="46">
        <v>311500</v>
      </c>
      <c r="E3" s="46">
        <v>2</v>
      </c>
      <c r="F3" s="52" t="s">
        <v>1644</v>
      </c>
      <c r="G3" s="46">
        <v>6</v>
      </c>
      <c r="H3" s="52" t="s">
        <v>784</v>
      </c>
      <c r="I3" s="46"/>
      <c r="J3" s="46">
        <v>0</v>
      </c>
      <c r="K3" s="46"/>
      <c r="L3" s="52" t="s">
        <v>270</v>
      </c>
      <c r="M3" s="53">
        <v>3200000</v>
      </c>
      <c r="N3" s="46">
        <v>48</v>
      </c>
      <c r="O3" s="46">
        <v>0</v>
      </c>
      <c r="P3" s="46">
        <v>1</v>
      </c>
      <c r="Q3" s="52">
        <v>11</v>
      </c>
      <c r="R3" s="53">
        <v>95120</v>
      </c>
      <c r="S3" s="46">
        <v>1</v>
      </c>
      <c r="T3" s="53">
        <v>106000</v>
      </c>
      <c r="U3" s="53">
        <f t="shared" si="0"/>
        <v>43700</v>
      </c>
      <c r="V3" s="46">
        <v>1</v>
      </c>
      <c r="W3" s="53">
        <v>85974</v>
      </c>
      <c r="X3" s="46">
        <v>1</v>
      </c>
      <c r="Y3" s="46">
        <v>1</v>
      </c>
      <c r="Z3" s="54">
        <v>0.17458200471861413</v>
      </c>
      <c r="AA3" s="15">
        <f>RATE(N3,-W3,M3-R3-T3-U3)</f>
        <v>1.4548500393217844E-2</v>
      </c>
      <c r="AB3" s="15">
        <f>IF(P3=1,AA3*12,IF(P3=2,AA3*4,IF(P3=3,AA3*2,AA3)))</f>
        <v>0.17458200471861413</v>
      </c>
      <c r="AC3" t="b">
        <f>AB3=Z3</f>
        <v>1</v>
      </c>
    </row>
    <row r="4" spans="1:29" x14ac:dyDescent="0.25">
      <c r="A4" s="52" t="s">
        <v>259</v>
      </c>
      <c r="B4" s="46">
        <v>30013</v>
      </c>
      <c r="C4" s="47">
        <v>45748</v>
      </c>
      <c r="D4" s="46">
        <v>311500</v>
      </c>
      <c r="E4" s="46">
        <v>2</v>
      </c>
      <c r="F4" s="52" t="s">
        <v>1645</v>
      </c>
      <c r="G4" s="46">
        <v>6</v>
      </c>
      <c r="H4" s="52" t="s">
        <v>1642</v>
      </c>
      <c r="I4" s="46"/>
      <c r="J4" s="46">
        <v>0</v>
      </c>
      <c r="K4" s="46"/>
      <c r="L4" s="52" t="s">
        <v>266</v>
      </c>
      <c r="M4" s="53">
        <v>12000000</v>
      </c>
      <c r="N4" s="46">
        <v>48</v>
      </c>
      <c r="O4" s="46">
        <v>0</v>
      </c>
      <c r="P4" s="46">
        <v>1</v>
      </c>
      <c r="Q4" s="52">
        <v>8</v>
      </c>
      <c r="R4" s="53">
        <v>356700</v>
      </c>
      <c r="S4" s="46">
        <v>1</v>
      </c>
      <c r="T4" s="53">
        <v>375000</v>
      </c>
      <c r="U4" s="53">
        <f t="shared" si="0"/>
        <v>131700</v>
      </c>
      <c r="V4" s="46">
        <v>1</v>
      </c>
      <c r="W4" s="53">
        <v>301546</v>
      </c>
      <c r="X4" s="46">
        <v>1</v>
      </c>
      <c r="Y4" s="46">
        <v>1</v>
      </c>
      <c r="Z4" s="54">
        <v>0.13501407556617115</v>
      </c>
      <c r="AA4" s="15">
        <f t="shared" ref="AA4:AA67" si="1">RATE(N4,-W4,M4-R4-T4-U4)</f>
        <v>1.1251172963847596E-2</v>
      </c>
      <c r="AB4" s="15">
        <f t="shared" ref="AB4:AB67" si="2">IF(P4=1,AA4*12,IF(P4=2,AA4*4,IF(P4=3,AA4*2,AA4)))</f>
        <v>0.13501407556617115</v>
      </c>
      <c r="AC4" t="b">
        <f t="shared" ref="AC4:AC67" si="3">AB4=Z4</f>
        <v>1</v>
      </c>
    </row>
    <row r="5" spans="1:29" x14ac:dyDescent="0.25">
      <c r="A5" s="52" t="s">
        <v>259</v>
      </c>
      <c r="B5" s="46">
        <v>30013</v>
      </c>
      <c r="C5" s="47">
        <v>45748</v>
      </c>
      <c r="D5" s="46">
        <v>311500</v>
      </c>
      <c r="E5" s="46">
        <v>2</v>
      </c>
      <c r="F5" s="52" t="s">
        <v>1646</v>
      </c>
      <c r="G5" s="46">
        <v>6</v>
      </c>
      <c r="H5" s="52" t="s">
        <v>1647</v>
      </c>
      <c r="I5" s="46"/>
      <c r="J5" s="46">
        <v>0</v>
      </c>
      <c r="K5" s="46"/>
      <c r="L5" s="52" t="s">
        <v>261</v>
      </c>
      <c r="M5" s="53">
        <v>5000000</v>
      </c>
      <c r="N5" s="46">
        <v>72</v>
      </c>
      <c r="O5" s="46">
        <v>0</v>
      </c>
      <c r="P5" s="46">
        <v>1</v>
      </c>
      <c r="Q5" s="52">
        <v>11</v>
      </c>
      <c r="R5" s="53">
        <v>89175</v>
      </c>
      <c r="S5" s="46">
        <v>1</v>
      </c>
      <c r="T5" s="53">
        <v>235000</v>
      </c>
      <c r="U5" s="53">
        <f t="shared" si="0"/>
        <v>61700</v>
      </c>
      <c r="V5" s="46">
        <v>1</v>
      </c>
      <c r="W5" s="53">
        <v>100579</v>
      </c>
      <c r="X5" s="46">
        <v>1</v>
      </c>
      <c r="Y5" s="46">
        <v>1</v>
      </c>
      <c r="Z5" s="54">
        <v>0.16192683694825183</v>
      </c>
      <c r="AA5" s="15">
        <f t="shared" si="1"/>
        <v>1.3493903079020986E-2</v>
      </c>
      <c r="AB5" s="15">
        <f t="shared" si="2"/>
        <v>0.16192683694825183</v>
      </c>
      <c r="AC5" t="b">
        <f t="shared" si="3"/>
        <v>1</v>
      </c>
    </row>
    <row r="6" spans="1:29" x14ac:dyDescent="0.25">
      <c r="A6" s="52" t="s">
        <v>259</v>
      </c>
      <c r="B6" s="46">
        <v>30013</v>
      </c>
      <c r="C6" s="47">
        <v>45748</v>
      </c>
      <c r="D6" s="46">
        <v>311500</v>
      </c>
      <c r="E6" s="46">
        <v>2</v>
      </c>
      <c r="F6" s="52" t="s">
        <v>1648</v>
      </c>
      <c r="G6" s="46">
        <v>6</v>
      </c>
      <c r="H6" s="52" t="s">
        <v>784</v>
      </c>
      <c r="I6" s="46"/>
      <c r="J6" s="46">
        <v>0</v>
      </c>
      <c r="K6" s="46"/>
      <c r="L6" s="52" t="s">
        <v>261</v>
      </c>
      <c r="M6" s="53">
        <v>2400000</v>
      </c>
      <c r="N6" s="46">
        <v>48</v>
      </c>
      <c r="O6" s="46">
        <v>0</v>
      </c>
      <c r="P6" s="46">
        <v>1</v>
      </c>
      <c r="Q6" s="52">
        <v>12</v>
      </c>
      <c r="R6" s="53">
        <v>71340</v>
      </c>
      <c r="S6" s="46">
        <v>1</v>
      </c>
      <c r="T6" s="53">
        <v>82000</v>
      </c>
      <c r="U6" s="53">
        <f t="shared" si="0"/>
        <v>35700</v>
      </c>
      <c r="V6" s="46">
        <v>1</v>
      </c>
      <c r="W6" s="53">
        <v>65907</v>
      </c>
      <c r="X6" s="46">
        <v>1</v>
      </c>
      <c r="Y6" s="46">
        <v>1</v>
      </c>
      <c r="Z6" s="54">
        <v>0.1882760387318323</v>
      </c>
      <c r="AA6" s="15">
        <f t="shared" si="1"/>
        <v>1.5689669894319358E-2</v>
      </c>
      <c r="AB6" s="15">
        <f t="shared" si="2"/>
        <v>0.1882760387318323</v>
      </c>
      <c r="AC6" t="b">
        <f t="shared" si="3"/>
        <v>1</v>
      </c>
    </row>
    <row r="7" spans="1:29" x14ac:dyDescent="0.25">
      <c r="A7" s="52" t="s">
        <v>259</v>
      </c>
      <c r="B7" s="46">
        <v>30013</v>
      </c>
      <c r="C7" s="47">
        <v>45748</v>
      </c>
      <c r="D7" s="46">
        <v>311500</v>
      </c>
      <c r="E7" s="46">
        <v>2</v>
      </c>
      <c r="F7" s="52" t="s">
        <v>1649</v>
      </c>
      <c r="G7" s="46">
        <v>6</v>
      </c>
      <c r="H7" s="52" t="s">
        <v>1650</v>
      </c>
      <c r="I7" s="46"/>
      <c r="J7" s="46">
        <v>0</v>
      </c>
      <c r="K7" s="46"/>
      <c r="L7" s="52" t="s">
        <v>261</v>
      </c>
      <c r="M7" s="53">
        <v>10000000</v>
      </c>
      <c r="N7" s="46">
        <v>84</v>
      </c>
      <c r="O7" s="46">
        <v>0</v>
      </c>
      <c r="P7" s="46">
        <v>1</v>
      </c>
      <c r="Q7" s="52">
        <v>10</v>
      </c>
      <c r="R7" s="53">
        <v>178350</v>
      </c>
      <c r="S7" s="46">
        <v>1</v>
      </c>
      <c r="T7" s="53">
        <v>540000</v>
      </c>
      <c r="U7" s="53">
        <f t="shared" si="0"/>
        <v>111700</v>
      </c>
      <c r="V7" s="46">
        <v>1</v>
      </c>
      <c r="W7" s="53">
        <v>175940</v>
      </c>
      <c r="X7" s="46">
        <v>1</v>
      </c>
      <c r="Y7" s="46">
        <v>1</v>
      </c>
      <c r="Z7" s="54">
        <v>0.14803335394980047</v>
      </c>
      <c r="AA7" s="15">
        <f t="shared" si="1"/>
        <v>1.2336112829150038E-2</v>
      </c>
      <c r="AB7" s="15">
        <f t="shared" si="2"/>
        <v>0.14803335394980047</v>
      </c>
      <c r="AC7" t="b">
        <f t="shared" si="3"/>
        <v>1</v>
      </c>
    </row>
    <row r="8" spans="1:29" x14ac:dyDescent="0.25">
      <c r="A8" s="52" t="s">
        <v>259</v>
      </c>
      <c r="B8" s="46">
        <v>30013</v>
      </c>
      <c r="C8" s="47">
        <v>45748</v>
      </c>
      <c r="D8" s="46">
        <v>311500</v>
      </c>
      <c r="E8" s="46">
        <v>2</v>
      </c>
      <c r="F8" s="52" t="s">
        <v>1651</v>
      </c>
      <c r="G8" s="46">
        <v>6</v>
      </c>
      <c r="H8" s="52" t="s">
        <v>784</v>
      </c>
      <c r="I8" s="46"/>
      <c r="J8" s="46">
        <v>0</v>
      </c>
      <c r="K8" s="46"/>
      <c r="L8" s="52" t="s">
        <v>690</v>
      </c>
      <c r="M8" s="53">
        <v>2700000</v>
      </c>
      <c r="N8" s="46">
        <v>48</v>
      </c>
      <c r="O8" s="46">
        <v>0</v>
      </c>
      <c r="P8" s="46">
        <v>1</v>
      </c>
      <c r="Q8" s="52">
        <v>8</v>
      </c>
      <c r="R8" s="53">
        <v>80258</v>
      </c>
      <c r="S8" s="46">
        <v>1</v>
      </c>
      <c r="T8" s="53">
        <v>91000</v>
      </c>
      <c r="U8" s="53">
        <f t="shared" si="0"/>
        <v>38700</v>
      </c>
      <c r="V8" s="46">
        <v>1</v>
      </c>
      <c r="W8" s="53">
        <v>67848</v>
      </c>
      <c r="X8" s="46">
        <v>1</v>
      </c>
      <c r="Y8" s="46">
        <v>1</v>
      </c>
      <c r="Z8" s="54">
        <v>0.13842895232238486</v>
      </c>
      <c r="AA8" s="15">
        <f t="shared" si="1"/>
        <v>1.1535746026865405E-2</v>
      </c>
      <c r="AB8" s="15">
        <f t="shared" si="2"/>
        <v>0.13842895232238486</v>
      </c>
      <c r="AC8" t="b">
        <f t="shared" si="3"/>
        <v>1</v>
      </c>
    </row>
    <row r="9" spans="1:29" x14ac:dyDescent="0.25">
      <c r="A9" s="52" t="s">
        <v>259</v>
      </c>
      <c r="B9" s="46">
        <v>30013</v>
      </c>
      <c r="C9" s="47">
        <v>45748</v>
      </c>
      <c r="D9" s="46">
        <v>311500</v>
      </c>
      <c r="E9" s="46">
        <v>2</v>
      </c>
      <c r="F9" s="52" t="s">
        <v>1652</v>
      </c>
      <c r="G9" s="46">
        <v>6</v>
      </c>
      <c r="H9" s="52" t="s">
        <v>784</v>
      </c>
      <c r="I9" s="46"/>
      <c r="J9" s="46">
        <v>0</v>
      </c>
      <c r="K9" s="46"/>
      <c r="L9" s="52" t="s">
        <v>261</v>
      </c>
      <c r="M9" s="53">
        <v>9650000</v>
      </c>
      <c r="N9" s="46">
        <v>48</v>
      </c>
      <c r="O9" s="46">
        <v>0</v>
      </c>
      <c r="P9" s="46">
        <v>1</v>
      </c>
      <c r="Q9" s="52">
        <v>11</v>
      </c>
      <c r="R9" s="53">
        <v>286846</v>
      </c>
      <c r="S9" s="46">
        <v>1</v>
      </c>
      <c r="T9" s="53">
        <v>304500</v>
      </c>
      <c r="U9" s="53">
        <f t="shared" si="0"/>
        <v>108200</v>
      </c>
      <c r="V9" s="46">
        <v>1</v>
      </c>
      <c r="W9" s="53">
        <v>259264</v>
      </c>
      <c r="X9" s="46">
        <v>1</v>
      </c>
      <c r="Y9" s="46">
        <v>1</v>
      </c>
      <c r="Z9" s="54">
        <v>0.17215346205211438</v>
      </c>
      <c r="AA9" s="15">
        <f t="shared" si="1"/>
        <v>1.4346121837676197E-2</v>
      </c>
      <c r="AB9" s="15">
        <f t="shared" si="2"/>
        <v>0.17215346205211438</v>
      </c>
      <c r="AC9" t="b">
        <f t="shared" si="3"/>
        <v>1</v>
      </c>
    </row>
    <row r="10" spans="1:29" x14ac:dyDescent="0.25">
      <c r="A10" s="52" t="s">
        <v>259</v>
      </c>
      <c r="B10" s="46">
        <v>30013</v>
      </c>
      <c r="C10" s="47">
        <v>45748</v>
      </c>
      <c r="D10" s="46">
        <v>311500</v>
      </c>
      <c r="E10" s="46">
        <v>2</v>
      </c>
      <c r="F10" s="52" t="s">
        <v>1653</v>
      </c>
      <c r="G10" s="46">
        <v>6</v>
      </c>
      <c r="H10" s="52" t="s">
        <v>784</v>
      </c>
      <c r="I10" s="46"/>
      <c r="J10" s="46">
        <v>0</v>
      </c>
      <c r="K10" s="46"/>
      <c r="L10" s="52" t="s">
        <v>270</v>
      </c>
      <c r="M10" s="53">
        <v>6000000</v>
      </c>
      <c r="N10" s="46">
        <v>72</v>
      </c>
      <c r="O10" s="46">
        <v>0</v>
      </c>
      <c r="P10" s="46">
        <v>1</v>
      </c>
      <c r="Q10" s="52">
        <v>12</v>
      </c>
      <c r="R10" s="53">
        <v>107010</v>
      </c>
      <c r="S10" s="46">
        <v>1</v>
      </c>
      <c r="T10" s="53">
        <v>280000</v>
      </c>
      <c r="U10" s="53">
        <f t="shared" si="0"/>
        <v>71700</v>
      </c>
      <c r="V10" s="46">
        <v>1</v>
      </c>
      <c r="W10" s="53">
        <v>124497</v>
      </c>
      <c r="X10" s="46">
        <v>1</v>
      </c>
      <c r="Y10" s="46">
        <v>1</v>
      </c>
      <c r="Z10" s="54">
        <v>0.17395070495049128</v>
      </c>
      <c r="AA10" s="15">
        <f t="shared" si="1"/>
        <v>1.4495892079207607E-2</v>
      </c>
      <c r="AB10" s="15">
        <f t="shared" si="2"/>
        <v>0.17395070495049128</v>
      </c>
      <c r="AC10" t="b">
        <f t="shared" si="3"/>
        <v>1</v>
      </c>
    </row>
    <row r="11" spans="1:29" x14ac:dyDescent="0.25">
      <c r="A11" s="52" t="s">
        <v>259</v>
      </c>
      <c r="B11" s="46">
        <v>30013</v>
      </c>
      <c r="C11" s="47">
        <v>45748</v>
      </c>
      <c r="D11" s="46">
        <v>311500</v>
      </c>
      <c r="E11" s="46">
        <v>2</v>
      </c>
      <c r="F11" s="52" t="s">
        <v>1654</v>
      </c>
      <c r="G11" s="46">
        <v>6</v>
      </c>
      <c r="H11" s="52" t="s">
        <v>784</v>
      </c>
      <c r="I11" s="46"/>
      <c r="J11" s="46">
        <v>0</v>
      </c>
      <c r="K11" s="46"/>
      <c r="L11" s="52" t="s">
        <v>266</v>
      </c>
      <c r="M11" s="53">
        <v>10000000</v>
      </c>
      <c r="N11" s="46">
        <v>60</v>
      </c>
      <c r="O11" s="46">
        <v>0</v>
      </c>
      <c r="P11" s="46">
        <v>1</v>
      </c>
      <c r="Q11" s="52">
        <v>8</v>
      </c>
      <c r="R11" s="53">
        <v>297250</v>
      </c>
      <c r="S11" s="46">
        <v>1</v>
      </c>
      <c r="T11" s="53">
        <v>390000</v>
      </c>
      <c r="U11" s="53">
        <f t="shared" si="0"/>
        <v>111700</v>
      </c>
      <c r="V11" s="46">
        <v>1</v>
      </c>
      <c r="W11" s="53">
        <v>210077</v>
      </c>
      <c r="X11" s="46">
        <v>1</v>
      </c>
      <c r="Y11" s="46">
        <v>1</v>
      </c>
      <c r="Z11" s="54">
        <v>0.1315373851260413</v>
      </c>
      <c r="AA11" s="15">
        <f t="shared" si="1"/>
        <v>1.096144876050344E-2</v>
      </c>
      <c r="AB11" s="15">
        <f t="shared" si="2"/>
        <v>0.1315373851260413</v>
      </c>
      <c r="AC11" t="b">
        <f t="shared" si="3"/>
        <v>1</v>
      </c>
    </row>
    <row r="12" spans="1:29" x14ac:dyDescent="0.25">
      <c r="A12" s="52" t="s">
        <v>259</v>
      </c>
      <c r="B12" s="46">
        <v>30013</v>
      </c>
      <c r="C12" s="47">
        <v>45748</v>
      </c>
      <c r="D12" s="46">
        <v>311500</v>
      </c>
      <c r="E12" s="46">
        <v>2</v>
      </c>
      <c r="F12" s="52" t="s">
        <v>1655</v>
      </c>
      <c r="G12" s="46">
        <v>6</v>
      </c>
      <c r="H12" s="52" t="s">
        <v>784</v>
      </c>
      <c r="I12" s="46"/>
      <c r="J12" s="46">
        <v>0</v>
      </c>
      <c r="K12" s="46"/>
      <c r="L12" s="52" t="s">
        <v>266</v>
      </c>
      <c r="M12" s="53">
        <v>10000000</v>
      </c>
      <c r="N12" s="46">
        <v>60</v>
      </c>
      <c r="O12" s="46">
        <v>0</v>
      </c>
      <c r="P12" s="46">
        <v>1</v>
      </c>
      <c r="Q12" s="52">
        <v>8</v>
      </c>
      <c r="R12" s="53">
        <v>297250</v>
      </c>
      <c r="S12" s="46">
        <v>1</v>
      </c>
      <c r="T12" s="53">
        <v>390000</v>
      </c>
      <c r="U12" s="53">
        <f t="shared" si="0"/>
        <v>111700</v>
      </c>
      <c r="V12" s="46">
        <v>1</v>
      </c>
      <c r="W12" s="53">
        <v>210077</v>
      </c>
      <c r="X12" s="46">
        <v>1</v>
      </c>
      <c r="Y12" s="46">
        <v>1</v>
      </c>
      <c r="Z12" s="54">
        <v>0.1315373851260413</v>
      </c>
      <c r="AA12" s="15">
        <f t="shared" si="1"/>
        <v>1.096144876050344E-2</v>
      </c>
      <c r="AB12" s="15">
        <f t="shared" si="2"/>
        <v>0.1315373851260413</v>
      </c>
      <c r="AC12" t="b">
        <f t="shared" si="3"/>
        <v>1</v>
      </c>
    </row>
    <row r="13" spans="1:29" x14ac:dyDescent="0.25">
      <c r="A13" s="52" t="s">
        <v>259</v>
      </c>
      <c r="B13" s="46">
        <v>30013</v>
      </c>
      <c r="C13" s="47">
        <v>45748</v>
      </c>
      <c r="D13" s="46">
        <v>321300</v>
      </c>
      <c r="E13" s="46">
        <v>2</v>
      </c>
      <c r="F13" s="52" t="s">
        <v>1656</v>
      </c>
      <c r="G13" s="46">
        <v>6</v>
      </c>
      <c r="H13" s="52" t="s">
        <v>1642</v>
      </c>
      <c r="I13" s="46"/>
      <c r="J13" s="46">
        <v>0</v>
      </c>
      <c r="K13" s="46"/>
      <c r="L13" s="52" t="s">
        <v>231</v>
      </c>
      <c r="M13" s="53">
        <v>6050000</v>
      </c>
      <c r="N13" s="46">
        <v>24</v>
      </c>
      <c r="O13" s="46">
        <v>0</v>
      </c>
      <c r="P13" s="46">
        <v>1</v>
      </c>
      <c r="Q13" s="52">
        <v>8</v>
      </c>
      <c r="R13" s="53">
        <v>179836</v>
      </c>
      <c r="S13" s="46">
        <v>1</v>
      </c>
      <c r="T13" s="53">
        <v>100750</v>
      </c>
      <c r="U13" s="53">
        <f t="shared" si="0"/>
        <v>72200</v>
      </c>
      <c r="V13" s="46">
        <v>1</v>
      </c>
      <c r="W13" s="53">
        <v>277816</v>
      </c>
      <c r="X13" s="46">
        <v>1</v>
      </c>
      <c r="Y13" s="46">
        <v>1</v>
      </c>
      <c r="Z13" s="54">
        <v>0.15581710211988065</v>
      </c>
      <c r="AA13" s="15">
        <f t="shared" si="1"/>
        <v>1.2984758509990054E-2</v>
      </c>
      <c r="AB13" s="15">
        <f t="shared" si="2"/>
        <v>0.15581710211988065</v>
      </c>
      <c r="AC13" t="b">
        <f t="shared" si="3"/>
        <v>1</v>
      </c>
    </row>
    <row r="14" spans="1:29" x14ac:dyDescent="0.25">
      <c r="A14" s="52" t="s">
        <v>259</v>
      </c>
      <c r="B14" s="46">
        <v>30013</v>
      </c>
      <c r="C14" s="47">
        <v>45748</v>
      </c>
      <c r="D14" s="46">
        <v>311500</v>
      </c>
      <c r="E14" s="46">
        <v>2</v>
      </c>
      <c r="F14" s="52" t="s">
        <v>1657</v>
      </c>
      <c r="G14" s="46">
        <v>6</v>
      </c>
      <c r="H14" s="52" t="s">
        <v>1642</v>
      </c>
      <c r="I14" s="46"/>
      <c r="J14" s="46">
        <v>0</v>
      </c>
      <c r="K14" s="46"/>
      <c r="L14" s="52" t="s">
        <v>686</v>
      </c>
      <c r="M14" s="53">
        <v>8700000</v>
      </c>
      <c r="N14" s="46">
        <v>96</v>
      </c>
      <c r="O14" s="46">
        <v>0</v>
      </c>
      <c r="P14" s="46">
        <v>1</v>
      </c>
      <c r="Q14" s="52">
        <v>8</v>
      </c>
      <c r="R14" s="53">
        <v>155165</v>
      </c>
      <c r="S14" s="46">
        <v>1</v>
      </c>
      <c r="T14" s="53">
        <v>537000</v>
      </c>
      <c r="U14" s="53">
        <f t="shared" si="0"/>
        <v>98700</v>
      </c>
      <c r="V14" s="46">
        <v>1</v>
      </c>
      <c r="W14" s="53">
        <v>129779</v>
      </c>
      <c r="X14" s="46">
        <v>1</v>
      </c>
      <c r="Y14" s="46">
        <v>1</v>
      </c>
      <c r="Z14" s="54">
        <v>0.1228302615190886</v>
      </c>
      <c r="AA14" s="15">
        <f t="shared" si="1"/>
        <v>1.0235855126590717E-2</v>
      </c>
      <c r="AB14" s="15">
        <f t="shared" si="2"/>
        <v>0.1228302615190886</v>
      </c>
      <c r="AC14" t="b">
        <f t="shared" si="3"/>
        <v>1</v>
      </c>
    </row>
    <row r="15" spans="1:29" x14ac:dyDescent="0.25">
      <c r="A15" s="52" t="s">
        <v>259</v>
      </c>
      <c r="B15" s="46">
        <v>30013</v>
      </c>
      <c r="C15" s="47">
        <v>45748</v>
      </c>
      <c r="D15" s="46">
        <v>311500</v>
      </c>
      <c r="E15" s="46">
        <v>2</v>
      </c>
      <c r="F15" s="52" t="s">
        <v>1658</v>
      </c>
      <c r="G15" s="46">
        <v>6</v>
      </c>
      <c r="H15" s="52" t="s">
        <v>1642</v>
      </c>
      <c r="I15" s="46"/>
      <c r="J15" s="46">
        <v>0</v>
      </c>
      <c r="K15" s="46"/>
      <c r="L15" s="52" t="s">
        <v>261</v>
      </c>
      <c r="M15" s="53">
        <v>4800000</v>
      </c>
      <c r="N15" s="46">
        <v>72</v>
      </c>
      <c r="O15" s="46">
        <v>0</v>
      </c>
      <c r="P15" s="46">
        <v>1</v>
      </c>
      <c r="Q15" s="52">
        <v>10</v>
      </c>
      <c r="R15" s="53">
        <v>85608</v>
      </c>
      <c r="S15" s="46">
        <v>1</v>
      </c>
      <c r="T15" s="53">
        <v>226000</v>
      </c>
      <c r="U15" s="53">
        <f t="shared" si="0"/>
        <v>59700</v>
      </c>
      <c r="V15" s="46">
        <v>1</v>
      </c>
      <c r="W15" s="53">
        <v>93567</v>
      </c>
      <c r="X15" s="46">
        <v>1</v>
      </c>
      <c r="Y15" s="46">
        <v>1</v>
      </c>
      <c r="Z15" s="54">
        <v>0.14967664587832266</v>
      </c>
      <c r="AA15" s="15">
        <f t="shared" si="1"/>
        <v>1.2473053823193555E-2</v>
      </c>
      <c r="AB15" s="15">
        <f t="shared" si="2"/>
        <v>0.14967664587832266</v>
      </c>
      <c r="AC15" t="b">
        <f t="shared" si="3"/>
        <v>1</v>
      </c>
    </row>
    <row r="16" spans="1:29" x14ac:dyDescent="0.25">
      <c r="A16" s="52" t="s">
        <v>259</v>
      </c>
      <c r="B16" s="46">
        <v>30013</v>
      </c>
      <c r="C16" s="47">
        <v>45748</v>
      </c>
      <c r="D16" s="46">
        <v>311500</v>
      </c>
      <c r="E16" s="46">
        <v>2</v>
      </c>
      <c r="F16" s="52" t="s">
        <v>1659</v>
      </c>
      <c r="G16" s="46">
        <v>6</v>
      </c>
      <c r="H16" s="52" t="s">
        <v>784</v>
      </c>
      <c r="I16" s="46"/>
      <c r="J16" s="46">
        <v>0</v>
      </c>
      <c r="K16" s="46"/>
      <c r="L16" s="52" t="s">
        <v>691</v>
      </c>
      <c r="M16" s="53">
        <v>5300000</v>
      </c>
      <c r="N16" s="46">
        <v>72</v>
      </c>
      <c r="O16" s="46">
        <v>0</v>
      </c>
      <c r="P16" s="46">
        <v>1</v>
      </c>
      <c r="Q16" s="52">
        <v>12</v>
      </c>
      <c r="R16" s="53">
        <v>94526</v>
      </c>
      <c r="S16" s="46">
        <v>1</v>
      </c>
      <c r="T16" s="53">
        <v>248500</v>
      </c>
      <c r="U16" s="53">
        <f t="shared" si="0"/>
        <v>64700</v>
      </c>
      <c r="V16" s="46">
        <v>1</v>
      </c>
      <c r="W16" s="53">
        <v>109972</v>
      </c>
      <c r="X16" s="46">
        <v>1</v>
      </c>
      <c r="Y16" s="46">
        <v>2</v>
      </c>
      <c r="Z16" s="54">
        <v>0.17415672486534939</v>
      </c>
      <c r="AA16" s="15">
        <f t="shared" si="1"/>
        <v>1.4513060405445782E-2</v>
      </c>
      <c r="AB16" s="15">
        <f t="shared" si="2"/>
        <v>0.17415672486534939</v>
      </c>
      <c r="AC16" t="b">
        <f t="shared" si="3"/>
        <v>1</v>
      </c>
    </row>
    <row r="17" spans="1:29" x14ac:dyDescent="0.25">
      <c r="A17" s="52" t="s">
        <v>259</v>
      </c>
      <c r="B17" s="46">
        <v>30013</v>
      </c>
      <c r="C17" s="47">
        <v>45748</v>
      </c>
      <c r="D17" s="46">
        <v>311500</v>
      </c>
      <c r="E17" s="46">
        <v>2</v>
      </c>
      <c r="F17" s="52" t="s">
        <v>1660</v>
      </c>
      <c r="G17" s="46">
        <v>6</v>
      </c>
      <c r="H17" s="52" t="s">
        <v>784</v>
      </c>
      <c r="I17" s="46"/>
      <c r="J17" s="46">
        <v>0</v>
      </c>
      <c r="K17" s="46"/>
      <c r="L17" s="52" t="s">
        <v>261</v>
      </c>
      <c r="M17" s="53">
        <v>4990000</v>
      </c>
      <c r="N17" s="46">
        <v>72</v>
      </c>
      <c r="O17" s="46">
        <v>0</v>
      </c>
      <c r="P17" s="46">
        <v>1</v>
      </c>
      <c r="Q17" s="52">
        <v>11</v>
      </c>
      <c r="R17" s="53">
        <v>88997</v>
      </c>
      <c r="S17" s="46">
        <v>1</v>
      </c>
      <c r="T17" s="53">
        <v>234550</v>
      </c>
      <c r="U17" s="53">
        <f t="shared" si="0"/>
        <v>61600</v>
      </c>
      <c r="V17" s="46">
        <v>1</v>
      </c>
      <c r="W17" s="53">
        <v>100378</v>
      </c>
      <c r="X17" s="46">
        <v>1</v>
      </c>
      <c r="Y17" s="46">
        <v>1</v>
      </c>
      <c r="Z17" s="54">
        <v>0.16193121025129431</v>
      </c>
      <c r="AA17" s="15">
        <f t="shared" si="1"/>
        <v>1.3494267520941194E-2</v>
      </c>
      <c r="AB17" s="15">
        <f t="shared" si="2"/>
        <v>0.16193121025129431</v>
      </c>
      <c r="AC17" t="b">
        <f t="shared" si="3"/>
        <v>1</v>
      </c>
    </row>
    <row r="18" spans="1:29" x14ac:dyDescent="0.25">
      <c r="A18" s="52" t="s">
        <v>259</v>
      </c>
      <c r="B18" s="46">
        <v>30013</v>
      </c>
      <c r="C18" s="47">
        <v>45748</v>
      </c>
      <c r="D18" s="46">
        <v>311500</v>
      </c>
      <c r="E18" s="46">
        <v>2</v>
      </c>
      <c r="F18" s="52" t="s">
        <v>1661</v>
      </c>
      <c r="G18" s="46">
        <v>6</v>
      </c>
      <c r="H18" s="52" t="s">
        <v>1178</v>
      </c>
      <c r="I18" s="46"/>
      <c r="J18" s="46">
        <v>0</v>
      </c>
      <c r="K18" s="46"/>
      <c r="L18" s="52" t="s">
        <v>261</v>
      </c>
      <c r="M18" s="53">
        <v>5360000</v>
      </c>
      <c r="N18" s="46">
        <v>72</v>
      </c>
      <c r="O18" s="46">
        <v>0</v>
      </c>
      <c r="P18" s="46">
        <v>1</v>
      </c>
      <c r="Q18" s="52">
        <v>10</v>
      </c>
      <c r="R18" s="53">
        <v>95596</v>
      </c>
      <c r="S18" s="46">
        <v>1</v>
      </c>
      <c r="T18" s="53">
        <v>251200</v>
      </c>
      <c r="U18" s="53">
        <f t="shared" si="0"/>
        <v>65300</v>
      </c>
      <c r="V18" s="46">
        <v>1</v>
      </c>
      <c r="W18" s="53">
        <v>104483</v>
      </c>
      <c r="X18" s="46">
        <v>1</v>
      </c>
      <c r="Y18" s="46">
        <v>1</v>
      </c>
      <c r="Z18" s="54">
        <v>0.14947694312690316</v>
      </c>
      <c r="AA18" s="15">
        <f t="shared" si="1"/>
        <v>1.245641192724193E-2</v>
      </c>
      <c r="AB18" s="15">
        <f t="shared" si="2"/>
        <v>0.14947694312690316</v>
      </c>
      <c r="AC18" t="b">
        <f t="shared" si="3"/>
        <v>1</v>
      </c>
    </row>
    <row r="19" spans="1:29" x14ac:dyDescent="0.25">
      <c r="A19" s="52" t="s">
        <v>259</v>
      </c>
      <c r="B19" s="46">
        <v>30013</v>
      </c>
      <c r="C19" s="47">
        <v>45749</v>
      </c>
      <c r="D19" s="46">
        <v>311500</v>
      </c>
      <c r="E19" s="46">
        <v>2</v>
      </c>
      <c r="F19" s="52" t="s">
        <v>1662</v>
      </c>
      <c r="G19" s="46">
        <v>6</v>
      </c>
      <c r="H19" s="52" t="s">
        <v>1642</v>
      </c>
      <c r="I19" s="46"/>
      <c r="J19" s="46">
        <v>0</v>
      </c>
      <c r="K19" s="46"/>
      <c r="L19" s="52" t="s">
        <v>270</v>
      </c>
      <c r="M19" s="53">
        <v>10000000</v>
      </c>
      <c r="N19" s="46">
        <v>60</v>
      </c>
      <c r="O19" s="46">
        <v>0</v>
      </c>
      <c r="P19" s="46">
        <v>1</v>
      </c>
      <c r="Q19" s="52">
        <v>8</v>
      </c>
      <c r="R19" s="53">
        <v>297250</v>
      </c>
      <c r="S19" s="46">
        <v>1</v>
      </c>
      <c r="T19" s="53">
        <v>390000</v>
      </c>
      <c r="U19" s="53">
        <f t="shared" si="0"/>
        <v>111700</v>
      </c>
      <c r="V19" s="46">
        <v>1</v>
      </c>
      <c r="W19" s="53">
        <v>210077</v>
      </c>
      <c r="X19" s="46">
        <v>1</v>
      </c>
      <c r="Y19" s="46">
        <v>1</v>
      </c>
      <c r="Z19" s="54">
        <v>0.1315373851260413</v>
      </c>
      <c r="AA19" s="15">
        <f t="shared" si="1"/>
        <v>1.096144876050344E-2</v>
      </c>
      <c r="AB19" s="15">
        <f t="shared" si="2"/>
        <v>0.1315373851260413</v>
      </c>
      <c r="AC19" t="b">
        <f t="shared" si="3"/>
        <v>1</v>
      </c>
    </row>
    <row r="20" spans="1:29" x14ac:dyDescent="0.25">
      <c r="A20" s="52" t="s">
        <v>259</v>
      </c>
      <c r="B20" s="46">
        <v>30013</v>
      </c>
      <c r="C20" s="47">
        <v>45749</v>
      </c>
      <c r="D20" s="46">
        <v>321300</v>
      </c>
      <c r="E20" s="46">
        <v>2</v>
      </c>
      <c r="F20" s="52" t="s">
        <v>1663</v>
      </c>
      <c r="G20" s="46">
        <v>6</v>
      </c>
      <c r="H20" s="52" t="s">
        <v>784</v>
      </c>
      <c r="I20" s="46"/>
      <c r="J20" s="46">
        <v>0</v>
      </c>
      <c r="K20" s="46"/>
      <c r="L20" s="52" t="s">
        <v>686</v>
      </c>
      <c r="M20" s="55">
        <v>1000000</v>
      </c>
      <c r="N20" s="46">
        <v>24</v>
      </c>
      <c r="O20" s="46">
        <v>0</v>
      </c>
      <c r="P20" s="46">
        <v>1</v>
      </c>
      <c r="Q20" s="52">
        <v>12</v>
      </c>
      <c r="R20" s="55">
        <v>29725</v>
      </c>
      <c r="S20" s="46">
        <v>1</v>
      </c>
      <c r="T20" s="55">
        <v>25000</v>
      </c>
      <c r="U20" s="53">
        <f t="shared" si="0"/>
        <v>21700</v>
      </c>
      <c r="V20" s="46">
        <v>1</v>
      </c>
      <c r="W20" s="55">
        <v>48140</v>
      </c>
      <c r="X20" s="46">
        <v>1</v>
      </c>
      <c r="Y20" s="46">
        <v>1</v>
      </c>
      <c r="Z20" s="54">
        <v>0.22496247190250496</v>
      </c>
      <c r="AA20" s="15">
        <f t="shared" si="1"/>
        <v>1.874687265854208E-2</v>
      </c>
      <c r="AB20" s="15">
        <f t="shared" si="2"/>
        <v>0.22496247190250496</v>
      </c>
      <c r="AC20" t="b">
        <f t="shared" si="3"/>
        <v>1</v>
      </c>
    </row>
    <row r="21" spans="1:29" x14ac:dyDescent="0.25">
      <c r="A21" s="52" t="s">
        <v>259</v>
      </c>
      <c r="B21" s="46">
        <v>30013</v>
      </c>
      <c r="C21" s="47">
        <v>45749</v>
      </c>
      <c r="D21" s="46">
        <v>311500</v>
      </c>
      <c r="E21" s="46">
        <v>2</v>
      </c>
      <c r="F21" s="52" t="s">
        <v>1664</v>
      </c>
      <c r="G21" s="46">
        <v>6</v>
      </c>
      <c r="H21" s="52" t="s">
        <v>1650</v>
      </c>
      <c r="I21" s="46"/>
      <c r="J21" s="46">
        <v>0</v>
      </c>
      <c r="K21" s="46"/>
      <c r="L21" s="52" t="s">
        <v>261</v>
      </c>
      <c r="M21" s="53">
        <v>5790000</v>
      </c>
      <c r="N21" s="46">
        <v>72</v>
      </c>
      <c r="O21" s="46">
        <v>0</v>
      </c>
      <c r="P21" s="46">
        <v>1</v>
      </c>
      <c r="Q21" s="52">
        <v>11</v>
      </c>
      <c r="R21" s="53">
        <v>103265</v>
      </c>
      <c r="S21" s="46">
        <v>1</v>
      </c>
      <c r="T21" s="53">
        <v>270550</v>
      </c>
      <c r="U21" s="53">
        <f t="shared" si="0"/>
        <v>69600</v>
      </c>
      <c r="V21" s="46">
        <v>1</v>
      </c>
      <c r="W21" s="53">
        <v>116471</v>
      </c>
      <c r="X21" s="46">
        <v>1</v>
      </c>
      <c r="Y21" s="46">
        <v>1</v>
      </c>
      <c r="Z21" s="54">
        <v>0.16167534776620798</v>
      </c>
      <c r="AA21" s="15">
        <f t="shared" si="1"/>
        <v>1.3472945647183999E-2</v>
      </c>
      <c r="AB21" s="15">
        <f t="shared" si="2"/>
        <v>0.16167534776620798</v>
      </c>
      <c r="AC21" t="b">
        <f t="shared" si="3"/>
        <v>1</v>
      </c>
    </row>
    <row r="22" spans="1:29" x14ac:dyDescent="0.25">
      <c r="A22" s="52" t="s">
        <v>259</v>
      </c>
      <c r="B22" s="46">
        <v>30013</v>
      </c>
      <c r="C22" s="47">
        <v>45750</v>
      </c>
      <c r="D22" s="46">
        <v>321600</v>
      </c>
      <c r="E22" s="46">
        <v>2</v>
      </c>
      <c r="F22" s="52" t="s">
        <v>1665</v>
      </c>
      <c r="G22" s="46">
        <v>6</v>
      </c>
      <c r="H22" s="52" t="s">
        <v>784</v>
      </c>
      <c r="I22" s="46"/>
      <c r="J22" s="46">
        <v>0</v>
      </c>
      <c r="K22" s="46"/>
      <c r="L22" s="52" t="s">
        <v>698</v>
      </c>
      <c r="M22" s="53">
        <v>670000</v>
      </c>
      <c r="N22" s="46">
        <v>12</v>
      </c>
      <c r="O22" s="46">
        <v>0</v>
      </c>
      <c r="P22" s="46">
        <v>1</v>
      </c>
      <c r="Q22" s="52">
        <v>10</v>
      </c>
      <c r="R22" s="53">
        <v>7966</v>
      </c>
      <c r="S22" s="46">
        <v>1</v>
      </c>
      <c r="T22" s="53">
        <v>0</v>
      </c>
      <c r="U22" s="53">
        <v>21700</v>
      </c>
      <c r="V22" s="46">
        <v>1</v>
      </c>
      <c r="W22" s="53">
        <v>59494</v>
      </c>
      <c r="X22" s="46">
        <v>1</v>
      </c>
      <c r="Y22" s="46">
        <v>1</v>
      </c>
      <c r="Z22" s="54">
        <v>0.20577014784281361</v>
      </c>
      <c r="AA22" s="15">
        <f t="shared" si="1"/>
        <v>1.7147512320234468E-2</v>
      </c>
      <c r="AB22" s="15">
        <f t="shared" si="2"/>
        <v>0.20577014784281361</v>
      </c>
      <c r="AC22" t="b">
        <f t="shared" si="3"/>
        <v>1</v>
      </c>
    </row>
    <row r="23" spans="1:29" x14ac:dyDescent="0.25">
      <c r="A23" s="52" t="s">
        <v>259</v>
      </c>
      <c r="B23" s="46">
        <v>30013</v>
      </c>
      <c r="C23" s="47">
        <v>45750</v>
      </c>
      <c r="D23" s="46">
        <v>311500</v>
      </c>
      <c r="E23" s="46">
        <v>2</v>
      </c>
      <c r="F23" s="52" t="s">
        <v>1666</v>
      </c>
      <c r="G23" s="46">
        <v>6</v>
      </c>
      <c r="H23" s="52" t="s">
        <v>784</v>
      </c>
      <c r="I23" s="46"/>
      <c r="J23" s="46">
        <v>0</v>
      </c>
      <c r="K23" s="46"/>
      <c r="L23" s="52" t="s">
        <v>261</v>
      </c>
      <c r="M23" s="53">
        <v>2750000</v>
      </c>
      <c r="N23" s="46">
        <v>48</v>
      </c>
      <c r="O23" s="46">
        <v>0</v>
      </c>
      <c r="P23" s="46">
        <v>1</v>
      </c>
      <c r="Q23" s="52">
        <v>12</v>
      </c>
      <c r="R23" s="53">
        <v>81744</v>
      </c>
      <c r="S23" s="46">
        <v>1</v>
      </c>
      <c r="T23" s="53">
        <v>92500</v>
      </c>
      <c r="U23" s="53">
        <f t="shared" ref="U23:U35" si="4">M23/100+11700</f>
        <v>39200</v>
      </c>
      <c r="V23" s="46">
        <v>1</v>
      </c>
      <c r="W23" s="53">
        <v>75518</v>
      </c>
      <c r="X23" s="46">
        <v>1</v>
      </c>
      <c r="Y23" s="46">
        <v>1</v>
      </c>
      <c r="Z23" s="54">
        <v>0.18756662472061053</v>
      </c>
      <c r="AA23" s="15">
        <f t="shared" si="1"/>
        <v>1.5630552060050876E-2</v>
      </c>
      <c r="AB23" s="15">
        <f t="shared" si="2"/>
        <v>0.18756662472061053</v>
      </c>
      <c r="AC23" t="b">
        <f t="shared" si="3"/>
        <v>1</v>
      </c>
    </row>
    <row r="24" spans="1:29" x14ac:dyDescent="0.25">
      <c r="A24" s="52" t="s">
        <v>259</v>
      </c>
      <c r="B24" s="46">
        <v>30013</v>
      </c>
      <c r="C24" s="47">
        <v>45750</v>
      </c>
      <c r="D24" s="46">
        <v>321300</v>
      </c>
      <c r="E24" s="46">
        <v>2</v>
      </c>
      <c r="F24" s="52" t="s">
        <v>1667</v>
      </c>
      <c r="G24" s="46">
        <v>6</v>
      </c>
      <c r="H24" s="52" t="s">
        <v>1642</v>
      </c>
      <c r="I24" s="46"/>
      <c r="J24" s="46">
        <v>0</v>
      </c>
      <c r="K24" s="46"/>
      <c r="L24" s="52" t="s">
        <v>270</v>
      </c>
      <c r="M24" s="53">
        <v>1600000</v>
      </c>
      <c r="N24" s="46">
        <v>24</v>
      </c>
      <c r="O24" s="46">
        <v>0</v>
      </c>
      <c r="P24" s="46">
        <v>1</v>
      </c>
      <c r="Q24" s="52">
        <v>8</v>
      </c>
      <c r="R24" s="53">
        <v>47560</v>
      </c>
      <c r="S24" s="46">
        <v>1</v>
      </c>
      <c r="T24" s="53">
        <v>34000</v>
      </c>
      <c r="U24" s="53">
        <f t="shared" si="4"/>
        <v>27700</v>
      </c>
      <c r="V24" s="46">
        <v>1</v>
      </c>
      <c r="W24" s="53">
        <v>73472</v>
      </c>
      <c r="X24" s="46">
        <v>1</v>
      </c>
      <c r="Y24" s="46">
        <v>1</v>
      </c>
      <c r="Z24" s="54">
        <v>0.1667363496618301</v>
      </c>
      <c r="AA24" s="15">
        <f t="shared" si="1"/>
        <v>1.3894695805152509E-2</v>
      </c>
      <c r="AB24" s="15">
        <f t="shared" si="2"/>
        <v>0.1667363496618301</v>
      </c>
      <c r="AC24" t="b">
        <f t="shared" si="3"/>
        <v>1</v>
      </c>
    </row>
    <row r="25" spans="1:29" x14ac:dyDescent="0.25">
      <c r="A25" s="52" t="s">
        <v>259</v>
      </c>
      <c r="B25" s="46">
        <v>30013</v>
      </c>
      <c r="C25" s="47">
        <v>45750</v>
      </c>
      <c r="D25" s="46">
        <v>311730</v>
      </c>
      <c r="E25" s="46">
        <v>2</v>
      </c>
      <c r="F25" s="52" t="s">
        <v>1668</v>
      </c>
      <c r="G25" s="46">
        <v>6</v>
      </c>
      <c r="H25" s="52" t="s">
        <v>784</v>
      </c>
      <c r="I25" s="46"/>
      <c r="J25" s="46">
        <v>0</v>
      </c>
      <c r="K25" s="46"/>
      <c r="L25" s="52" t="s">
        <v>261</v>
      </c>
      <c r="M25" s="53">
        <v>2002864</v>
      </c>
      <c r="N25" s="46">
        <v>27</v>
      </c>
      <c r="O25" s="46">
        <v>0</v>
      </c>
      <c r="P25" s="46">
        <v>1</v>
      </c>
      <c r="Q25" s="52">
        <v>11</v>
      </c>
      <c r="R25" s="53">
        <v>40723</v>
      </c>
      <c r="S25" s="46">
        <v>1</v>
      </c>
      <c r="T25" s="53">
        <v>43798</v>
      </c>
      <c r="U25" s="53">
        <f t="shared" si="4"/>
        <v>31728.639999999999</v>
      </c>
      <c r="V25" s="46">
        <v>1</v>
      </c>
      <c r="W25" s="53">
        <v>86030</v>
      </c>
      <c r="X25" s="46">
        <v>1</v>
      </c>
      <c r="Y25" s="46">
        <v>1</v>
      </c>
      <c r="Z25" s="54">
        <v>0.18583614789510028</v>
      </c>
      <c r="AA25" s="15">
        <f t="shared" si="1"/>
        <v>1.5486345657925024E-2</v>
      </c>
      <c r="AB25" s="15">
        <f t="shared" si="2"/>
        <v>0.18583614789510028</v>
      </c>
      <c r="AC25" t="b">
        <f t="shared" si="3"/>
        <v>1</v>
      </c>
    </row>
    <row r="26" spans="1:29" x14ac:dyDescent="0.25">
      <c r="A26" s="52" t="s">
        <v>259</v>
      </c>
      <c r="B26" s="46">
        <v>30013</v>
      </c>
      <c r="C26" s="47">
        <v>45750</v>
      </c>
      <c r="D26" s="46">
        <v>311500</v>
      </c>
      <c r="E26" s="46">
        <v>2</v>
      </c>
      <c r="F26" s="52" t="s">
        <v>1669</v>
      </c>
      <c r="G26" s="46">
        <v>6</v>
      </c>
      <c r="H26" s="52" t="s">
        <v>784</v>
      </c>
      <c r="I26" s="46"/>
      <c r="J26" s="46">
        <v>0</v>
      </c>
      <c r="K26" s="46"/>
      <c r="L26" s="52" t="s">
        <v>261</v>
      </c>
      <c r="M26" s="53">
        <v>5700000</v>
      </c>
      <c r="N26" s="46">
        <v>72</v>
      </c>
      <c r="O26" s="46">
        <v>0</v>
      </c>
      <c r="P26" s="46">
        <v>1</v>
      </c>
      <c r="Q26" s="52">
        <v>12</v>
      </c>
      <c r="R26" s="53">
        <v>101660</v>
      </c>
      <c r="S26" s="46">
        <v>1</v>
      </c>
      <c r="T26" s="53">
        <v>266500</v>
      </c>
      <c r="U26" s="53">
        <f t="shared" si="4"/>
        <v>68700</v>
      </c>
      <c r="V26" s="46">
        <v>1</v>
      </c>
      <c r="W26" s="53">
        <v>118272</v>
      </c>
      <c r="X26" s="46">
        <v>1</v>
      </c>
      <c r="Y26" s="46">
        <v>1</v>
      </c>
      <c r="Z26" s="54">
        <v>0.17403280595418541</v>
      </c>
      <c r="AA26" s="15">
        <f t="shared" si="1"/>
        <v>1.450273382951545E-2</v>
      </c>
      <c r="AB26" s="15">
        <f t="shared" si="2"/>
        <v>0.17403280595418541</v>
      </c>
      <c r="AC26" t="b">
        <f t="shared" si="3"/>
        <v>1</v>
      </c>
    </row>
    <row r="27" spans="1:29" x14ac:dyDescent="0.25">
      <c r="A27" s="52" t="s">
        <v>259</v>
      </c>
      <c r="B27" s="46">
        <v>30013</v>
      </c>
      <c r="C27" s="47">
        <v>45750</v>
      </c>
      <c r="D27" s="46">
        <v>311500</v>
      </c>
      <c r="E27" s="46">
        <v>2</v>
      </c>
      <c r="F27" s="52" t="s">
        <v>1670</v>
      </c>
      <c r="G27" s="46">
        <v>6</v>
      </c>
      <c r="H27" s="52" t="s">
        <v>784</v>
      </c>
      <c r="I27" s="46"/>
      <c r="J27" s="46">
        <v>0</v>
      </c>
      <c r="K27" s="46"/>
      <c r="L27" s="52" t="s">
        <v>261</v>
      </c>
      <c r="M27" s="53">
        <v>5700000</v>
      </c>
      <c r="N27" s="46">
        <v>72</v>
      </c>
      <c r="O27" s="46">
        <v>0</v>
      </c>
      <c r="P27" s="46">
        <v>1</v>
      </c>
      <c r="Q27" s="52">
        <v>12</v>
      </c>
      <c r="R27" s="53">
        <v>101660</v>
      </c>
      <c r="S27" s="46">
        <v>1</v>
      </c>
      <c r="T27" s="53">
        <v>266500</v>
      </c>
      <c r="U27" s="53">
        <f t="shared" si="4"/>
        <v>68700</v>
      </c>
      <c r="V27" s="46">
        <v>1</v>
      </c>
      <c r="W27" s="53">
        <v>118272</v>
      </c>
      <c r="X27" s="46">
        <v>1</v>
      </c>
      <c r="Y27" s="46">
        <v>1</v>
      </c>
      <c r="Z27" s="54">
        <v>0.17403280595418541</v>
      </c>
      <c r="AA27" s="15">
        <f t="shared" si="1"/>
        <v>1.450273382951545E-2</v>
      </c>
      <c r="AB27" s="15">
        <f t="shared" si="2"/>
        <v>0.17403280595418541</v>
      </c>
      <c r="AC27" t="b">
        <f t="shared" si="3"/>
        <v>1</v>
      </c>
    </row>
    <row r="28" spans="1:29" x14ac:dyDescent="0.25">
      <c r="A28" s="52" t="s">
        <v>259</v>
      </c>
      <c r="B28" s="46">
        <v>30013</v>
      </c>
      <c r="C28" s="47">
        <v>45750</v>
      </c>
      <c r="D28" s="46">
        <v>311500</v>
      </c>
      <c r="E28" s="46">
        <v>2</v>
      </c>
      <c r="F28" s="52" t="s">
        <v>1671</v>
      </c>
      <c r="G28" s="46">
        <v>6</v>
      </c>
      <c r="H28" s="52" t="s">
        <v>784</v>
      </c>
      <c r="I28" s="46"/>
      <c r="J28" s="46">
        <v>0</v>
      </c>
      <c r="K28" s="46"/>
      <c r="L28" s="52" t="s">
        <v>261</v>
      </c>
      <c r="M28" s="53">
        <v>3080000</v>
      </c>
      <c r="N28" s="46">
        <v>72</v>
      </c>
      <c r="O28" s="46">
        <v>0</v>
      </c>
      <c r="P28" s="46">
        <v>1</v>
      </c>
      <c r="Q28" s="52">
        <v>12</v>
      </c>
      <c r="R28" s="53">
        <v>54932</v>
      </c>
      <c r="S28" s="46">
        <v>1</v>
      </c>
      <c r="T28" s="53">
        <v>148600</v>
      </c>
      <c r="U28" s="53">
        <f t="shared" si="4"/>
        <v>42500</v>
      </c>
      <c r="V28" s="46">
        <v>1</v>
      </c>
      <c r="W28" s="53">
        <v>63909</v>
      </c>
      <c r="X28" s="46">
        <v>1</v>
      </c>
      <c r="Y28" s="46">
        <v>1</v>
      </c>
      <c r="Z28" s="54">
        <v>0.17544533737815815</v>
      </c>
      <c r="AA28" s="15">
        <f t="shared" si="1"/>
        <v>1.4620444781513179E-2</v>
      </c>
      <c r="AB28" s="15">
        <f t="shared" si="2"/>
        <v>0.17544533737815815</v>
      </c>
      <c r="AC28" t="b">
        <f t="shared" si="3"/>
        <v>1</v>
      </c>
    </row>
    <row r="29" spans="1:29" x14ac:dyDescent="0.25">
      <c r="A29" s="52" t="s">
        <v>259</v>
      </c>
      <c r="B29" s="46">
        <v>30013</v>
      </c>
      <c r="C29" s="47">
        <v>45750</v>
      </c>
      <c r="D29" s="46">
        <v>311500</v>
      </c>
      <c r="E29" s="46">
        <v>2</v>
      </c>
      <c r="F29" s="52" t="s">
        <v>1672</v>
      </c>
      <c r="G29" s="46">
        <v>6</v>
      </c>
      <c r="H29" s="52" t="s">
        <v>784</v>
      </c>
      <c r="I29" s="46"/>
      <c r="J29" s="46">
        <v>0</v>
      </c>
      <c r="K29" s="46"/>
      <c r="L29" s="52" t="s">
        <v>261</v>
      </c>
      <c r="M29" s="53">
        <v>2810000</v>
      </c>
      <c r="N29" s="46">
        <v>48</v>
      </c>
      <c r="O29" s="46">
        <v>0</v>
      </c>
      <c r="P29" s="46">
        <v>1</v>
      </c>
      <c r="Q29" s="52">
        <v>12</v>
      </c>
      <c r="R29" s="53">
        <v>83527</v>
      </c>
      <c r="S29" s="46">
        <v>1</v>
      </c>
      <c r="T29" s="53">
        <v>94300</v>
      </c>
      <c r="U29" s="53">
        <f t="shared" si="4"/>
        <v>39800</v>
      </c>
      <c r="V29" s="46">
        <v>1</v>
      </c>
      <c r="W29" s="53">
        <v>77166</v>
      </c>
      <c r="X29" s="46">
        <v>1</v>
      </c>
      <c r="Y29" s="46">
        <v>1</v>
      </c>
      <c r="Z29" s="54">
        <v>0.18746567551804752</v>
      </c>
      <c r="AA29" s="15">
        <f t="shared" si="1"/>
        <v>1.562213962650396E-2</v>
      </c>
      <c r="AB29" s="15">
        <f t="shared" si="2"/>
        <v>0.18746567551804752</v>
      </c>
      <c r="AC29" t="b">
        <f t="shared" si="3"/>
        <v>1</v>
      </c>
    </row>
    <row r="30" spans="1:29" x14ac:dyDescent="0.25">
      <c r="A30" s="52" t="s">
        <v>259</v>
      </c>
      <c r="B30" s="46">
        <v>30013</v>
      </c>
      <c r="C30" s="47">
        <v>45750</v>
      </c>
      <c r="D30" s="46">
        <v>311500</v>
      </c>
      <c r="E30" s="46">
        <v>2</v>
      </c>
      <c r="F30" s="52" t="s">
        <v>1673</v>
      </c>
      <c r="G30" s="46">
        <v>6</v>
      </c>
      <c r="H30" s="52" t="s">
        <v>1642</v>
      </c>
      <c r="I30" s="46"/>
      <c r="J30" s="46">
        <v>0</v>
      </c>
      <c r="K30" s="46"/>
      <c r="L30" s="52" t="s">
        <v>231</v>
      </c>
      <c r="M30" s="53">
        <v>2500000</v>
      </c>
      <c r="N30" s="46">
        <v>48</v>
      </c>
      <c r="O30" s="46">
        <v>0</v>
      </c>
      <c r="P30" s="46">
        <v>1</v>
      </c>
      <c r="Q30" s="52">
        <v>8</v>
      </c>
      <c r="R30" s="53">
        <v>74313</v>
      </c>
      <c r="S30" s="46">
        <v>1</v>
      </c>
      <c r="T30" s="53">
        <v>85000</v>
      </c>
      <c r="U30" s="53">
        <f t="shared" si="4"/>
        <v>36700</v>
      </c>
      <c r="V30" s="46">
        <v>1</v>
      </c>
      <c r="W30" s="53">
        <v>62822</v>
      </c>
      <c r="X30" s="46">
        <v>1</v>
      </c>
      <c r="Y30" s="46">
        <v>1</v>
      </c>
      <c r="Z30" s="54">
        <v>0.13880654771819706</v>
      </c>
      <c r="AA30" s="15">
        <f t="shared" si="1"/>
        <v>1.1567212309849754E-2</v>
      </c>
      <c r="AB30" s="15">
        <f t="shared" si="2"/>
        <v>0.13880654771819706</v>
      </c>
      <c r="AC30" t="b">
        <f t="shared" si="3"/>
        <v>1</v>
      </c>
    </row>
    <row r="31" spans="1:29" x14ac:dyDescent="0.25">
      <c r="A31" s="52" t="s">
        <v>259</v>
      </c>
      <c r="B31" s="46">
        <v>30013</v>
      </c>
      <c r="C31" s="47">
        <v>45750</v>
      </c>
      <c r="D31" s="46">
        <v>311500</v>
      </c>
      <c r="E31" s="46">
        <v>2</v>
      </c>
      <c r="F31" s="52" t="s">
        <v>1674</v>
      </c>
      <c r="G31" s="46">
        <v>6</v>
      </c>
      <c r="H31" s="52" t="s">
        <v>1642</v>
      </c>
      <c r="I31" s="46"/>
      <c r="J31" s="46">
        <v>0</v>
      </c>
      <c r="K31" s="46"/>
      <c r="L31" s="52" t="s">
        <v>261</v>
      </c>
      <c r="M31" s="53">
        <v>4600000</v>
      </c>
      <c r="N31" s="46">
        <v>60</v>
      </c>
      <c r="O31" s="46">
        <v>0</v>
      </c>
      <c r="P31" s="46">
        <v>1</v>
      </c>
      <c r="Q31" s="52">
        <v>10</v>
      </c>
      <c r="R31" s="53">
        <v>136735</v>
      </c>
      <c r="S31" s="46">
        <v>1</v>
      </c>
      <c r="T31" s="53">
        <v>182500</v>
      </c>
      <c r="U31" s="53">
        <f t="shared" si="4"/>
        <v>57700</v>
      </c>
      <c r="V31" s="46">
        <v>1</v>
      </c>
      <c r="W31" s="53">
        <v>102069</v>
      </c>
      <c r="X31" s="46">
        <v>1</v>
      </c>
      <c r="Y31" s="46">
        <v>1</v>
      </c>
      <c r="Z31" s="54">
        <v>0.15719769024595967</v>
      </c>
      <c r="AA31" s="15">
        <f t="shared" si="1"/>
        <v>1.3099807520496639E-2</v>
      </c>
      <c r="AB31" s="15">
        <f t="shared" si="2"/>
        <v>0.15719769024595967</v>
      </c>
      <c r="AC31" t="b">
        <f t="shared" si="3"/>
        <v>1</v>
      </c>
    </row>
    <row r="32" spans="1:29" x14ac:dyDescent="0.25">
      <c r="A32" s="52" t="s">
        <v>259</v>
      </c>
      <c r="B32" s="46">
        <v>30013</v>
      </c>
      <c r="C32" s="47">
        <v>45750</v>
      </c>
      <c r="D32" s="46">
        <v>311500</v>
      </c>
      <c r="E32" s="46">
        <v>2</v>
      </c>
      <c r="F32" s="52" t="s">
        <v>1675</v>
      </c>
      <c r="G32" s="46">
        <v>6</v>
      </c>
      <c r="H32" s="52" t="s">
        <v>1650</v>
      </c>
      <c r="I32" s="46"/>
      <c r="J32" s="46">
        <v>0</v>
      </c>
      <c r="K32" s="46"/>
      <c r="L32" s="52" t="s">
        <v>693</v>
      </c>
      <c r="M32" s="53">
        <v>4400000</v>
      </c>
      <c r="N32" s="46">
        <v>72</v>
      </c>
      <c r="O32" s="46">
        <v>0</v>
      </c>
      <c r="P32" s="46">
        <v>1</v>
      </c>
      <c r="Q32" s="52">
        <v>11</v>
      </c>
      <c r="R32" s="53">
        <v>78474</v>
      </c>
      <c r="S32" s="46">
        <v>1</v>
      </c>
      <c r="T32" s="53">
        <v>208000</v>
      </c>
      <c r="U32" s="53">
        <f t="shared" si="4"/>
        <v>55700</v>
      </c>
      <c r="V32" s="46">
        <v>1</v>
      </c>
      <c r="W32" s="53">
        <v>88510</v>
      </c>
      <c r="X32" s="46">
        <v>1</v>
      </c>
      <c r="Y32" s="46">
        <v>1</v>
      </c>
      <c r="Z32" s="54">
        <v>0.16218234249852193</v>
      </c>
      <c r="AA32" s="15">
        <f t="shared" si="1"/>
        <v>1.3515195208210162E-2</v>
      </c>
      <c r="AB32" s="15">
        <f t="shared" si="2"/>
        <v>0.16218234249852193</v>
      </c>
      <c r="AC32" t="b">
        <f t="shared" si="3"/>
        <v>1</v>
      </c>
    </row>
    <row r="33" spans="1:29" x14ac:dyDescent="0.25">
      <c r="A33" s="52" t="s">
        <v>259</v>
      </c>
      <c r="B33" s="46">
        <v>30013</v>
      </c>
      <c r="C33" s="47">
        <v>45750</v>
      </c>
      <c r="D33" s="46">
        <v>311500</v>
      </c>
      <c r="E33" s="46">
        <v>2</v>
      </c>
      <c r="F33" s="52" t="s">
        <v>1676</v>
      </c>
      <c r="G33" s="46">
        <v>6</v>
      </c>
      <c r="H33" s="52" t="s">
        <v>1642</v>
      </c>
      <c r="I33" s="46"/>
      <c r="J33" s="46">
        <v>0</v>
      </c>
      <c r="K33" s="46"/>
      <c r="L33" s="52" t="s">
        <v>1677</v>
      </c>
      <c r="M33" s="53">
        <v>5000000</v>
      </c>
      <c r="N33" s="46">
        <v>36</v>
      </c>
      <c r="O33" s="46">
        <v>0</v>
      </c>
      <c r="P33" s="46">
        <v>1</v>
      </c>
      <c r="Q33" s="52">
        <v>10</v>
      </c>
      <c r="R33" s="53">
        <v>148625</v>
      </c>
      <c r="S33" s="46">
        <v>1</v>
      </c>
      <c r="T33" s="53">
        <v>122500</v>
      </c>
      <c r="U33" s="53">
        <f t="shared" si="4"/>
        <v>61700</v>
      </c>
      <c r="V33" s="46">
        <v>1</v>
      </c>
      <c r="W33" s="53">
        <v>165809</v>
      </c>
      <c r="X33" s="46">
        <v>1</v>
      </c>
      <c r="Y33" s="46">
        <v>1</v>
      </c>
      <c r="Z33" s="54">
        <v>0.16746374750869886</v>
      </c>
      <c r="AA33" s="15">
        <f t="shared" si="1"/>
        <v>1.395531229239157E-2</v>
      </c>
      <c r="AB33" s="15">
        <f t="shared" si="2"/>
        <v>0.16746374750869886</v>
      </c>
      <c r="AC33" t="b">
        <f t="shared" si="3"/>
        <v>1</v>
      </c>
    </row>
    <row r="34" spans="1:29" x14ac:dyDescent="0.25">
      <c r="A34" s="52" t="s">
        <v>259</v>
      </c>
      <c r="B34" s="46">
        <v>30013</v>
      </c>
      <c r="C34" s="47">
        <v>45750</v>
      </c>
      <c r="D34" s="46">
        <v>311500</v>
      </c>
      <c r="E34" s="46">
        <v>2</v>
      </c>
      <c r="F34" s="52" t="s">
        <v>1678</v>
      </c>
      <c r="G34" s="46">
        <v>6</v>
      </c>
      <c r="H34" s="52" t="s">
        <v>784</v>
      </c>
      <c r="I34" s="46"/>
      <c r="J34" s="46">
        <v>0</v>
      </c>
      <c r="K34" s="46"/>
      <c r="L34" s="52" t="s">
        <v>261</v>
      </c>
      <c r="M34" s="53">
        <v>4700000</v>
      </c>
      <c r="N34" s="46">
        <v>60</v>
      </c>
      <c r="O34" s="46">
        <v>0</v>
      </c>
      <c r="P34" s="46">
        <v>1</v>
      </c>
      <c r="Q34" s="52">
        <v>12</v>
      </c>
      <c r="R34" s="53">
        <v>139708</v>
      </c>
      <c r="S34" s="46">
        <v>1</v>
      </c>
      <c r="T34" s="53">
        <v>186250</v>
      </c>
      <c r="U34" s="53">
        <f t="shared" si="4"/>
        <v>58700</v>
      </c>
      <c r="V34" s="46">
        <v>1</v>
      </c>
      <c r="W34" s="53">
        <v>110015</v>
      </c>
      <c r="X34" s="46">
        <v>1</v>
      </c>
      <c r="Y34" s="46">
        <v>1</v>
      </c>
      <c r="Z34" s="54">
        <v>0.18184540389109152</v>
      </c>
      <c r="AA34" s="15">
        <f t="shared" si="1"/>
        <v>1.515378365759096E-2</v>
      </c>
      <c r="AB34" s="15">
        <f t="shared" si="2"/>
        <v>0.18184540389109152</v>
      </c>
      <c r="AC34" t="b">
        <f t="shared" si="3"/>
        <v>1</v>
      </c>
    </row>
    <row r="35" spans="1:29" x14ac:dyDescent="0.25">
      <c r="A35" s="52" t="s">
        <v>259</v>
      </c>
      <c r="B35" s="46">
        <v>30013</v>
      </c>
      <c r="C35" s="47">
        <v>45751</v>
      </c>
      <c r="D35" s="46">
        <v>311500</v>
      </c>
      <c r="E35" s="46">
        <v>2</v>
      </c>
      <c r="F35" s="52" t="s">
        <v>1679</v>
      </c>
      <c r="G35" s="46">
        <v>6</v>
      </c>
      <c r="H35" s="52" t="s">
        <v>784</v>
      </c>
      <c r="I35" s="46"/>
      <c r="J35" s="46">
        <v>0</v>
      </c>
      <c r="K35" s="46"/>
      <c r="L35" s="52" t="s">
        <v>261</v>
      </c>
      <c r="M35" s="53">
        <v>4750000</v>
      </c>
      <c r="N35" s="46">
        <v>72</v>
      </c>
      <c r="O35" s="46">
        <v>0</v>
      </c>
      <c r="P35" s="46">
        <v>1</v>
      </c>
      <c r="Q35" s="52">
        <v>12</v>
      </c>
      <c r="R35" s="53">
        <v>84716</v>
      </c>
      <c r="S35" s="46">
        <v>1</v>
      </c>
      <c r="T35" s="53">
        <v>223750</v>
      </c>
      <c r="U35" s="53">
        <f t="shared" si="4"/>
        <v>59200</v>
      </c>
      <c r="V35" s="46">
        <v>1</v>
      </c>
      <c r="W35" s="53">
        <v>98560</v>
      </c>
      <c r="X35" s="46">
        <v>1</v>
      </c>
      <c r="Y35" s="46">
        <v>1</v>
      </c>
      <c r="Z35" s="54">
        <v>0.17436328038089147</v>
      </c>
      <c r="AA35" s="15">
        <f t="shared" si="1"/>
        <v>1.4530273365074288E-2</v>
      </c>
      <c r="AB35" s="15">
        <f t="shared" si="2"/>
        <v>0.17436328038089147</v>
      </c>
      <c r="AC35" t="b">
        <f t="shared" si="3"/>
        <v>1</v>
      </c>
    </row>
    <row r="36" spans="1:29" x14ac:dyDescent="0.25">
      <c r="A36" s="52" t="s">
        <v>259</v>
      </c>
      <c r="B36" s="46">
        <v>30013</v>
      </c>
      <c r="C36" s="47">
        <v>45751</v>
      </c>
      <c r="D36" s="46">
        <v>321600</v>
      </c>
      <c r="E36" s="46">
        <v>2</v>
      </c>
      <c r="F36" s="52" t="s">
        <v>1680</v>
      </c>
      <c r="G36" s="46">
        <v>6</v>
      </c>
      <c r="H36" s="52" t="s">
        <v>784</v>
      </c>
      <c r="I36" s="46"/>
      <c r="J36" s="46">
        <v>0</v>
      </c>
      <c r="K36" s="46"/>
      <c r="L36" s="52" t="s">
        <v>261</v>
      </c>
      <c r="M36" s="53">
        <v>410000</v>
      </c>
      <c r="N36" s="46">
        <v>12</v>
      </c>
      <c r="O36" s="46">
        <v>0</v>
      </c>
      <c r="P36" s="46">
        <v>1</v>
      </c>
      <c r="Q36" s="52">
        <v>10</v>
      </c>
      <c r="R36" s="53">
        <v>975</v>
      </c>
      <c r="S36" s="46">
        <v>1</v>
      </c>
      <c r="T36" s="53">
        <v>0</v>
      </c>
      <c r="U36" s="53">
        <v>21700</v>
      </c>
      <c r="V36" s="46">
        <v>1</v>
      </c>
      <c r="W36" s="53">
        <v>36407</v>
      </c>
      <c r="X36" s="46">
        <v>1</v>
      </c>
      <c r="Y36" s="46">
        <v>1</v>
      </c>
      <c r="Z36" s="54">
        <v>0.22833526422402844</v>
      </c>
      <c r="AA36" s="15">
        <f t="shared" si="1"/>
        <v>1.9027938685335703E-2</v>
      </c>
      <c r="AB36" s="15">
        <f t="shared" si="2"/>
        <v>0.22833526422402844</v>
      </c>
      <c r="AC36" t="b">
        <f t="shared" si="3"/>
        <v>1</v>
      </c>
    </row>
    <row r="37" spans="1:29" x14ac:dyDescent="0.25">
      <c r="A37" s="52" t="s">
        <v>259</v>
      </c>
      <c r="B37" s="46">
        <v>30013</v>
      </c>
      <c r="C37" s="47">
        <v>45751</v>
      </c>
      <c r="D37" s="46">
        <v>311500</v>
      </c>
      <c r="E37" s="46">
        <v>2</v>
      </c>
      <c r="F37" s="52" t="s">
        <v>1681</v>
      </c>
      <c r="G37" s="46">
        <v>6</v>
      </c>
      <c r="H37" s="52" t="s">
        <v>784</v>
      </c>
      <c r="I37" s="46"/>
      <c r="J37" s="46">
        <v>0</v>
      </c>
      <c r="K37" s="46"/>
      <c r="L37" s="52" t="s">
        <v>261</v>
      </c>
      <c r="M37" s="53">
        <v>6800000</v>
      </c>
      <c r="N37" s="46">
        <v>72</v>
      </c>
      <c r="O37" s="46">
        <v>0</v>
      </c>
      <c r="P37" s="46">
        <v>1</v>
      </c>
      <c r="Q37" s="52">
        <v>10</v>
      </c>
      <c r="R37" s="53">
        <v>121278</v>
      </c>
      <c r="S37" s="46">
        <v>1</v>
      </c>
      <c r="T37" s="53">
        <v>316000</v>
      </c>
      <c r="U37" s="53">
        <f>M37/100+11700</f>
        <v>79700</v>
      </c>
      <c r="V37" s="46">
        <v>1</v>
      </c>
      <c r="W37" s="53">
        <v>132553</v>
      </c>
      <c r="X37" s="46">
        <v>1</v>
      </c>
      <c r="Y37" s="46">
        <v>1</v>
      </c>
      <c r="Z37" s="54">
        <v>0.14911558730960955</v>
      </c>
      <c r="AA37" s="15">
        <f t="shared" si="1"/>
        <v>1.2426298942467464E-2</v>
      </c>
      <c r="AB37" s="15">
        <f t="shared" si="2"/>
        <v>0.14911558730960955</v>
      </c>
      <c r="AC37" t="b">
        <f t="shared" si="3"/>
        <v>1</v>
      </c>
    </row>
    <row r="38" spans="1:29" x14ac:dyDescent="0.25">
      <c r="A38" s="52" t="s">
        <v>259</v>
      </c>
      <c r="B38" s="46">
        <v>30013</v>
      </c>
      <c r="C38" s="47">
        <v>45751</v>
      </c>
      <c r="D38" s="46">
        <v>311500</v>
      </c>
      <c r="E38" s="46">
        <v>2</v>
      </c>
      <c r="F38" s="52" t="s">
        <v>1682</v>
      </c>
      <c r="G38" s="46">
        <v>6</v>
      </c>
      <c r="H38" s="52" t="s">
        <v>784</v>
      </c>
      <c r="I38" s="46"/>
      <c r="J38" s="46">
        <v>0</v>
      </c>
      <c r="K38" s="46"/>
      <c r="L38" s="52" t="s">
        <v>690</v>
      </c>
      <c r="M38" s="53">
        <v>2100000</v>
      </c>
      <c r="N38" s="46">
        <v>48</v>
      </c>
      <c r="O38" s="46">
        <v>0</v>
      </c>
      <c r="P38" s="46">
        <v>1</v>
      </c>
      <c r="Q38" s="52">
        <v>12</v>
      </c>
      <c r="R38" s="53">
        <v>62423</v>
      </c>
      <c r="S38" s="46">
        <v>1</v>
      </c>
      <c r="T38" s="53">
        <v>73000</v>
      </c>
      <c r="U38" s="53">
        <f>M38/100+11700</f>
        <v>32700</v>
      </c>
      <c r="V38" s="46">
        <v>1</v>
      </c>
      <c r="W38" s="53">
        <v>57668</v>
      </c>
      <c r="X38" s="46">
        <v>1</v>
      </c>
      <c r="Y38" s="46">
        <v>1</v>
      </c>
      <c r="Z38" s="54">
        <v>0.18906423885341039</v>
      </c>
      <c r="AA38" s="15">
        <f t="shared" si="1"/>
        <v>1.5755353237784198E-2</v>
      </c>
      <c r="AB38" s="15">
        <f t="shared" si="2"/>
        <v>0.18906423885341039</v>
      </c>
      <c r="AC38" t="b">
        <f t="shared" si="3"/>
        <v>1</v>
      </c>
    </row>
    <row r="39" spans="1:29" x14ac:dyDescent="0.25">
      <c r="A39" s="52" t="s">
        <v>259</v>
      </c>
      <c r="B39" s="46">
        <v>30013</v>
      </c>
      <c r="C39" s="47">
        <v>45751</v>
      </c>
      <c r="D39" s="46">
        <v>311500</v>
      </c>
      <c r="E39" s="46">
        <v>2</v>
      </c>
      <c r="F39" s="52" t="s">
        <v>1683</v>
      </c>
      <c r="G39" s="46">
        <v>6</v>
      </c>
      <c r="H39" s="52" t="s">
        <v>784</v>
      </c>
      <c r="I39" s="46"/>
      <c r="J39" s="46">
        <v>0</v>
      </c>
      <c r="K39" s="46"/>
      <c r="L39" s="52" t="s">
        <v>261</v>
      </c>
      <c r="M39" s="53">
        <v>2000000</v>
      </c>
      <c r="N39" s="46">
        <v>60</v>
      </c>
      <c r="O39" s="46">
        <v>0</v>
      </c>
      <c r="P39" s="46">
        <v>1</v>
      </c>
      <c r="Q39" s="52">
        <v>12</v>
      </c>
      <c r="R39" s="53">
        <v>59450</v>
      </c>
      <c r="S39" s="46">
        <v>1</v>
      </c>
      <c r="T39" s="53">
        <v>85000</v>
      </c>
      <c r="U39" s="53">
        <f>M39/100+11700</f>
        <v>31700</v>
      </c>
      <c r="V39" s="46">
        <v>1</v>
      </c>
      <c r="W39" s="53">
        <v>46815</v>
      </c>
      <c r="X39" s="46">
        <v>1</v>
      </c>
      <c r="Y39" s="46">
        <v>1</v>
      </c>
      <c r="Z39" s="54">
        <v>0.18503692157083751</v>
      </c>
      <c r="AA39" s="15">
        <f t="shared" si="1"/>
        <v>1.5419743464236458E-2</v>
      </c>
      <c r="AB39" s="15">
        <f t="shared" si="2"/>
        <v>0.18503692157083751</v>
      </c>
      <c r="AC39" t="b">
        <f t="shared" si="3"/>
        <v>1</v>
      </c>
    </row>
    <row r="40" spans="1:29" x14ac:dyDescent="0.25">
      <c r="A40" s="52" t="s">
        <v>259</v>
      </c>
      <c r="B40" s="46">
        <v>30013</v>
      </c>
      <c r="C40" s="47">
        <v>45751</v>
      </c>
      <c r="D40" s="46">
        <v>311500</v>
      </c>
      <c r="E40" s="46">
        <v>2</v>
      </c>
      <c r="F40" s="52" t="s">
        <v>708</v>
      </c>
      <c r="G40" s="46">
        <v>6</v>
      </c>
      <c r="H40" s="52" t="s">
        <v>784</v>
      </c>
      <c r="I40" s="46"/>
      <c r="J40" s="46">
        <v>0</v>
      </c>
      <c r="K40" s="46"/>
      <c r="L40" s="52" t="s">
        <v>261</v>
      </c>
      <c r="M40" s="53">
        <v>5200000</v>
      </c>
      <c r="N40" s="46">
        <v>72</v>
      </c>
      <c r="O40" s="46">
        <v>0</v>
      </c>
      <c r="P40" s="46">
        <v>1</v>
      </c>
      <c r="Q40" s="52">
        <v>10</v>
      </c>
      <c r="R40" s="53">
        <v>92742</v>
      </c>
      <c r="S40" s="46">
        <v>1</v>
      </c>
      <c r="T40" s="53">
        <v>244000</v>
      </c>
      <c r="U40" s="53">
        <f>M40/100+11700</f>
        <v>63700</v>
      </c>
      <c r="V40" s="46">
        <v>1</v>
      </c>
      <c r="W40" s="53">
        <v>101364</v>
      </c>
      <c r="X40" s="46">
        <v>1</v>
      </c>
      <c r="Y40" s="46">
        <v>1</v>
      </c>
      <c r="Z40" s="54">
        <v>0.14952902592336959</v>
      </c>
      <c r="AA40" s="15">
        <f t="shared" si="1"/>
        <v>1.2460752160280798E-2</v>
      </c>
      <c r="AB40" s="15">
        <f t="shared" si="2"/>
        <v>0.14952902592336959</v>
      </c>
      <c r="AC40" t="b">
        <f t="shared" si="3"/>
        <v>1</v>
      </c>
    </row>
    <row r="41" spans="1:29" x14ac:dyDescent="0.25">
      <c r="A41" s="52" t="s">
        <v>259</v>
      </c>
      <c r="B41" s="46">
        <v>30013</v>
      </c>
      <c r="C41" s="47">
        <v>45751</v>
      </c>
      <c r="D41" s="46">
        <v>311500</v>
      </c>
      <c r="E41" s="46">
        <v>2</v>
      </c>
      <c r="F41" s="52" t="s">
        <v>1684</v>
      </c>
      <c r="G41" s="46">
        <v>6</v>
      </c>
      <c r="H41" s="52" t="s">
        <v>1642</v>
      </c>
      <c r="I41" s="46"/>
      <c r="J41" s="46">
        <v>0</v>
      </c>
      <c r="K41" s="46"/>
      <c r="L41" s="52" t="s">
        <v>698</v>
      </c>
      <c r="M41" s="53">
        <v>8900000</v>
      </c>
      <c r="N41" s="46">
        <v>96</v>
      </c>
      <c r="O41" s="46">
        <v>0</v>
      </c>
      <c r="P41" s="46">
        <v>1</v>
      </c>
      <c r="Q41" s="52">
        <v>9</v>
      </c>
      <c r="R41" s="53">
        <v>158732</v>
      </c>
      <c r="S41" s="46">
        <v>1</v>
      </c>
      <c r="T41" s="53">
        <v>549000</v>
      </c>
      <c r="U41" s="53">
        <f>M41/100+11700</f>
        <v>100700</v>
      </c>
      <c r="V41" s="46">
        <v>1</v>
      </c>
      <c r="W41" s="53">
        <v>138374</v>
      </c>
      <c r="X41" s="46">
        <v>1</v>
      </c>
      <c r="Y41" s="46">
        <v>1</v>
      </c>
      <c r="Z41" s="54">
        <v>0.13522772744458955</v>
      </c>
      <c r="AA41" s="15">
        <f t="shared" si="1"/>
        <v>1.1268977287049129E-2</v>
      </c>
      <c r="AB41" s="15">
        <f t="shared" si="2"/>
        <v>0.13522772744458955</v>
      </c>
      <c r="AC41" t="b">
        <f t="shared" si="3"/>
        <v>1</v>
      </c>
    </row>
    <row r="42" spans="1:29" x14ac:dyDescent="0.25">
      <c r="A42" s="52" t="s">
        <v>259</v>
      </c>
      <c r="B42" s="46">
        <v>30013</v>
      </c>
      <c r="C42" s="47">
        <v>45751</v>
      </c>
      <c r="D42" s="46">
        <v>321600</v>
      </c>
      <c r="E42" s="46">
        <v>2</v>
      </c>
      <c r="F42" s="52" t="s">
        <v>1685</v>
      </c>
      <c r="G42" s="46">
        <v>6</v>
      </c>
      <c r="H42" s="52" t="s">
        <v>784</v>
      </c>
      <c r="I42" s="46"/>
      <c r="J42" s="46">
        <v>0</v>
      </c>
      <c r="K42" s="46"/>
      <c r="L42" s="52" t="s">
        <v>261</v>
      </c>
      <c r="M42" s="53">
        <v>480000</v>
      </c>
      <c r="N42" s="46">
        <v>12</v>
      </c>
      <c r="O42" s="46">
        <v>0</v>
      </c>
      <c r="P42" s="46">
        <v>1</v>
      </c>
      <c r="Q42" s="52">
        <v>10</v>
      </c>
      <c r="R42" s="53">
        <v>2854</v>
      </c>
      <c r="S42" s="46">
        <v>1</v>
      </c>
      <c r="T42" s="53">
        <v>0</v>
      </c>
      <c r="U42" s="53">
        <v>21700</v>
      </c>
      <c r="V42" s="46">
        <v>1</v>
      </c>
      <c r="W42" s="53">
        <v>42623</v>
      </c>
      <c r="X42" s="46">
        <v>1</v>
      </c>
      <c r="Y42" s="46">
        <v>1</v>
      </c>
      <c r="Z42" s="54">
        <v>0.21980903063107946</v>
      </c>
      <c r="AA42" s="15">
        <f t="shared" si="1"/>
        <v>1.8317419219256621E-2</v>
      </c>
      <c r="AB42" s="15">
        <f t="shared" si="2"/>
        <v>0.21980903063107946</v>
      </c>
      <c r="AC42" t="b">
        <f t="shared" si="3"/>
        <v>1</v>
      </c>
    </row>
    <row r="43" spans="1:29" x14ac:dyDescent="0.25">
      <c r="A43" s="52" t="s">
        <v>259</v>
      </c>
      <c r="B43" s="46">
        <v>30013</v>
      </c>
      <c r="C43" s="47">
        <v>45751</v>
      </c>
      <c r="D43" s="46">
        <v>311500</v>
      </c>
      <c r="E43" s="46">
        <v>2</v>
      </c>
      <c r="F43" s="52" t="s">
        <v>1686</v>
      </c>
      <c r="G43" s="46">
        <v>6</v>
      </c>
      <c r="H43" s="52" t="s">
        <v>784</v>
      </c>
      <c r="I43" s="46"/>
      <c r="J43" s="46">
        <v>0</v>
      </c>
      <c r="K43" s="46"/>
      <c r="L43" s="52" t="s">
        <v>261</v>
      </c>
      <c r="M43" s="53">
        <v>6240000</v>
      </c>
      <c r="N43" s="46">
        <v>72</v>
      </c>
      <c r="O43" s="46">
        <v>0</v>
      </c>
      <c r="P43" s="46">
        <v>1</v>
      </c>
      <c r="Q43" s="52">
        <v>10</v>
      </c>
      <c r="R43" s="53">
        <v>111290</v>
      </c>
      <c r="S43" s="46">
        <v>1</v>
      </c>
      <c r="T43" s="53">
        <v>290800</v>
      </c>
      <c r="U43" s="53">
        <f>M43/100+11700</f>
        <v>74100</v>
      </c>
      <c r="V43" s="46">
        <v>1</v>
      </c>
      <c r="W43" s="53">
        <v>121637</v>
      </c>
      <c r="X43" s="46">
        <v>1</v>
      </c>
      <c r="Y43" s="46">
        <v>1</v>
      </c>
      <c r="Z43" s="54">
        <v>0.14923656009588299</v>
      </c>
      <c r="AA43" s="15">
        <f t="shared" si="1"/>
        <v>1.2436380007990249E-2</v>
      </c>
      <c r="AB43" s="15">
        <f t="shared" si="2"/>
        <v>0.14923656009588299</v>
      </c>
      <c r="AC43" t="b">
        <f t="shared" si="3"/>
        <v>1</v>
      </c>
    </row>
    <row r="44" spans="1:29" x14ac:dyDescent="0.25">
      <c r="A44" s="52" t="s">
        <v>259</v>
      </c>
      <c r="B44" s="46">
        <v>30013</v>
      </c>
      <c r="C44" s="47">
        <v>45751</v>
      </c>
      <c r="D44" s="46">
        <v>311500</v>
      </c>
      <c r="E44" s="46">
        <v>2</v>
      </c>
      <c r="F44" s="52" t="s">
        <v>1687</v>
      </c>
      <c r="G44" s="46">
        <v>6</v>
      </c>
      <c r="H44" s="52" t="s">
        <v>784</v>
      </c>
      <c r="I44" s="46"/>
      <c r="J44" s="46">
        <v>0</v>
      </c>
      <c r="K44" s="46"/>
      <c r="L44" s="52" t="s">
        <v>261</v>
      </c>
      <c r="M44" s="53">
        <v>5000000</v>
      </c>
      <c r="N44" s="46">
        <v>65</v>
      </c>
      <c r="O44" s="46">
        <v>0</v>
      </c>
      <c r="P44" s="46">
        <v>1</v>
      </c>
      <c r="Q44" s="52">
        <v>10</v>
      </c>
      <c r="R44" s="53">
        <v>89175</v>
      </c>
      <c r="S44" s="46">
        <v>1</v>
      </c>
      <c r="T44" s="53">
        <v>213125</v>
      </c>
      <c r="U44" s="53">
        <f>M44/100+11700</f>
        <v>61700</v>
      </c>
      <c r="V44" s="46">
        <v>1</v>
      </c>
      <c r="W44" s="53">
        <v>104702</v>
      </c>
      <c r="X44" s="46">
        <v>1</v>
      </c>
      <c r="Y44" s="46">
        <v>1</v>
      </c>
      <c r="Z44" s="54">
        <v>0.150410755559647</v>
      </c>
      <c r="AA44" s="15">
        <f t="shared" si="1"/>
        <v>1.2534229629970584E-2</v>
      </c>
      <c r="AB44" s="15">
        <f t="shared" si="2"/>
        <v>0.150410755559647</v>
      </c>
      <c r="AC44" t="b">
        <f t="shared" si="3"/>
        <v>1</v>
      </c>
    </row>
    <row r="45" spans="1:29" x14ac:dyDescent="0.25">
      <c r="A45" s="52" t="s">
        <v>259</v>
      </c>
      <c r="B45" s="46">
        <v>30013</v>
      </c>
      <c r="C45" s="47">
        <v>45751</v>
      </c>
      <c r="D45" s="46">
        <v>311500</v>
      </c>
      <c r="E45" s="46">
        <v>2</v>
      </c>
      <c r="F45" s="52" t="s">
        <v>1688</v>
      </c>
      <c r="G45" s="46">
        <v>6</v>
      </c>
      <c r="H45" s="52" t="s">
        <v>1689</v>
      </c>
      <c r="I45" s="46"/>
      <c r="J45" s="46">
        <v>0</v>
      </c>
      <c r="K45" s="46"/>
      <c r="L45" s="52" t="s">
        <v>261</v>
      </c>
      <c r="M45" s="53">
        <v>3400000</v>
      </c>
      <c r="N45" s="46">
        <v>48</v>
      </c>
      <c r="O45" s="46">
        <v>0</v>
      </c>
      <c r="P45" s="46">
        <v>1</v>
      </c>
      <c r="Q45" s="52">
        <v>11</v>
      </c>
      <c r="R45" s="53">
        <v>101065</v>
      </c>
      <c r="S45" s="46">
        <v>1</v>
      </c>
      <c r="T45" s="53">
        <v>112000</v>
      </c>
      <c r="U45" s="53">
        <f>M45/100+11700</f>
        <v>45700</v>
      </c>
      <c r="V45" s="46">
        <v>1</v>
      </c>
      <c r="W45" s="53">
        <v>91347</v>
      </c>
      <c r="X45" s="46">
        <v>1</v>
      </c>
      <c r="Y45" s="46">
        <v>1</v>
      </c>
      <c r="Z45" s="54">
        <v>0.17433800159548934</v>
      </c>
      <c r="AA45" s="15">
        <f t="shared" si="1"/>
        <v>1.4528166799624112E-2</v>
      </c>
      <c r="AB45" s="15">
        <f t="shared" si="2"/>
        <v>0.17433800159548934</v>
      </c>
      <c r="AC45" t="b">
        <f t="shared" si="3"/>
        <v>1</v>
      </c>
    </row>
    <row r="46" spans="1:29" x14ac:dyDescent="0.25">
      <c r="A46" s="52" t="s">
        <v>259</v>
      </c>
      <c r="B46" s="46">
        <v>30013</v>
      </c>
      <c r="C46" s="47">
        <v>45751</v>
      </c>
      <c r="D46" s="46">
        <v>321600</v>
      </c>
      <c r="E46" s="46">
        <v>2</v>
      </c>
      <c r="F46" s="52" t="s">
        <v>1690</v>
      </c>
      <c r="G46" s="46">
        <v>6</v>
      </c>
      <c r="H46" s="52" t="s">
        <v>784</v>
      </c>
      <c r="I46" s="46"/>
      <c r="J46" s="46">
        <v>0</v>
      </c>
      <c r="K46" s="46"/>
      <c r="L46" s="52" t="s">
        <v>270</v>
      </c>
      <c r="M46" s="53">
        <v>400000</v>
      </c>
      <c r="N46" s="46">
        <v>12</v>
      </c>
      <c r="O46" s="46">
        <v>0</v>
      </c>
      <c r="P46" s="46">
        <v>1</v>
      </c>
      <c r="Q46" s="52">
        <v>10</v>
      </c>
      <c r="R46" s="53">
        <v>951</v>
      </c>
      <c r="S46" s="46">
        <v>1</v>
      </c>
      <c r="T46" s="53">
        <v>0</v>
      </c>
      <c r="U46" s="53">
        <v>21700</v>
      </c>
      <c r="V46" s="46">
        <v>1</v>
      </c>
      <c r="W46" s="53">
        <v>35519</v>
      </c>
      <c r="X46" s="46">
        <v>1</v>
      </c>
      <c r="Y46" s="46">
        <v>1</v>
      </c>
      <c r="Z46" s="54">
        <v>0.23106480466373022</v>
      </c>
      <c r="AA46" s="15">
        <f t="shared" si="1"/>
        <v>1.9255400388644185E-2</v>
      </c>
      <c r="AB46" s="15">
        <f t="shared" si="2"/>
        <v>0.23106480466373022</v>
      </c>
      <c r="AC46" t="b">
        <f t="shared" si="3"/>
        <v>1</v>
      </c>
    </row>
    <row r="47" spans="1:29" x14ac:dyDescent="0.25">
      <c r="A47" s="52" t="s">
        <v>259</v>
      </c>
      <c r="B47" s="46">
        <v>30013</v>
      </c>
      <c r="C47" s="47">
        <v>45751</v>
      </c>
      <c r="D47" s="46">
        <v>311500</v>
      </c>
      <c r="E47" s="46">
        <v>2</v>
      </c>
      <c r="F47" s="52" t="s">
        <v>1691</v>
      </c>
      <c r="G47" s="46">
        <v>6</v>
      </c>
      <c r="H47" s="52" t="s">
        <v>784</v>
      </c>
      <c r="I47" s="46"/>
      <c r="J47" s="46">
        <v>0</v>
      </c>
      <c r="K47" s="46"/>
      <c r="L47" s="52" t="s">
        <v>690</v>
      </c>
      <c r="M47" s="53">
        <v>8800000</v>
      </c>
      <c r="N47" s="46">
        <v>96</v>
      </c>
      <c r="O47" s="46">
        <v>0</v>
      </c>
      <c r="P47" s="46">
        <v>1</v>
      </c>
      <c r="Q47" s="52">
        <v>10</v>
      </c>
      <c r="R47" s="53">
        <v>156948</v>
      </c>
      <c r="S47" s="46">
        <v>1</v>
      </c>
      <c r="T47" s="53">
        <v>543000</v>
      </c>
      <c r="U47" s="53">
        <f>M47/100+11700</f>
        <v>99700</v>
      </c>
      <c r="V47" s="46">
        <v>1</v>
      </c>
      <c r="W47" s="53">
        <v>142494</v>
      </c>
      <c r="X47" s="46">
        <v>1</v>
      </c>
      <c r="Y47" s="46">
        <v>1</v>
      </c>
      <c r="Z47" s="54">
        <v>0.14767232924628307</v>
      </c>
      <c r="AA47" s="15">
        <f t="shared" si="1"/>
        <v>1.2306027437190255E-2</v>
      </c>
      <c r="AB47" s="15">
        <f t="shared" si="2"/>
        <v>0.14767232924628307</v>
      </c>
      <c r="AC47" t="b">
        <f t="shared" si="3"/>
        <v>1</v>
      </c>
    </row>
    <row r="48" spans="1:29" x14ac:dyDescent="0.25">
      <c r="A48" s="52" t="s">
        <v>259</v>
      </c>
      <c r="B48" s="46">
        <v>30013</v>
      </c>
      <c r="C48" s="47">
        <v>45751</v>
      </c>
      <c r="D48" s="46">
        <v>311500</v>
      </c>
      <c r="E48" s="46">
        <v>2</v>
      </c>
      <c r="F48" s="52" t="s">
        <v>1692</v>
      </c>
      <c r="G48" s="46">
        <v>6</v>
      </c>
      <c r="H48" s="52" t="s">
        <v>1642</v>
      </c>
      <c r="I48" s="46"/>
      <c r="J48" s="46">
        <v>0</v>
      </c>
      <c r="K48" s="46"/>
      <c r="L48" s="52" t="s">
        <v>685</v>
      </c>
      <c r="M48" s="53">
        <v>6420000</v>
      </c>
      <c r="N48" s="46">
        <v>84</v>
      </c>
      <c r="O48" s="46">
        <v>0</v>
      </c>
      <c r="P48" s="46">
        <v>1</v>
      </c>
      <c r="Q48" s="52">
        <v>8</v>
      </c>
      <c r="R48" s="53">
        <v>114501</v>
      </c>
      <c r="S48" s="46">
        <v>1</v>
      </c>
      <c r="T48" s="53">
        <v>347050</v>
      </c>
      <c r="U48" s="53">
        <f>M48/100+11700</f>
        <v>75900</v>
      </c>
      <c r="V48" s="46">
        <v>1</v>
      </c>
      <c r="W48" s="53">
        <v>104968</v>
      </c>
      <c r="X48" s="46">
        <v>1</v>
      </c>
      <c r="Y48" s="46">
        <v>1</v>
      </c>
      <c r="Z48" s="54">
        <v>0.12356529102628694</v>
      </c>
      <c r="AA48" s="15">
        <f t="shared" si="1"/>
        <v>1.0297107585523912E-2</v>
      </c>
      <c r="AB48" s="15">
        <f t="shared" si="2"/>
        <v>0.12356529102628694</v>
      </c>
      <c r="AC48" t="b">
        <f t="shared" si="3"/>
        <v>1</v>
      </c>
    </row>
    <row r="49" spans="1:29" x14ac:dyDescent="0.25">
      <c r="A49" s="52" t="s">
        <v>259</v>
      </c>
      <c r="B49" s="46">
        <v>30013</v>
      </c>
      <c r="C49" s="47">
        <v>45751</v>
      </c>
      <c r="D49" s="46">
        <v>311500</v>
      </c>
      <c r="E49" s="46">
        <v>2</v>
      </c>
      <c r="F49" s="52" t="s">
        <v>1693</v>
      </c>
      <c r="G49" s="46">
        <v>6</v>
      </c>
      <c r="H49" s="52" t="s">
        <v>784</v>
      </c>
      <c r="I49" s="46"/>
      <c r="J49" s="46">
        <v>0</v>
      </c>
      <c r="K49" s="46"/>
      <c r="L49" s="52" t="s">
        <v>261</v>
      </c>
      <c r="M49" s="53">
        <v>2700000</v>
      </c>
      <c r="N49" s="46">
        <v>60</v>
      </c>
      <c r="O49" s="46">
        <v>0</v>
      </c>
      <c r="P49" s="46">
        <v>1</v>
      </c>
      <c r="Q49" s="52">
        <v>12</v>
      </c>
      <c r="R49" s="53">
        <v>80258</v>
      </c>
      <c r="S49" s="46">
        <v>1</v>
      </c>
      <c r="T49" s="53">
        <v>111250</v>
      </c>
      <c r="U49" s="53">
        <f>M49/100+11700</f>
        <v>38700</v>
      </c>
      <c r="V49" s="46">
        <v>1</v>
      </c>
      <c r="W49" s="53">
        <v>63200</v>
      </c>
      <c r="X49" s="46">
        <v>1</v>
      </c>
      <c r="Y49" s="46">
        <v>1</v>
      </c>
      <c r="Z49" s="54">
        <v>0.18359133613826506</v>
      </c>
      <c r="AA49" s="15">
        <f t="shared" si="1"/>
        <v>1.5299278011522088E-2</v>
      </c>
      <c r="AB49" s="15">
        <f t="shared" si="2"/>
        <v>0.18359133613826506</v>
      </c>
      <c r="AC49" t="b">
        <f t="shared" si="3"/>
        <v>1</v>
      </c>
    </row>
    <row r="50" spans="1:29" x14ac:dyDescent="0.25">
      <c r="A50" s="52" t="s">
        <v>259</v>
      </c>
      <c r="B50" s="46">
        <v>30013</v>
      </c>
      <c r="C50" s="47">
        <v>45751</v>
      </c>
      <c r="D50" s="46">
        <v>311500</v>
      </c>
      <c r="E50" s="46">
        <v>2</v>
      </c>
      <c r="F50" s="52" t="s">
        <v>1694</v>
      </c>
      <c r="G50" s="46">
        <v>6</v>
      </c>
      <c r="H50" s="52" t="s">
        <v>784</v>
      </c>
      <c r="I50" s="46"/>
      <c r="J50" s="46">
        <v>0</v>
      </c>
      <c r="K50" s="46"/>
      <c r="L50" s="52" t="s">
        <v>261</v>
      </c>
      <c r="M50" s="53">
        <v>5100000</v>
      </c>
      <c r="N50" s="46">
        <v>72</v>
      </c>
      <c r="O50" s="46">
        <v>0</v>
      </c>
      <c r="P50" s="46">
        <v>1</v>
      </c>
      <c r="Q50" s="52">
        <v>12</v>
      </c>
      <c r="R50" s="53">
        <v>90959</v>
      </c>
      <c r="S50" s="46">
        <v>1</v>
      </c>
      <c r="T50" s="53">
        <v>239500</v>
      </c>
      <c r="U50" s="53">
        <f>M50/100+11700</f>
        <v>62700</v>
      </c>
      <c r="V50" s="46">
        <v>1</v>
      </c>
      <c r="W50" s="53">
        <v>105823</v>
      </c>
      <c r="X50" s="46">
        <v>1</v>
      </c>
      <c r="Y50" s="46">
        <v>1</v>
      </c>
      <c r="Z50" s="54">
        <v>0.17422978497571545</v>
      </c>
      <c r="AA50" s="15">
        <f t="shared" si="1"/>
        <v>1.4519148747976288E-2</v>
      </c>
      <c r="AB50" s="15">
        <f t="shared" si="2"/>
        <v>0.17422978497571545</v>
      </c>
      <c r="AC50" t="b">
        <f t="shared" si="3"/>
        <v>1</v>
      </c>
    </row>
    <row r="51" spans="1:29" x14ac:dyDescent="0.25">
      <c r="A51" s="52" t="s">
        <v>259</v>
      </c>
      <c r="B51" s="46">
        <v>30013</v>
      </c>
      <c r="C51" s="47">
        <v>45751</v>
      </c>
      <c r="D51" s="46">
        <v>311500</v>
      </c>
      <c r="E51" s="46">
        <v>2</v>
      </c>
      <c r="F51" s="52" t="s">
        <v>1695</v>
      </c>
      <c r="G51" s="46">
        <v>6</v>
      </c>
      <c r="H51" s="52" t="s">
        <v>784</v>
      </c>
      <c r="I51" s="46"/>
      <c r="J51" s="46">
        <v>0</v>
      </c>
      <c r="K51" s="46"/>
      <c r="L51" s="52" t="s">
        <v>270</v>
      </c>
      <c r="M51" s="53">
        <v>6300000</v>
      </c>
      <c r="N51" s="46">
        <v>84</v>
      </c>
      <c r="O51" s="46">
        <v>0</v>
      </c>
      <c r="P51" s="46">
        <v>1</v>
      </c>
      <c r="Q51" s="52">
        <v>12</v>
      </c>
      <c r="R51" s="53">
        <v>112361</v>
      </c>
      <c r="S51" s="46">
        <v>1</v>
      </c>
      <c r="T51" s="53">
        <v>340750</v>
      </c>
      <c r="U51" s="53">
        <f>M51/100+11700</f>
        <v>74700</v>
      </c>
      <c r="V51" s="46">
        <v>1</v>
      </c>
      <c r="W51" s="53">
        <v>118997</v>
      </c>
      <c r="X51" s="46">
        <v>1</v>
      </c>
      <c r="Y51" s="46">
        <v>1</v>
      </c>
      <c r="Z51" s="54">
        <v>0.17310380537197986</v>
      </c>
      <c r="AA51" s="15">
        <f t="shared" si="1"/>
        <v>1.4425317114331655E-2</v>
      </c>
      <c r="AB51" s="15">
        <f t="shared" si="2"/>
        <v>0.17310380537197986</v>
      </c>
      <c r="AC51" t="b">
        <f t="shared" si="3"/>
        <v>1</v>
      </c>
    </row>
    <row r="52" spans="1:29" x14ac:dyDescent="0.25">
      <c r="A52" s="52" t="s">
        <v>259</v>
      </c>
      <c r="B52" s="46">
        <v>30013</v>
      </c>
      <c r="C52" s="47">
        <v>45751</v>
      </c>
      <c r="D52" s="46">
        <v>321600</v>
      </c>
      <c r="E52" s="46">
        <v>2</v>
      </c>
      <c r="F52" s="52" t="s">
        <v>1696</v>
      </c>
      <c r="G52" s="46">
        <v>6</v>
      </c>
      <c r="H52" s="52" t="s">
        <v>784</v>
      </c>
      <c r="I52" s="46"/>
      <c r="J52" s="46">
        <v>0</v>
      </c>
      <c r="K52" s="46"/>
      <c r="L52" s="52" t="s">
        <v>231</v>
      </c>
      <c r="M52" s="53">
        <v>860000</v>
      </c>
      <c r="N52" s="46">
        <v>12</v>
      </c>
      <c r="O52" s="46">
        <v>0</v>
      </c>
      <c r="P52" s="46">
        <v>1</v>
      </c>
      <c r="Q52" s="52">
        <v>10</v>
      </c>
      <c r="R52" s="53">
        <v>10225</v>
      </c>
      <c r="S52" s="46">
        <v>1</v>
      </c>
      <c r="T52" s="53">
        <v>0</v>
      </c>
      <c r="U52" s="53">
        <v>21700</v>
      </c>
      <c r="V52" s="46">
        <v>1</v>
      </c>
      <c r="W52" s="53">
        <v>76366</v>
      </c>
      <c r="X52" s="46">
        <v>1</v>
      </c>
      <c r="Y52" s="46">
        <v>1</v>
      </c>
      <c r="Z52" s="54">
        <v>0.19135199199253999</v>
      </c>
      <c r="AA52" s="15">
        <f t="shared" si="1"/>
        <v>1.5945999332711666E-2</v>
      </c>
      <c r="AB52" s="15">
        <f t="shared" si="2"/>
        <v>0.19135199199253999</v>
      </c>
      <c r="AC52" t="b">
        <f t="shared" si="3"/>
        <v>1</v>
      </c>
    </row>
    <row r="53" spans="1:29" x14ac:dyDescent="0.25">
      <c r="A53" s="52" t="s">
        <v>259</v>
      </c>
      <c r="B53" s="46">
        <v>30013</v>
      </c>
      <c r="C53" s="47">
        <v>45751</v>
      </c>
      <c r="D53" s="46">
        <v>311100</v>
      </c>
      <c r="E53" s="46">
        <v>5</v>
      </c>
      <c r="F53" s="52" t="s">
        <v>1697</v>
      </c>
      <c r="G53" s="46">
        <v>6</v>
      </c>
      <c r="H53" s="52" t="s">
        <v>1642</v>
      </c>
      <c r="I53" s="46" t="s">
        <v>1181</v>
      </c>
      <c r="J53" s="46">
        <v>0</v>
      </c>
      <c r="K53" s="46"/>
      <c r="L53" s="52" t="s">
        <v>1698</v>
      </c>
      <c r="M53" s="53">
        <v>40000000</v>
      </c>
      <c r="N53" s="46">
        <v>36</v>
      </c>
      <c r="O53" s="46">
        <v>0</v>
      </c>
      <c r="P53" s="46">
        <v>1</v>
      </c>
      <c r="Q53" s="52">
        <v>9</v>
      </c>
      <c r="R53" s="53">
        <v>475600</v>
      </c>
      <c r="S53" s="46">
        <v>1</v>
      </c>
      <c r="T53" s="53">
        <v>0</v>
      </c>
      <c r="U53" s="53">
        <f>M53/100+11700</f>
        <v>411700</v>
      </c>
      <c r="V53" s="46">
        <v>1</v>
      </c>
      <c r="W53" s="53">
        <v>1303892</v>
      </c>
      <c r="X53" s="46">
        <v>1</v>
      </c>
      <c r="Y53" s="46">
        <v>1</v>
      </c>
      <c r="Z53" s="54">
        <v>0.12256167769154663</v>
      </c>
      <c r="AA53" s="15">
        <f t="shared" si="1"/>
        <v>1.021347314096222E-2</v>
      </c>
      <c r="AB53" s="15">
        <f t="shared" si="2"/>
        <v>0.12256167769154663</v>
      </c>
      <c r="AC53" t="b">
        <f t="shared" si="3"/>
        <v>1</v>
      </c>
    </row>
    <row r="54" spans="1:29" x14ac:dyDescent="0.25">
      <c r="A54" s="52" t="s">
        <v>259</v>
      </c>
      <c r="B54" s="46">
        <v>30013</v>
      </c>
      <c r="C54" s="47">
        <v>45751</v>
      </c>
      <c r="D54" s="46">
        <v>311500</v>
      </c>
      <c r="E54" s="46">
        <v>2</v>
      </c>
      <c r="F54" s="52" t="s">
        <v>1699</v>
      </c>
      <c r="G54" s="46">
        <v>6</v>
      </c>
      <c r="H54" s="52" t="s">
        <v>784</v>
      </c>
      <c r="I54" s="46"/>
      <c r="J54" s="46">
        <v>0</v>
      </c>
      <c r="K54" s="46"/>
      <c r="L54" s="52" t="s">
        <v>261</v>
      </c>
      <c r="M54" s="53">
        <v>6000000</v>
      </c>
      <c r="N54" s="46">
        <v>72</v>
      </c>
      <c r="O54" s="46">
        <v>0</v>
      </c>
      <c r="P54" s="46">
        <v>1</v>
      </c>
      <c r="Q54" s="52">
        <v>10</v>
      </c>
      <c r="R54" s="53">
        <v>107010</v>
      </c>
      <c r="S54" s="46">
        <v>1</v>
      </c>
      <c r="T54" s="53">
        <v>280000</v>
      </c>
      <c r="U54" s="53">
        <f>M54/100+11700</f>
        <v>71700</v>
      </c>
      <c r="V54" s="46">
        <v>1</v>
      </c>
      <c r="W54" s="53">
        <v>116958</v>
      </c>
      <c r="X54" s="46">
        <v>1</v>
      </c>
      <c r="Y54" s="46">
        <v>1</v>
      </c>
      <c r="Z54" s="54">
        <v>0.14929300218464125</v>
      </c>
      <c r="AA54" s="15">
        <f t="shared" si="1"/>
        <v>1.244108351538677E-2</v>
      </c>
      <c r="AB54" s="15">
        <f t="shared" si="2"/>
        <v>0.14929300218464125</v>
      </c>
      <c r="AC54" t="b">
        <f t="shared" si="3"/>
        <v>1</v>
      </c>
    </row>
    <row r="55" spans="1:29" x14ac:dyDescent="0.25">
      <c r="A55" s="52" t="s">
        <v>259</v>
      </c>
      <c r="B55" s="46">
        <v>30013</v>
      </c>
      <c r="C55" s="47">
        <v>45751</v>
      </c>
      <c r="D55" s="46">
        <v>311500</v>
      </c>
      <c r="E55" s="46">
        <v>2</v>
      </c>
      <c r="F55" s="52" t="s">
        <v>1700</v>
      </c>
      <c r="G55" s="46">
        <v>6</v>
      </c>
      <c r="H55" s="52" t="s">
        <v>1650</v>
      </c>
      <c r="I55" s="46"/>
      <c r="J55" s="46">
        <v>0</v>
      </c>
      <c r="K55" s="46"/>
      <c r="L55" s="52" t="s">
        <v>693</v>
      </c>
      <c r="M55" s="53">
        <v>7800000</v>
      </c>
      <c r="N55" s="46">
        <v>84</v>
      </c>
      <c r="O55" s="46">
        <v>0</v>
      </c>
      <c r="P55" s="46">
        <v>1</v>
      </c>
      <c r="Q55" s="52">
        <v>10</v>
      </c>
      <c r="R55" s="53">
        <v>139113</v>
      </c>
      <c r="S55" s="46">
        <v>1</v>
      </c>
      <c r="T55" s="53">
        <v>424500</v>
      </c>
      <c r="U55" s="53">
        <f>M55/100+11700</f>
        <v>89700</v>
      </c>
      <c r="V55" s="46">
        <v>1</v>
      </c>
      <c r="W55" s="53">
        <v>137233</v>
      </c>
      <c r="X55" s="46">
        <v>1</v>
      </c>
      <c r="Y55" s="46">
        <v>1</v>
      </c>
      <c r="Z55" s="54">
        <v>0.14831471860149065</v>
      </c>
      <c r="AA55" s="15">
        <f t="shared" si="1"/>
        <v>1.2359559883457555E-2</v>
      </c>
      <c r="AB55" s="15">
        <f t="shared" si="2"/>
        <v>0.14831471860149065</v>
      </c>
      <c r="AC55" t="b">
        <f t="shared" si="3"/>
        <v>1</v>
      </c>
    </row>
    <row r="56" spans="1:29" x14ac:dyDescent="0.25">
      <c r="A56" s="52" t="s">
        <v>259</v>
      </c>
      <c r="B56" s="46">
        <v>30013</v>
      </c>
      <c r="C56" s="47">
        <v>45751</v>
      </c>
      <c r="D56" s="46">
        <v>321600</v>
      </c>
      <c r="E56" s="46">
        <v>2</v>
      </c>
      <c r="F56" s="52" t="s">
        <v>1701</v>
      </c>
      <c r="G56" s="46">
        <v>6</v>
      </c>
      <c r="H56" s="52" t="s">
        <v>784</v>
      </c>
      <c r="I56" s="46"/>
      <c r="J56" s="46">
        <v>0</v>
      </c>
      <c r="K56" s="46"/>
      <c r="L56" s="52" t="s">
        <v>261</v>
      </c>
      <c r="M56" s="53">
        <v>600000</v>
      </c>
      <c r="N56" s="46">
        <v>12</v>
      </c>
      <c r="O56" s="46">
        <v>0</v>
      </c>
      <c r="P56" s="46">
        <v>1</v>
      </c>
      <c r="Q56" s="52">
        <v>10</v>
      </c>
      <c r="R56" s="53">
        <v>5707</v>
      </c>
      <c r="S56" s="46">
        <v>1</v>
      </c>
      <c r="T56" s="53">
        <v>0</v>
      </c>
      <c r="U56" s="53">
        <v>21700</v>
      </c>
      <c r="V56" s="46">
        <v>1</v>
      </c>
      <c r="W56" s="53">
        <v>53278</v>
      </c>
      <c r="X56" s="46">
        <v>1</v>
      </c>
      <c r="Y56" s="46">
        <v>1</v>
      </c>
      <c r="Z56" s="54">
        <v>0.20860621217938491</v>
      </c>
      <c r="AA56" s="15">
        <f t="shared" si="1"/>
        <v>1.7383851014948742E-2</v>
      </c>
      <c r="AB56" s="15">
        <f t="shared" si="2"/>
        <v>0.20860621217938491</v>
      </c>
      <c r="AC56" t="b">
        <f t="shared" si="3"/>
        <v>1</v>
      </c>
    </row>
    <row r="57" spans="1:29" x14ac:dyDescent="0.25">
      <c r="A57" s="52" t="s">
        <v>259</v>
      </c>
      <c r="B57" s="46">
        <v>30013</v>
      </c>
      <c r="C57" s="47">
        <v>45751</v>
      </c>
      <c r="D57" s="46">
        <v>311500</v>
      </c>
      <c r="E57" s="46">
        <v>2</v>
      </c>
      <c r="F57" s="52" t="s">
        <v>1702</v>
      </c>
      <c r="G57" s="46">
        <v>6</v>
      </c>
      <c r="H57" s="52" t="s">
        <v>1642</v>
      </c>
      <c r="I57" s="46"/>
      <c r="J57" s="46">
        <v>0</v>
      </c>
      <c r="K57" s="46"/>
      <c r="L57" s="52" t="s">
        <v>231</v>
      </c>
      <c r="M57" s="53">
        <v>9000000</v>
      </c>
      <c r="N57" s="46">
        <v>48</v>
      </c>
      <c r="O57" s="46">
        <v>0</v>
      </c>
      <c r="P57" s="46">
        <v>1</v>
      </c>
      <c r="Q57" s="52">
        <v>12</v>
      </c>
      <c r="R57" s="53">
        <v>267525</v>
      </c>
      <c r="S57" s="46">
        <v>1</v>
      </c>
      <c r="T57" s="53">
        <v>285000</v>
      </c>
      <c r="U57" s="53">
        <f t="shared" ref="U57:U63" si="5">M57/100+11700</f>
        <v>101700</v>
      </c>
      <c r="V57" s="46">
        <v>1</v>
      </c>
      <c r="W57" s="53">
        <v>247150</v>
      </c>
      <c r="X57" s="46">
        <v>1</v>
      </c>
      <c r="Y57" s="46">
        <v>1</v>
      </c>
      <c r="Z57" s="54">
        <v>0.18455944687148867</v>
      </c>
      <c r="AA57" s="15">
        <f t="shared" si="1"/>
        <v>1.5379953905957389E-2</v>
      </c>
      <c r="AB57" s="15">
        <f t="shared" si="2"/>
        <v>0.18455944687148867</v>
      </c>
      <c r="AC57" t="b">
        <f t="shared" si="3"/>
        <v>1</v>
      </c>
    </row>
    <row r="58" spans="1:29" x14ac:dyDescent="0.25">
      <c r="A58" s="52" t="s">
        <v>259</v>
      </c>
      <c r="B58" s="46">
        <v>30013</v>
      </c>
      <c r="C58" s="47">
        <v>45751</v>
      </c>
      <c r="D58" s="46">
        <v>311500</v>
      </c>
      <c r="E58" s="46">
        <v>2</v>
      </c>
      <c r="F58" s="52" t="s">
        <v>1703</v>
      </c>
      <c r="G58" s="46">
        <v>6</v>
      </c>
      <c r="H58" s="52" t="s">
        <v>784</v>
      </c>
      <c r="I58" s="46"/>
      <c r="J58" s="46">
        <v>0</v>
      </c>
      <c r="K58" s="46"/>
      <c r="L58" s="52" t="s">
        <v>261</v>
      </c>
      <c r="M58" s="53">
        <v>2070000</v>
      </c>
      <c r="N58" s="46">
        <v>60</v>
      </c>
      <c r="O58" s="46">
        <v>0</v>
      </c>
      <c r="P58" s="46">
        <v>1</v>
      </c>
      <c r="Q58" s="52">
        <v>12</v>
      </c>
      <c r="R58" s="53">
        <v>61531</v>
      </c>
      <c r="S58" s="46">
        <v>1</v>
      </c>
      <c r="T58" s="53">
        <v>87625</v>
      </c>
      <c r="U58" s="53">
        <f t="shared" si="5"/>
        <v>32400</v>
      </c>
      <c r="V58" s="46">
        <v>1</v>
      </c>
      <c r="W58" s="53">
        <v>48453</v>
      </c>
      <c r="X58" s="46">
        <v>1</v>
      </c>
      <c r="Y58" s="46">
        <v>1</v>
      </c>
      <c r="Z58" s="54">
        <v>0.18484320657756756</v>
      </c>
      <c r="AA58" s="15">
        <f t="shared" si="1"/>
        <v>1.5403600548130629E-2</v>
      </c>
      <c r="AB58" s="15">
        <f t="shared" si="2"/>
        <v>0.18484320657756756</v>
      </c>
      <c r="AC58" t="b">
        <f t="shared" si="3"/>
        <v>1</v>
      </c>
    </row>
    <row r="59" spans="1:29" x14ac:dyDescent="0.25">
      <c r="A59" s="52" t="s">
        <v>259</v>
      </c>
      <c r="B59" s="46">
        <v>30013</v>
      </c>
      <c r="C59" s="47">
        <v>45754</v>
      </c>
      <c r="D59" s="46">
        <v>311730</v>
      </c>
      <c r="E59" s="46">
        <v>2</v>
      </c>
      <c r="F59" s="52" t="s">
        <v>1704</v>
      </c>
      <c r="G59" s="46">
        <v>6</v>
      </c>
      <c r="H59" s="52" t="s">
        <v>784</v>
      </c>
      <c r="I59" s="46"/>
      <c r="J59" s="46">
        <v>0</v>
      </c>
      <c r="K59" s="46"/>
      <c r="L59" s="52" t="s">
        <v>266</v>
      </c>
      <c r="M59" s="53">
        <v>10655000</v>
      </c>
      <c r="N59" s="46">
        <v>63</v>
      </c>
      <c r="O59" s="46">
        <v>0</v>
      </c>
      <c r="P59" s="46">
        <v>1</v>
      </c>
      <c r="Q59" s="52">
        <v>8</v>
      </c>
      <c r="R59" s="53">
        <v>40723</v>
      </c>
      <c r="S59" s="46">
        <v>1</v>
      </c>
      <c r="T59" s="53">
        <v>434541</v>
      </c>
      <c r="U59" s="53">
        <f t="shared" si="5"/>
        <v>118250</v>
      </c>
      <c r="V59" s="46">
        <v>1</v>
      </c>
      <c r="W59" s="53">
        <v>215512</v>
      </c>
      <c r="X59" s="46">
        <v>1</v>
      </c>
      <c r="Y59" s="46">
        <v>1</v>
      </c>
      <c r="Z59" s="54">
        <v>0.1189825347885034</v>
      </c>
      <c r="AA59" s="15">
        <f t="shared" si="1"/>
        <v>9.9152112323752841E-3</v>
      </c>
      <c r="AB59" s="15">
        <f t="shared" si="2"/>
        <v>0.1189825347885034</v>
      </c>
      <c r="AC59" t="b">
        <f t="shared" si="3"/>
        <v>1</v>
      </c>
    </row>
    <row r="60" spans="1:29" x14ac:dyDescent="0.25">
      <c r="A60" s="52" t="s">
        <v>259</v>
      </c>
      <c r="B60" s="46">
        <v>30013</v>
      </c>
      <c r="C60" s="47">
        <v>45754</v>
      </c>
      <c r="D60" s="46">
        <v>311730</v>
      </c>
      <c r="E60" s="46">
        <v>2</v>
      </c>
      <c r="F60" s="52" t="s">
        <v>1705</v>
      </c>
      <c r="G60" s="46">
        <v>6</v>
      </c>
      <c r="H60" s="52" t="s">
        <v>784</v>
      </c>
      <c r="I60" s="46"/>
      <c r="J60" s="46">
        <v>0</v>
      </c>
      <c r="K60" s="46"/>
      <c r="L60" s="52" t="s">
        <v>231</v>
      </c>
      <c r="M60" s="53">
        <v>6800000</v>
      </c>
      <c r="N60" s="46">
        <v>42</v>
      </c>
      <c r="O60" s="46">
        <v>0</v>
      </c>
      <c r="P60" s="46">
        <v>1</v>
      </c>
      <c r="Q60" s="52">
        <v>8</v>
      </c>
      <c r="R60" s="53">
        <v>40723</v>
      </c>
      <c r="S60" s="46">
        <v>1</v>
      </c>
      <c r="T60" s="53">
        <v>188500</v>
      </c>
      <c r="U60" s="53">
        <f t="shared" si="5"/>
        <v>79700</v>
      </c>
      <c r="V60" s="46">
        <v>1</v>
      </c>
      <c r="W60" s="53">
        <v>190983</v>
      </c>
      <c r="X60" s="46">
        <v>1</v>
      </c>
      <c r="Y60" s="46">
        <v>1</v>
      </c>
      <c r="Z60" s="54">
        <v>0.12302711767103547</v>
      </c>
      <c r="AA60" s="15">
        <f t="shared" si="1"/>
        <v>1.0252259805919622E-2</v>
      </c>
      <c r="AB60" s="15">
        <f t="shared" si="2"/>
        <v>0.12302711767103547</v>
      </c>
      <c r="AC60" t="b">
        <f t="shared" si="3"/>
        <v>1</v>
      </c>
    </row>
    <row r="61" spans="1:29" x14ac:dyDescent="0.25">
      <c r="A61" s="52" t="s">
        <v>259</v>
      </c>
      <c r="B61" s="46">
        <v>30013</v>
      </c>
      <c r="C61" s="47">
        <v>45754</v>
      </c>
      <c r="D61" s="46">
        <v>311730</v>
      </c>
      <c r="E61" s="46">
        <v>2</v>
      </c>
      <c r="F61" s="52" t="s">
        <v>1706</v>
      </c>
      <c r="G61" s="46">
        <v>6</v>
      </c>
      <c r="H61" s="52" t="s">
        <v>784</v>
      </c>
      <c r="I61" s="46"/>
      <c r="J61" s="46">
        <v>0</v>
      </c>
      <c r="K61" s="46"/>
      <c r="L61" s="52" t="s">
        <v>268</v>
      </c>
      <c r="M61" s="53">
        <v>3850000</v>
      </c>
      <c r="N61" s="46">
        <v>19</v>
      </c>
      <c r="O61" s="46">
        <v>0</v>
      </c>
      <c r="P61" s="46">
        <v>1</v>
      </c>
      <c r="Q61" s="52">
        <v>8</v>
      </c>
      <c r="R61" s="53">
        <v>40723</v>
      </c>
      <c r="S61" s="46">
        <v>1</v>
      </c>
      <c r="T61" s="53">
        <v>55719</v>
      </c>
      <c r="U61" s="53">
        <f t="shared" si="5"/>
        <v>50200</v>
      </c>
      <c r="V61" s="46">
        <v>1</v>
      </c>
      <c r="W61" s="53">
        <v>219074</v>
      </c>
      <c r="X61" s="46">
        <v>1</v>
      </c>
      <c r="Y61" s="46">
        <v>1</v>
      </c>
      <c r="Z61" s="54">
        <v>0.14362349793163484</v>
      </c>
      <c r="AA61" s="15">
        <f t="shared" si="1"/>
        <v>1.1968624827636236E-2</v>
      </c>
      <c r="AB61" s="15">
        <f t="shared" si="2"/>
        <v>0.14362349793163484</v>
      </c>
      <c r="AC61" t="b">
        <f t="shared" si="3"/>
        <v>1</v>
      </c>
    </row>
    <row r="62" spans="1:29" x14ac:dyDescent="0.25">
      <c r="A62" s="52" t="s">
        <v>259</v>
      </c>
      <c r="B62" s="46">
        <v>30013</v>
      </c>
      <c r="C62" s="47">
        <v>45754</v>
      </c>
      <c r="D62" s="46">
        <v>311730</v>
      </c>
      <c r="E62" s="46">
        <v>2</v>
      </c>
      <c r="F62" s="52" t="s">
        <v>1707</v>
      </c>
      <c r="G62" s="46">
        <v>6</v>
      </c>
      <c r="H62" s="52" t="s">
        <v>784</v>
      </c>
      <c r="I62" s="46"/>
      <c r="J62" s="46">
        <v>0</v>
      </c>
      <c r="K62" s="46"/>
      <c r="L62" s="52" t="s">
        <v>268</v>
      </c>
      <c r="M62" s="53">
        <v>4000000</v>
      </c>
      <c r="N62" s="46">
        <v>17</v>
      </c>
      <c r="O62" s="46">
        <v>0</v>
      </c>
      <c r="P62" s="46">
        <v>1</v>
      </c>
      <c r="Q62" s="52">
        <v>8</v>
      </c>
      <c r="R62" s="53">
        <v>40723</v>
      </c>
      <c r="S62" s="46">
        <v>1</v>
      </c>
      <c r="T62" s="53">
        <v>52500</v>
      </c>
      <c r="U62" s="53">
        <f t="shared" si="5"/>
        <v>51700</v>
      </c>
      <c r="V62" s="46">
        <v>1</v>
      </c>
      <c r="W62" s="53">
        <v>252433</v>
      </c>
      <c r="X62" s="46">
        <v>1</v>
      </c>
      <c r="Y62" s="46">
        <v>1</v>
      </c>
      <c r="Z62" s="54">
        <v>0.14617858640957643</v>
      </c>
      <c r="AA62" s="15">
        <f t="shared" si="1"/>
        <v>1.2181548867464701E-2</v>
      </c>
      <c r="AB62" s="15">
        <f t="shared" si="2"/>
        <v>0.14617858640957643</v>
      </c>
      <c r="AC62" t="b">
        <f t="shared" si="3"/>
        <v>1</v>
      </c>
    </row>
    <row r="63" spans="1:29" x14ac:dyDescent="0.25">
      <c r="A63" s="52" t="s">
        <v>259</v>
      </c>
      <c r="B63" s="46">
        <v>30013</v>
      </c>
      <c r="C63" s="47">
        <v>45754</v>
      </c>
      <c r="D63" s="46">
        <v>321300</v>
      </c>
      <c r="E63" s="46">
        <v>2</v>
      </c>
      <c r="F63" s="52" t="s">
        <v>1708</v>
      </c>
      <c r="G63" s="46">
        <v>6</v>
      </c>
      <c r="H63" s="52" t="s">
        <v>1642</v>
      </c>
      <c r="I63" s="46"/>
      <c r="J63" s="46">
        <v>0</v>
      </c>
      <c r="K63" s="46"/>
      <c r="L63" s="52" t="s">
        <v>691</v>
      </c>
      <c r="M63" s="53">
        <v>1373000</v>
      </c>
      <c r="N63" s="46">
        <v>24</v>
      </c>
      <c r="O63" s="46">
        <v>0</v>
      </c>
      <c r="P63" s="46">
        <v>1</v>
      </c>
      <c r="Q63" s="52">
        <v>8</v>
      </c>
      <c r="R63" s="53">
        <v>40812</v>
      </c>
      <c r="S63" s="46">
        <v>1</v>
      </c>
      <c r="T63" s="53">
        <v>30595</v>
      </c>
      <c r="U63" s="53">
        <f t="shared" si="5"/>
        <v>25430</v>
      </c>
      <c r="V63" s="46">
        <v>1</v>
      </c>
      <c r="W63" s="53">
        <v>63048</v>
      </c>
      <c r="X63" s="46">
        <v>1</v>
      </c>
      <c r="Y63" s="46">
        <v>1</v>
      </c>
      <c r="Z63" s="54">
        <v>0.16921070875948419</v>
      </c>
      <c r="AA63" s="15">
        <f t="shared" si="1"/>
        <v>1.4100892396623682E-2</v>
      </c>
      <c r="AB63" s="15">
        <f t="shared" si="2"/>
        <v>0.16921070875948419</v>
      </c>
      <c r="AC63" t="b">
        <f t="shared" si="3"/>
        <v>1</v>
      </c>
    </row>
    <row r="64" spans="1:29" x14ac:dyDescent="0.25">
      <c r="A64" s="52" t="s">
        <v>259</v>
      </c>
      <c r="B64" s="46">
        <v>30013</v>
      </c>
      <c r="C64" s="47">
        <v>45754</v>
      </c>
      <c r="D64" s="46">
        <v>321600</v>
      </c>
      <c r="E64" s="46">
        <v>2</v>
      </c>
      <c r="F64" s="52" t="s">
        <v>1709</v>
      </c>
      <c r="G64" s="46">
        <v>6</v>
      </c>
      <c r="H64" s="52" t="s">
        <v>784</v>
      </c>
      <c r="I64" s="46"/>
      <c r="J64" s="46">
        <v>0</v>
      </c>
      <c r="K64" s="46"/>
      <c r="L64" s="52" t="s">
        <v>231</v>
      </c>
      <c r="M64" s="53">
        <v>850000</v>
      </c>
      <c r="N64" s="46">
        <v>12</v>
      </c>
      <c r="O64" s="46">
        <v>0</v>
      </c>
      <c r="P64" s="46">
        <v>1</v>
      </c>
      <c r="Q64" s="52">
        <v>10</v>
      </c>
      <c r="R64" s="53">
        <v>10107</v>
      </c>
      <c r="S64" s="46">
        <v>1</v>
      </c>
      <c r="T64" s="53">
        <v>0</v>
      </c>
      <c r="U64" s="53">
        <v>21700</v>
      </c>
      <c r="V64" s="46">
        <v>1</v>
      </c>
      <c r="W64" s="53">
        <v>75478</v>
      </c>
      <c r="X64" s="46">
        <v>1</v>
      </c>
      <c r="Y64" s="46">
        <v>1</v>
      </c>
      <c r="Z64" s="54">
        <v>0.19194914795779439</v>
      </c>
      <c r="AA64" s="15">
        <f t="shared" si="1"/>
        <v>1.5995762329816199E-2</v>
      </c>
      <c r="AB64" s="15">
        <f t="shared" si="2"/>
        <v>0.19194914795779439</v>
      </c>
      <c r="AC64" t="b">
        <f t="shared" si="3"/>
        <v>1</v>
      </c>
    </row>
    <row r="65" spans="1:29" x14ac:dyDescent="0.25">
      <c r="A65" s="52" t="s">
        <v>259</v>
      </c>
      <c r="B65" s="46">
        <v>30013</v>
      </c>
      <c r="C65" s="47">
        <v>45754</v>
      </c>
      <c r="D65" s="46">
        <v>311500</v>
      </c>
      <c r="E65" s="46">
        <v>2</v>
      </c>
      <c r="F65" s="52" t="s">
        <v>1710</v>
      </c>
      <c r="G65" s="46">
        <v>6</v>
      </c>
      <c r="H65" s="52" t="s">
        <v>1642</v>
      </c>
      <c r="I65" s="46"/>
      <c r="J65" s="46">
        <v>0</v>
      </c>
      <c r="K65" s="46"/>
      <c r="L65" s="52" t="s">
        <v>270</v>
      </c>
      <c r="M65" s="53">
        <v>7000000</v>
      </c>
      <c r="N65" s="46">
        <v>60</v>
      </c>
      <c r="O65" s="46">
        <v>0</v>
      </c>
      <c r="P65" s="46">
        <v>1</v>
      </c>
      <c r="Q65" s="52">
        <v>8</v>
      </c>
      <c r="R65" s="53">
        <v>208075</v>
      </c>
      <c r="S65" s="46">
        <v>1</v>
      </c>
      <c r="T65" s="53">
        <v>272500</v>
      </c>
      <c r="U65" s="53">
        <f t="shared" ref="U65:U80" si="6">M65/100+11700</f>
        <v>81700</v>
      </c>
      <c r="V65" s="46">
        <v>1</v>
      </c>
      <c r="W65" s="53">
        <v>147054</v>
      </c>
      <c r="X65" s="46">
        <v>1</v>
      </c>
      <c r="Y65" s="46">
        <v>1</v>
      </c>
      <c r="Z65" s="54">
        <v>0.13174578723963937</v>
      </c>
      <c r="AA65" s="15">
        <f t="shared" si="1"/>
        <v>1.0978815603303282E-2</v>
      </c>
      <c r="AB65" s="15">
        <f t="shared" si="2"/>
        <v>0.13174578723963937</v>
      </c>
      <c r="AC65" t="b">
        <f t="shared" si="3"/>
        <v>1</v>
      </c>
    </row>
    <row r="66" spans="1:29" x14ac:dyDescent="0.25">
      <c r="A66" s="52" t="s">
        <v>259</v>
      </c>
      <c r="B66" s="46">
        <v>30013</v>
      </c>
      <c r="C66" s="47">
        <v>45754</v>
      </c>
      <c r="D66" s="46">
        <v>321300</v>
      </c>
      <c r="E66" s="46">
        <v>2</v>
      </c>
      <c r="F66" s="52" t="s">
        <v>1711</v>
      </c>
      <c r="G66" s="46">
        <v>6</v>
      </c>
      <c r="H66" s="52" t="s">
        <v>1642</v>
      </c>
      <c r="I66" s="46"/>
      <c r="J66" s="46">
        <v>0</v>
      </c>
      <c r="K66" s="46"/>
      <c r="L66" s="52" t="s">
        <v>231</v>
      </c>
      <c r="M66" s="53">
        <v>6000000</v>
      </c>
      <c r="N66" s="46">
        <v>24</v>
      </c>
      <c r="O66" s="46">
        <v>0</v>
      </c>
      <c r="P66" s="46">
        <v>1</v>
      </c>
      <c r="Q66" s="52">
        <v>8</v>
      </c>
      <c r="R66" s="53">
        <v>178350</v>
      </c>
      <c r="S66" s="46">
        <v>1</v>
      </c>
      <c r="T66" s="53">
        <v>100000</v>
      </c>
      <c r="U66" s="53">
        <f t="shared" si="6"/>
        <v>71700</v>
      </c>
      <c r="V66" s="46">
        <v>1</v>
      </c>
      <c r="W66" s="53">
        <v>275520</v>
      </c>
      <c r="X66" s="46">
        <v>1</v>
      </c>
      <c r="Y66" s="46">
        <v>1</v>
      </c>
      <c r="Z66" s="54">
        <v>0.15584961765626004</v>
      </c>
      <c r="AA66" s="15">
        <f t="shared" si="1"/>
        <v>1.2987468138021669E-2</v>
      </c>
      <c r="AB66" s="15">
        <f t="shared" si="2"/>
        <v>0.15584961765626004</v>
      </c>
      <c r="AC66" t="b">
        <f t="shared" si="3"/>
        <v>1</v>
      </c>
    </row>
    <row r="67" spans="1:29" x14ac:dyDescent="0.25">
      <c r="A67" s="52" t="s">
        <v>259</v>
      </c>
      <c r="B67" s="46">
        <v>30013</v>
      </c>
      <c r="C67" s="47">
        <v>45754</v>
      </c>
      <c r="D67" s="46">
        <v>311500</v>
      </c>
      <c r="E67" s="46">
        <v>2</v>
      </c>
      <c r="F67" s="52" t="s">
        <v>1712</v>
      </c>
      <c r="G67" s="46">
        <v>6</v>
      </c>
      <c r="H67" s="52" t="s">
        <v>1642</v>
      </c>
      <c r="I67" s="46"/>
      <c r="J67" s="46">
        <v>0</v>
      </c>
      <c r="K67" s="46"/>
      <c r="L67" s="52" t="s">
        <v>690</v>
      </c>
      <c r="M67" s="53">
        <v>10000000</v>
      </c>
      <c r="N67" s="46">
        <v>60</v>
      </c>
      <c r="O67" s="46">
        <v>0</v>
      </c>
      <c r="P67" s="46">
        <v>1</v>
      </c>
      <c r="Q67" s="52">
        <v>9</v>
      </c>
      <c r="R67" s="53">
        <v>297250</v>
      </c>
      <c r="S67" s="46">
        <v>1</v>
      </c>
      <c r="T67" s="53">
        <v>390000</v>
      </c>
      <c r="U67" s="53">
        <f t="shared" si="6"/>
        <v>111700</v>
      </c>
      <c r="V67" s="46">
        <v>1</v>
      </c>
      <c r="W67" s="53">
        <v>215936</v>
      </c>
      <c r="X67" s="46">
        <v>1</v>
      </c>
      <c r="Y67" s="46">
        <v>1</v>
      </c>
      <c r="Z67" s="54">
        <v>0.14385566902641317</v>
      </c>
      <c r="AA67" s="15">
        <f t="shared" si="1"/>
        <v>1.1987972418867763E-2</v>
      </c>
      <c r="AB67" s="15">
        <f t="shared" si="2"/>
        <v>0.14385566902641317</v>
      </c>
      <c r="AC67" t="b">
        <f t="shared" si="3"/>
        <v>1</v>
      </c>
    </row>
    <row r="68" spans="1:29" x14ac:dyDescent="0.25">
      <c r="A68" s="52" t="s">
        <v>259</v>
      </c>
      <c r="B68" s="46">
        <v>30013</v>
      </c>
      <c r="C68" s="47">
        <v>45754</v>
      </c>
      <c r="D68" s="46">
        <v>311730</v>
      </c>
      <c r="E68" s="46">
        <v>2</v>
      </c>
      <c r="F68" s="52" t="s">
        <v>1713</v>
      </c>
      <c r="G68" s="46">
        <v>6</v>
      </c>
      <c r="H68" s="52" t="s">
        <v>784</v>
      </c>
      <c r="I68" s="46"/>
      <c r="J68" s="46">
        <v>0</v>
      </c>
      <c r="K68" s="46"/>
      <c r="L68" s="52" t="s">
        <v>686</v>
      </c>
      <c r="M68" s="53">
        <v>5950000</v>
      </c>
      <c r="N68" s="46">
        <v>30</v>
      </c>
      <c r="O68" s="46">
        <v>0</v>
      </c>
      <c r="P68" s="46">
        <v>1</v>
      </c>
      <c r="Q68" s="52">
        <v>8</v>
      </c>
      <c r="R68" s="53">
        <v>40723</v>
      </c>
      <c r="S68" s="46">
        <v>1</v>
      </c>
      <c r="T68" s="53">
        <v>33087</v>
      </c>
      <c r="U68" s="53">
        <f t="shared" si="6"/>
        <v>71200</v>
      </c>
      <c r="V68" s="46">
        <v>1</v>
      </c>
      <c r="W68" s="53">
        <v>223630</v>
      </c>
      <c r="X68" s="46">
        <v>1</v>
      </c>
      <c r="Y68" s="46">
        <v>1</v>
      </c>
      <c r="Z68" s="54">
        <v>0.11523587427897142</v>
      </c>
      <c r="AA68" s="15">
        <f t="shared" ref="AA68:AA131" si="7">RATE(N68,-W68,M68-R68-T68-U68)</f>
        <v>9.6029895232476181E-3</v>
      </c>
      <c r="AB68" s="15">
        <f t="shared" ref="AB68:AB131" si="8">IF(P68=1,AA68*12,IF(P68=2,AA68*4,IF(P68=3,AA68*2,AA68)))</f>
        <v>0.11523587427897142</v>
      </c>
      <c r="AC68" t="b">
        <f t="shared" ref="AC68:AC131" si="9">AB68=Z68</f>
        <v>1</v>
      </c>
    </row>
    <row r="69" spans="1:29" x14ac:dyDescent="0.25">
      <c r="A69" s="52" t="s">
        <v>259</v>
      </c>
      <c r="B69" s="46">
        <v>30013</v>
      </c>
      <c r="C69" s="47">
        <v>45754</v>
      </c>
      <c r="D69" s="46">
        <v>311730</v>
      </c>
      <c r="E69" s="46">
        <v>2</v>
      </c>
      <c r="F69" s="52" t="s">
        <v>1714</v>
      </c>
      <c r="G69" s="46">
        <v>6</v>
      </c>
      <c r="H69" s="52" t="s">
        <v>784</v>
      </c>
      <c r="I69" s="46"/>
      <c r="J69" s="46">
        <v>0</v>
      </c>
      <c r="K69" s="46"/>
      <c r="L69" s="52" t="s">
        <v>270</v>
      </c>
      <c r="M69" s="53">
        <v>3647715</v>
      </c>
      <c r="N69" s="46">
        <v>45</v>
      </c>
      <c r="O69" s="46">
        <v>0</v>
      </c>
      <c r="P69" s="46">
        <v>1</v>
      </c>
      <c r="Q69" s="52">
        <v>12</v>
      </c>
      <c r="R69" s="53">
        <v>40723</v>
      </c>
      <c r="S69" s="46">
        <v>1</v>
      </c>
      <c r="T69" s="53">
        <v>112592</v>
      </c>
      <c r="U69" s="53">
        <f t="shared" si="6"/>
        <v>48177.15</v>
      </c>
      <c r="V69" s="46">
        <v>1</v>
      </c>
      <c r="W69" s="53">
        <v>105140</v>
      </c>
      <c r="X69" s="46">
        <v>1</v>
      </c>
      <c r="Y69" s="46">
        <v>1</v>
      </c>
      <c r="Z69" s="54">
        <v>0.17591275229940112</v>
      </c>
      <c r="AA69" s="15">
        <f t="shared" si="7"/>
        <v>1.4659396024950094E-2</v>
      </c>
      <c r="AB69" s="15">
        <f t="shared" si="8"/>
        <v>0.17591275229940112</v>
      </c>
      <c r="AC69" t="b">
        <f t="shared" si="9"/>
        <v>1</v>
      </c>
    </row>
    <row r="70" spans="1:29" x14ac:dyDescent="0.25">
      <c r="A70" s="52" t="s">
        <v>259</v>
      </c>
      <c r="B70" s="46">
        <v>30013</v>
      </c>
      <c r="C70" s="47">
        <v>45755</v>
      </c>
      <c r="D70" s="46">
        <v>311500</v>
      </c>
      <c r="E70" s="46">
        <v>2</v>
      </c>
      <c r="F70" s="52" t="s">
        <v>1715</v>
      </c>
      <c r="G70" s="46">
        <v>6</v>
      </c>
      <c r="H70" s="52" t="s">
        <v>784</v>
      </c>
      <c r="I70" s="46"/>
      <c r="J70" s="46">
        <v>0</v>
      </c>
      <c r="K70" s="46"/>
      <c r="L70" s="52" t="s">
        <v>261</v>
      </c>
      <c r="M70" s="53">
        <v>1500000</v>
      </c>
      <c r="N70" s="46">
        <v>36</v>
      </c>
      <c r="O70" s="46">
        <v>0</v>
      </c>
      <c r="P70" s="46">
        <v>1</v>
      </c>
      <c r="Q70" s="52">
        <v>12</v>
      </c>
      <c r="R70" s="53">
        <v>44588</v>
      </c>
      <c r="S70" s="46">
        <v>1</v>
      </c>
      <c r="T70" s="53">
        <v>43750</v>
      </c>
      <c r="U70" s="53">
        <f t="shared" si="6"/>
        <v>26700</v>
      </c>
      <c r="V70" s="46">
        <v>1</v>
      </c>
      <c r="W70" s="53">
        <v>51462</v>
      </c>
      <c r="X70" s="46">
        <v>1</v>
      </c>
      <c r="Y70" s="46">
        <v>1</v>
      </c>
      <c r="Z70" s="54">
        <v>0.19988449219057944</v>
      </c>
      <c r="AA70" s="15">
        <f t="shared" si="7"/>
        <v>1.665704101588162E-2</v>
      </c>
      <c r="AB70" s="15">
        <f t="shared" si="8"/>
        <v>0.19988449219057944</v>
      </c>
      <c r="AC70" t="b">
        <f t="shared" si="9"/>
        <v>1</v>
      </c>
    </row>
    <row r="71" spans="1:29" x14ac:dyDescent="0.25">
      <c r="A71" s="52" t="s">
        <v>259</v>
      </c>
      <c r="B71" s="46">
        <v>30013</v>
      </c>
      <c r="C71" s="47">
        <v>45755</v>
      </c>
      <c r="D71" s="46">
        <v>311500</v>
      </c>
      <c r="E71" s="46">
        <v>2</v>
      </c>
      <c r="F71" s="52" t="s">
        <v>1716</v>
      </c>
      <c r="G71" s="46">
        <v>6</v>
      </c>
      <c r="H71" s="52" t="s">
        <v>784</v>
      </c>
      <c r="I71" s="46"/>
      <c r="J71" s="46">
        <v>0</v>
      </c>
      <c r="K71" s="46"/>
      <c r="L71" s="52" t="s">
        <v>266</v>
      </c>
      <c r="M71" s="53">
        <v>5250000</v>
      </c>
      <c r="N71" s="46">
        <v>60</v>
      </c>
      <c r="O71" s="46">
        <v>0</v>
      </c>
      <c r="P71" s="46">
        <v>1</v>
      </c>
      <c r="Q71" s="52">
        <v>12</v>
      </c>
      <c r="R71" s="53">
        <v>156056</v>
      </c>
      <c r="S71" s="46">
        <v>1</v>
      </c>
      <c r="T71" s="53">
        <v>206875</v>
      </c>
      <c r="U71" s="53">
        <f t="shared" si="6"/>
        <v>64200</v>
      </c>
      <c r="V71" s="46">
        <v>1</v>
      </c>
      <c r="W71" s="53">
        <v>122889</v>
      </c>
      <c r="X71" s="46">
        <v>1</v>
      </c>
      <c r="Y71" s="46">
        <v>1</v>
      </c>
      <c r="Z71" s="54">
        <v>0.18159869907876997</v>
      </c>
      <c r="AA71" s="15">
        <f t="shared" si="7"/>
        <v>1.5133224923230829E-2</v>
      </c>
      <c r="AB71" s="15">
        <f t="shared" si="8"/>
        <v>0.18159869907876997</v>
      </c>
      <c r="AC71" t="b">
        <f t="shared" si="9"/>
        <v>1</v>
      </c>
    </row>
    <row r="72" spans="1:29" x14ac:dyDescent="0.25">
      <c r="A72" s="52" t="s">
        <v>259</v>
      </c>
      <c r="B72" s="46">
        <v>30013</v>
      </c>
      <c r="C72" s="47">
        <v>45755</v>
      </c>
      <c r="D72" s="46">
        <v>311500</v>
      </c>
      <c r="E72" s="46">
        <v>2</v>
      </c>
      <c r="F72" s="52" t="s">
        <v>1717</v>
      </c>
      <c r="G72" s="46">
        <v>6</v>
      </c>
      <c r="H72" s="52" t="s">
        <v>1642</v>
      </c>
      <c r="I72" s="46"/>
      <c r="J72" s="46">
        <v>0</v>
      </c>
      <c r="K72" s="46"/>
      <c r="L72" s="52" t="s">
        <v>692</v>
      </c>
      <c r="M72" s="53">
        <v>12000000</v>
      </c>
      <c r="N72" s="46">
        <v>60</v>
      </c>
      <c r="O72" s="46">
        <v>0</v>
      </c>
      <c r="P72" s="46">
        <v>1</v>
      </c>
      <c r="Q72" s="52">
        <v>8</v>
      </c>
      <c r="R72" s="53">
        <v>356700</v>
      </c>
      <c r="S72" s="46">
        <v>1</v>
      </c>
      <c r="T72" s="53">
        <v>465000</v>
      </c>
      <c r="U72" s="53">
        <f t="shared" si="6"/>
        <v>131700</v>
      </c>
      <c r="V72" s="46">
        <v>1</v>
      </c>
      <c r="W72" s="53">
        <v>252093</v>
      </c>
      <c r="X72" s="46">
        <v>1</v>
      </c>
      <c r="Y72" s="46">
        <v>1</v>
      </c>
      <c r="Z72" s="54">
        <v>0.13132323232416193</v>
      </c>
      <c r="AA72" s="15">
        <f t="shared" si="7"/>
        <v>1.0943602693680162E-2</v>
      </c>
      <c r="AB72" s="15">
        <f t="shared" si="8"/>
        <v>0.13132323232416193</v>
      </c>
      <c r="AC72" t="b">
        <f t="shared" si="9"/>
        <v>1</v>
      </c>
    </row>
    <row r="73" spans="1:29" x14ac:dyDescent="0.25">
      <c r="A73" s="52" t="s">
        <v>259</v>
      </c>
      <c r="B73" s="46">
        <v>30013</v>
      </c>
      <c r="C73" s="47">
        <v>45755</v>
      </c>
      <c r="D73" s="46">
        <v>321300</v>
      </c>
      <c r="E73" s="46">
        <v>2</v>
      </c>
      <c r="F73" s="52" t="s">
        <v>1718</v>
      </c>
      <c r="G73" s="46">
        <v>6</v>
      </c>
      <c r="H73" s="52" t="s">
        <v>1642</v>
      </c>
      <c r="I73" s="46"/>
      <c r="J73" s="46">
        <v>0</v>
      </c>
      <c r="K73" s="46"/>
      <c r="L73" s="52" t="s">
        <v>231</v>
      </c>
      <c r="M73" s="53">
        <v>1500000</v>
      </c>
      <c r="N73" s="46">
        <v>24</v>
      </c>
      <c r="O73" s="46">
        <v>0</v>
      </c>
      <c r="P73" s="46">
        <v>1</v>
      </c>
      <c r="Q73" s="52">
        <v>8</v>
      </c>
      <c r="R73" s="53">
        <v>44588</v>
      </c>
      <c r="S73" s="46">
        <v>1</v>
      </c>
      <c r="T73" s="53">
        <v>32500</v>
      </c>
      <c r="U73" s="53">
        <f t="shared" si="6"/>
        <v>26700</v>
      </c>
      <c r="V73" s="46">
        <v>1</v>
      </c>
      <c r="W73" s="53">
        <v>68880</v>
      </c>
      <c r="X73" s="46">
        <v>1</v>
      </c>
      <c r="Y73" s="46">
        <v>1</v>
      </c>
      <c r="Z73" s="54">
        <v>0.16773462271120093</v>
      </c>
      <c r="AA73" s="15">
        <f t="shared" si="7"/>
        <v>1.397788522593341E-2</v>
      </c>
      <c r="AB73" s="15">
        <f t="shared" si="8"/>
        <v>0.16773462271120093</v>
      </c>
      <c r="AC73" t="b">
        <f t="shared" si="9"/>
        <v>1</v>
      </c>
    </row>
    <row r="74" spans="1:29" x14ac:dyDescent="0.25">
      <c r="A74" s="52" t="s">
        <v>259</v>
      </c>
      <c r="B74" s="46">
        <v>30013</v>
      </c>
      <c r="C74" s="47">
        <v>45755</v>
      </c>
      <c r="D74" s="46">
        <v>311500</v>
      </c>
      <c r="E74" s="46">
        <v>2</v>
      </c>
      <c r="F74" s="52" t="s">
        <v>1719</v>
      </c>
      <c r="G74" s="46">
        <v>6</v>
      </c>
      <c r="H74" s="52" t="s">
        <v>1642</v>
      </c>
      <c r="I74" s="46"/>
      <c r="J74" s="46">
        <v>0</v>
      </c>
      <c r="K74" s="46"/>
      <c r="L74" s="52" t="s">
        <v>691</v>
      </c>
      <c r="M74" s="53">
        <v>9200000</v>
      </c>
      <c r="N74" s="46">
        <v>72</v>
      </c>
      <c r="O74" s="46">
        <v>0</v>
      </c>
      <c r="P74" s="46">
        <v>1</v>
      </c>
      <c r="Q74" s="52">
        <v>8</v>
      </c>
      <c r="R74" s="53">
        <v>164082</v>
      </c>
      <c r="S74" s="46">
        <v>1</v>
      </c>
      <c r="T74" s="53">
        <v>429000</v>
      </c>
      <c r="U74" s="53">
        <f t="shared" si="6"/>
        <v>103700</v>
      </c>
      <c r="V74" s="46">
        <v>1</v>
      </c>
      <c r="W74" s="53">
        <v>168182</v>
      </c>
      <c r="X74" s="46">
        <v>1</v>
      </c>
      <c r="Y74" s="46">
        <v>1</v>
      </c>
      <c r="Z74" s="54">
        <v>0.1243784497913545</v>
      </c>
      <c r="AA74" s="15">
        <f t="shared" si="7"/>
        <v>1.0364870815946208E-2</v>
      </c>
      <c r="AB74" s="15">
        <f t="shared" si="8"/>
        <v>0.1243784497913545</v>
      </c>
      <c r="AC74" t="b">
        <f t="shared" si="9"/>
        <v>1</v>
      </c>
    </row>
    <row r="75" spans="1:29" x14ac:dyDescent="0.25">
      <c r="A75" s="52" t="s">
        <v>259</v>
      </c>
      <c r="B75" s="46">
        <v>30013</v>
      </c>
      <c r="C75" s="47">
        <v>45755</v>
      </c>
      <c r="D75" s="46">
        <v>311500</v>
      </c>
      <c r="E75" s="46">
        <v>2</v>
      </c>
      <c r="F75" s="52" t="s">
        <v>1720</v>
      </c>
      <c r="G75" s="46">
        <v>6</v>
      </c>
      <c r="H75" s="52" t="s">
        <v>1642</v>
      </c>
      <c r="I75" s="46"/>
      <c r="J75" s="46">
        <v>0</v>
      </c>
      <c r="K75" s="46"/>
      <c r="L75" s="52" t="s">
        <v>261</v>
      </c>
      <c r="M75" s="53">
        <v>7900000</v>
      </c>
      <c r="N75" s="46">
        <v>84</v>
      </c>
      <c r="O75" s="46">
        <v>0</v>
      </c>
      <c r="P75" s="46">
        <v>1</v>
      </c>
      <c r="Q75" s="52">
        <v>11</v>
      </c>
      <c r="R75" s="53">
        <v>140897</v>
      </c>
      <c r="S75" s="46">
        <v>1</v>
      </c>
      <c r="T75" s="53">
        <v>429750</v>
      </c>
      <c r="U75" s="53">
        <f t="shared" si="6"/>
        <v>90700</v>
      </c>
      <c r="V75" s="46">
        <v>1</v>
      </c>
      <c r="W75" s="53">
        <v>144056</v>
      </c>
      <c r="X75" s="46">
        <v>1</v>
      </c>
      <c r="Y75" s="46">
        <v>1</v>
      </c>
      <c r="Z75" s="54">
        <v>0.1606822353891815</v>
      </c>
      <c r="AA75" s="15">
        <f t="shared" si="7"/>
        <v>1.3390186282431792E-2</v>
      </c>
      <c r="AB75" s="15">
        <f t="shared" si="8"/>
        <v>0.1606822353891815</v>
      </c>
      <c r="AC75" t="b">
        <f t="shared" si="9"/>
        <v>1</v>
      </c>
    </row>
    <row r="76" spans="1:29" x14ac:dyDescent="0.25">
      <c r="A76" s="52" t="s">
        <v>259</v>
      </c>
      <c r="B76" s="46">
        <v>30013</v>
      </c>
      <c r="C76" s="47">
        <v>45755</v>
      </c>
      <c r="D76" s="46">
        <v>311500</v>
      </c>
      <c r="E76" s="46">
        <v>2</v>
      </c>
      <c r="F76" s="52" t="s">
        <v>1721</v>
      </c>
      <c r="G76" s="46">
        <v>6</v>
      </c>
      <c r="H76" s="52" t="s">
        <v>1642</v>
      </c>
      <c r="I76" s="46"/>
      <c r="J76" s="46">
        <v>0</v>
      </c>
      <c r="K76" s="46"/>
      <c r="L76" s="52" t="s">
        <v>270</v>
      </c>
      <c r="M76" s="53">
        <v>7000000</v>
      </c>
      <c r="N76" s="46">
        <v>84</v>
      </c>
      <c r="O76" s="46">
        <v>0</v>
      </c>
      <c r="P76" s="46">
        <v>1</v>
      </c>
      <c r="Q76" s="52">
        <v>10</v>
      </c>
      <c r="R76" s="53">
        <v>124845</v>
      </c>
      <c r="S76" s="46">
        <v>1</v>
      </c>
      <c r="T76" s="53">
        <v>377500</v>
      </c>
      <c r="U76" s="53">
        <f t="shared" si="6"/>
        <v>81700</v>
      </c>
      <c r="V76" s="46">
        <v>1</v>
      </c>
      <c r="W76" s="53">
        <v>123158</v>
      </c>
      <c r="X76" s="46">
        <v>1</v>
      </c>
      <c r="Y76" s="46">
        <v>1</v>
      </c>
      <c r="Z76" s="54">
        <v>0.14819425433642305</v>
      </c>
      <c r="AA76" s="15">
        <f t="shared" si="7"/>
        <v>1.2349521194701922E-2</v>
      </c>
      <c r="AB76" s="15">
        <f t="shared" si="8"/>
        <v>0.14819425433642305</v>
      </c>
      <c r="AC76" t="b">
        <f t="shared" si="9"/>
        <v>1</v>
      </c>
    </row>
    <row r="77" spans="1:29" x14ac:dyDescent="0.25">
      <c r="A77" s="52" t="s">
        <v>259</v>
      </c>
      <c r="B77" s="46">
        <v>30013</v>
      </c>
      <c r="C77" s="47">
        <v>45755</v>
      </c>
      <c r="D77" s="46">
        <v>311500</v>
      </c>
      <c r="E77" s="46">
        <v>2</v>
      </c>
      <c r="F77" s="52" t="s">
        <v>1722</v>
      </c>
      <c r="G77" s="46">
        <v>6</v>
      </c>
      <c r="H77" s="52" t="s">
        <v>1642</v>
      </c>
      <c r="I77" s="46"/>
      <c r="J77" s="46">
        <v>0</v>
      </c>
      <c r="K77" s="46"/>
      <c r="L77" s="52" t="s">
        <v>270</v>
      </c>
      <c r="M77" s="53">
        <v>3250000</v>
      </c>
      <c r="N77" s="46">
        <v>30</v>
      </c>
      <c r="O77" s="46">
        <v>0</v>
      </c>
      <c r="P77" s="46">
        <v>1</v>
      </c>
      <c r="Q77" s="52">
        <v>12</v>
      </c>
      <c r="R77" s="53">
        <v>96606</v>
      </c>
      <c r="S77" s="46">
        <v>1</v>
      </c>
      <c r="T77" s="53">
        <v>70938</v>
      </c>
      <c r="U77" s="53">
        <f t="shared" si="6"/>
        <v>44200</v>
      </c>
      <c r="V77" s="46">
        <v>1</v>
      </c>
      <c r="W77" s="53">
        <v>129437</v>
      </c>
      <c r="X77" s="46">
        <v>1</v>
      </c>
      <c r="Y77" s="46">
        <v>1</v>
      </c>
      <c r="Z77" s="54">
        <v>0.19945441577683543</v>
      </c>
      <c r="AA77" s="15">
        <f t="shared" si="7"/>
        <v>1.6621201314736284E-2</v>
      </c>
      <c r="AB77" s="15">
        <f t="shared" si="8"/>
        <v>0.19945441577683543</v>
      </c>
      <c r="AC77" t="b">
        <f t="shared" si="9"/>
        <v>1</v>
      </c>
    </row>
    <row r="78" spans="1:29" x14ac:dyDescent="0.25">
      <c r="A78" s="52" t="s">
        <v>259</v>
      </c>
      <c r="B78" s="46">
        <v>30013</v>
      </c>
      <c r="C78" s="47">
        <v>45755</v>
      </c>
      <c r="D78" s="46">
        <v>311500</v>
      </c>
      <c r="E78" s="46">
        <v>2</v>
      </c>
      <c r="F78" s="52" t="s">
        <v>1723</v>
      </c>
      <c r="G78" s="46">
        <v>6</v>
      </c>
      <c r="H78" s="52" t="s">
        <v>784</v>
      </c>
      <c r="I78" s="46"/>
      <c r="J78" s="46">
        <v>0</v>
      </c>
      <c r="K78" s="46"/>
      <c r="L78" s="52" t="s">
        <v>687</v>
      </c>
      <c r="M78" s="53">
        <v>5100000</v>
      </c>
      <c r="N78" s="46">
        <v>84</v>
      </c>
      <c r="O78" s="46">
        <v>0</v>
      </c>
      <c r="P78" s="46">
        <v>1</v>
      </c>
      <c r="Q78" s="52">
        <v>12</v>
      </c>
      <c r="R78" s="53">
        <v>90959</v>
      </c>
      <c r="S78" s="46">
        <v>1</v>
      </c>
      <c r="T78" s="53">
        <v>277750</v>
      </c>
      <c r="U78" s="53">
        <f t="shared" si="6"/>
        <v>62700</v>
      </c>
      <c r="V78" s="46">
        <v>1</v>
      </c>
      <c r="W78" s="53">
        <v>96331</v>
      </c>
      <c r="X78" s="46">
        <v>1</v>
      </c>
      <c r="Y78" s="46">
        <v>1</v>
      </c>
      <c r="Z78" s="54">
        <v>0.1734185241046651</v>
      </c>
      <c r="AA78" s="15">
        <f t="shared" si="7"/>
        <v>1.4451543675388758E-2</v>
      </c>
      <c r="AB78" s="15">
        <f t="shared" si="8"/>
        <v>0.1734185241046651</v>
      </c>
      <c r="AC78" t="b">
        <f t="shared" si="9"/>
        <v>1</v>
      </c>
    </row>
    <row r="79" spans="1:29" x14ac:dyDescent="0.25">
      <c r="A79" s="52" t="s">
        <v>259</v>
      </c>
      <c r="B79" s="46">
        <v>30013</v>
      </c>
      <c r="C79" s="47">
        <v>45755</v>
      </c>
      <c r="D79" s="46">
        <v>311730</v>
      </c>
      <c r="E79" s="46">
        <v>2</v>
      </c>
      <c r="F79" s="52" t="s">
        <v>1724</v>
      </c>
      <c r="G79" s="46">
        <v>6</v>
      </c>
      <c r="H79" s="52" t="s">
        <v>784</v>
      </c>
      <c r="I79" s="46"/>
      <c r="J79" s="46">
        <v>0</v>
      </c>
      <c r="K79" s="46"/>
      <c r="L79" s="52" t="s">
        <v>268</v>
      </c>
      <c r="M79" s="53">
        <v>5245000</v>
      </c>
      <c r="N79" s="46">
        <v>42</v>
      </c>
      <c r="O79" s="46">
        <v>0</v>
      </c>
      <c r="P79" s="46">
        <v>1</v>
      </c>
      <c r="Q79" s="52">
        <v>8</v>
      </c>
      <c r="R79" s="53">
        <v>40723</v>
      </c>
      <c r="S79" s="46">
        <v>1</v>
      </c>
      <c r="T79" s="53">
        <v>147681</v>
      </c>
      <c r="U79" s="53">
        <f t="shared" si="6"/>
        <v>64150</v>
      </c>
      <c r="V79" s="46">
        <v>1</v>
      </c>
      <c r="W79" s="53">
        <v>147310</v>
      </c>
      <c r="X79" s="46">
        <v>1</v>
      </c>
      <c r="Y79" s="46">
        <v>1</v>
      </c>
      <c r="Z79" s="54">
        <v>0.12475956943519328</v>
      </c>
      <c r="AA79" s="15">
        <f t="shared" si="7"/>
        <v>1.0396630786266106E-2</v>
      </c>
      <c r="AB79" s="15">
        <f t="shared" si="8"/>
        <v>0.12475956943519328</v>
      </c>
      <c r="AC79" t="b">
        <f t="shared" si="9"/>
        <v>1</v>
      </c>
    </row>
    <row r="80" spans="1:29" x14ac:dyDescent="0.25">
      <c r="A80" s="52" t="s">
        <v>259</v>
      </c>
      <c r="B80" s="46">
        <v>30013</v>
      </c>
      <c r="C80" s="47">
        <v>45755</v>
      </c>
      <c r="D80" s="46">
        <v>311730</v>
      </c>
      <c r="E80" s="46">
        <v>2</v>
      </c>
      <c r="F80" s="52" t="s">
        <v>1725</v>
      </c>
      <c r="G80" s="46">
        <v>6</v>
      </c>
      <c r="H80" s="52" t="s">
        <v>784</v>
      </c>
      <c r="I80" s="46"/>
      <c r="J80" s="46">
        <v>0</v>
      </c>
      <c r="K80" s="46"/>
      <c r="L80" s="52" t="s">
        <v>268</v>
      </c>
      <c r="M80" s="53">
        <v>7415000</v>
      </c>
      <c r="N80" s="46">
        <v>36</v>
      </c>
      <c r="O80" s="46">
        <v>0</v>
      </c>
      <c r="P80" s="46">
        <v>1</v>
      </c>
      <c r="Q80" s="52">
        <v>8</v>
      </c>
      <c r="R80" s="53">
        <v>40723</v>
      </c>
      <c r="S80" s="46">
        <v>1</v>
      </c>
      <c r="T80" s="53">
        <v>176838</v>
      </c>
      <c r="U80" s="53">
        <f t="shared" si="6"/>
        <v>85850</v>
      </c>
      <c r="V80" s="46">
        <v>1</v>
      </c>
      <c r="W80" s="53">
        <v>237566</v>
      </c>
      <c r="X80" s="46">
        <v>1</v>
      </c>
      <c r="Y80" s="46">
        <v>1</v>
      </c>
      <c r="Z80" s="54">
        <v>0.12399566566739773</v>
      </c>
      <c r="AA80" s="15">
        <f t="shared" si="7"/>
        <v>1.0332972138949811E-2</v>
      </c>
      <c r="AB80" s="15">
        <f t="shared" si="8"/>
        <v>0.12399566566739773</v>
      </c>
      <c r="AC80" t="b">
        <f t="shared" si="9"/>
        <v>1</v>
      </c>
    </row>
    <row r="81" spans="1:29" x14ac:dyDescent="0.25">
      <c r="A81" s="52" t="s">
        <v>259</v>
      </c>
      <c r="B81" s="46">
        <v>30013</v>
      </c>
      <c r="C81" s="47">
        <v>45755</v>
      </c>
      <c r="D81" s="46">
        <v>321600</v>
      </c>
      <c r="E81" s="46">
        <v>2</v>
      </c>
      <c r="F81" s="52" t="s">
        <v>1726</v>
      </c>
      <c r="G81" s="46">
        <v>6</v>
      </c>
      <c r="H81" s="52" t="s">
        <v>784</v>
      </c>
      <c r="I81" s="46"/>
      <c r="J81" s="46">
        <v>0</v>
      </c>
      <c r="K81" s="46"/>
      <c r="L81" s="52" t="s">
        <v>261</v>
      </c>
      <c r="M81" s="53">
        <v>400000</v>
      </c>
      <c r="N81" s="46">
        <v>12</v>
      </c>
      <c r="O81" s="46">
        <v>0</v>
      </c>
      <c r="P81" s="46">
        <v>1</v>
      </c>
      <c r="Q81" s="52">
        <v>10</v>
      </c>
      <c r="R81" s="53">
        <v>951</v>
      </c>
      <c r="S81" s="46">
        <v>1</v>
      </c>
      <c r="T81" s="53">
        <v>0</v>
      </c>
      <c r="U81" s="53">
        <v>21700</v>
      </c>
      <c r="V81" s="46">
        <v>1</v>
      </c>
      <c r="W81" s="53">
        <v>35519</v>
      </c>
      <c r="X81" s="46">
        <v>1</v>
      </c>
      <c r="Y81" s="46">
        <v>1</v>
      </c>
      <c r="Z81" s="54">
        <v>0.23106480466373022</v>
      </c>
      <c r="AA81" s="15">
        <f t="shared" si="7"/>
        <v>1.9255400388644185E-2</v>
      </c>
      <c r="AB81" s="15">
        <f t="shared" si="8"/>
        <v>0.23106480466373022</v>
      </c>
      <c r="AC81" t="b">
        <f t="shared" si="9"/>
        <v>1</v>
      </c>
    </row>
    <row r="82" spans="1:29" x14ac:dyDescent="0.25">
      <c r="A82" s="52" t="s">
        <v>259</v>
      </c>
      <c r="B82" s="46">
        <v>30013</v>
      </c>
      <c r="C82" s="47">
        <v>45755</v>
      </c>
      <c r="D82" s="46">
        <v>311500</v>
      </c>
      <c r="E82" s="46">
        <v>2</v>
      </c>
      <c r="F82" s="52" t="s">
        <v>1727</v>
      </c>
      <c r="G82" s="46">
        <v>6</v>
      </c>
      <c r="H82" s="52" t="s">
        <v>784</v>
      </c>
      <c r="I82" s="46"/>
      <c r="J82" s="46">
        <v>0</v>
      </c>
      <c r="K82" s="46"/>
      <c r="L82" s="52" t="s">
        <v>270</v>
      </c>
      <c r="M82" s="53">
        <v>2000000</v>
      </c>
      <c r="N82" s="46">
        <v>48</v>
      </c>
      <c r="O82" s="46">
        <v>0</v>
      </c>
      <c r="P82" s="46">
        <v>1</v>
      </c>
      <c r="Q82" s="52">
        <v>13</v>
      </c>
      <c r="R82" s="53">
        <v>59450</v>
      </c>
      <c r="S82" s="46">
        <v>1</v>
      </c>
      <c r="T82" s="53">
        <v>70000</v>
      </c>
      <c r="U82" s="53">
        <f t="shared" ref="U82:U95" si="10">M82/100+11700</f>
        <v>31700</v>
      </c>
      <c r="V82" s="46">
        <v>1</v>
      </c>
      <c r="W82" s="53">
        <v>56126</v>
      </c>
      <c r="X82" s="46">
        <v>1</v>
      </c>
      <c r="Y82" s="46">
        <v>1</v>
      </c>
      <c r="Z82" s="54">
        <v>0.2017248544611179</v>
      </c>
      <c r="AA82" s="15">
        <f t="shared" si="7"/>
        <v>1.6810404538426492E-2</v>
      </c>
      <c r="AB82" s="15">
        <f t="shared" si="8"/>
        <v>0.2017248544611179</v>
      </c>
      <c r="AC82" t="b">
        <f t="shared" si="9"/>
        <v>1</v>
      </c>
    </row>
    <row r="83" spans="1:29" x14ac:dyDescent="0.25">
      <c r="A83" s="52" t="s">
        <v>259</v>
      </c>
      <c r="B83" s="46">
        <v>30013</v>
      </c>
      <c r="C83" s="47">
        <v>45755</v>
      </c>
      <c r="D83" s="46">
        <v>311500</v>
      </c>
      <c r="E83" s="46">
        <v>2</v>
      </c>
      <c r="F83" s="52" t="s">
        <v>1728</v>
      </c>
      <c r="G83" s="46">
        <v>6</v>
      </c>
      <c r="H83" s="52" t="s">
        <v>784</v>
      </c>
      <c r="I83" s="46"/>
      <c r="J83" s="46">
        <v>0</v>
      </c>
      <c r="K83" s="46"/>
      <c r="L83" s="52" t="s">
        <v>261</v>
      </c>
      <c r="M83" s="53">
        <v>4250000</v>
      </c>
      <c r="N83" s="46">
        <v>60</v>
      </c>
      <c r="O83" s="46">
        <v>0</v>
      </c>
      <c r="P83" s="46">
        <v>1</v>
      </c>
      <c r="Q83" s="52">
        <v>13</v>
      </c>
      <c r="R83" s="53">
        <v>126331</v>
      </c>
      <c r="S83" s="46">
        <v>1</v>
      </c>
      <c r="T83" s="53">
        <v>169375</v>
      </c>
      <c r="U83" s="53">
        <f t="shared" si="10"/>
        <v>54200</v>
      </c>
      <c r="V83" s="46">
        <v>1</v>
      </c>
      <c r="W83" s="53">
        <v>102130</v>
      </c>
      <c r="X83" s="46">
        <v>1</v>
      </c>
      <c r="Y83" s="46">
        <v>1</v>
      </c>
      <c r="Z83" s="54">
        <v>0.19445953104728458</v>
      </c>
      <c r="AA83" s="15">
        <f t="shared" si="7"/>
        <v>1.620496092060705E-2</v>
      </c>
      <c r="AB83" s="15">
        <f t="shared" si="8"/>
        <v>0.19445953104728458</v>
      </c>
      <c r="AC83" t="b">
        <f t="shared" si="9"/>
        <v>1</v>
      </c>
    </row>
    <row r="84" spans="1:29" x14ac:dyDescent="0.25">
      <c r="A84" s="52" t="s">
        <v>259</v>
      </c>
      <c r="B84" s="46">
        <v>30013</v>
      </c>
      <c r="C84" s="47">
        <v>45755</v>
      </c>
      <c r="D84" s="46">
        <v>311500</v>
      </c>
      <c r="E84" s="46">
        <v>2</v>
      </c>
      <c r="F84" s="52" t="s">
        <v>1729</v>
      </c>
      <c r="G84" s="46">
        <v>6</v>
      </c>
      <c r="H84" s="52" t="s">
        <v>784</v>
      </c>
      <c r="I84" s="46"/>
      <c r="J84" s="46">
        <v>0</v>
      </c>
      <c r="K84" s="46"/>
      <c r="L84" s="52" t="s">
        <v>690</v>
      </c>
      <c r="M84" s="53">
        <v>4000000</v>
      </c>
      <c r="N84" s="46">
        <v>48</v>
      </c>
      <c r="O84" s="46">
        <v>0</v>
      </c>
      <c r="P84" s="46">
        <v>1</v>
      </c>
      <c r="Q84" s="52">
        <v>8</v>
      </c>
      <c r="R84" s="53">
        <v>118900</v>
      </c>
      <c r="S84" s="46">
        <v>1</v>
      </c>
      <c r="T84" s="53">
        <v>130000</v>
      </c>
      <c r="U84" s="53">
        <f t="shared" si="10"/>
        <v>51700</v>
      </c>
      <c r="V84" s="46">
        <v>1</v>
      </c>
      <c r="W84" s="53">
        <v>100515</v>
      </c>
      <c r="X84" s="46">
        <v>1</v>
      </c>
      <c r="Y84" s="46">
        <v>1</v>
      </c>
      <c r="Z84" s="54">
        <v>0.13688794019924269</v>
      </c>
      <c r="AA84" s="15">
        <f t="shared" si="7"/>
        <v>1.1407328349936892E-2</v>
      </c>
      <c r="AB84" s="15">
        <f t="shared" si="8"/>
        <v>0.13688794019924269</v>
      </c>
      <c r="AC84" t="b">
        <f t="shared" si="9"/>
        <v>1</v>
      </c>
    </row>
    <row r="85" spans="1:29" x14ac:dyDescent="0.25">
      <c r="A85" s="52" t="s">
        <v>259</v>
      </c>
      <c r="B85" s="46">
        <v>30013</v>
      </c>
      <c r="C85" s="47">
        <v>45755</v>
      </c>
      <c r="D85" s="46">
        <v>311500</v>
      </c>
      <c r="E85" s="46">
        <v>2</v>
      </c>
      <c r="F85" s="52" t="s">
        <v>1730</v>
      </c>
      <c r="G85" s="46">
        <v>6</v>
      </c>
      <c r="H85" s="52" t="s">
        <v>1731</v>
      </c>
      <c r="I85" s="46"/>
      <c r="J85" s="46">
        <v>0</v>
      </c>
      <c r="K85" s="46"/>
      <c r="L85" s="52" t="s">
        <v>690</v>
      </c>
      <c r="M85" s="53">
        <v>4000000</v>
      </c>
      <c r="N85" s="46">
        <v>48</v>
      </c>
      <c r="O85" s="46">
        <v>0</v>
      </c>
      <c r="P85" s="46">
        <v>1</v>
      </c>
      <c r="Q85" s="52">
        <v>12</v>
      </c>
      <c r="R85" s="53">
        <v>118900</v>
      </c>
      <c r="S85" s="46">
        <v>1</v>
      </c>
      <c r="T85" s="53">
        <v>130000</v>
      </c>
      <c r="U85" s="53">
        <f t="shared" si="10"/>
        <v>51700</v>
      </c>
      <c r="V85" s="46">
        <v>1</v>
      </c>
      <c r="W85" s="53">
        <v>109844</v>
      </c>
      <c r="X85" s="46">
        <v>1</v>
      </c>
      <c r="Y85" s="46">
        <v>1</v>
      </c>
      <c r="Z85" s="54">
        <v>0.18605571919570199</v>
      </c>
      <c r="AA85" s="15">
        <f t="shared" si="7"/>
        <v>1.55046432663085E-2</v>
      </c>
      <c r="AB85" s="15">
        <f t="shared" si="8"/>
        <v>0.18605571919570199</v>
      </c>
      <c r="AC85" t="b">
        <f t="shared" si="9"/>
        <v>1</v>
      </c>
    </row>
    <row r="86" spans="1:29" x14ac:dyDescent="0.25">
      <c r="A86" s="52" t="s">
        <v>259</v>
      </c>
      <c r="B86" s="46">
        <v>30013</v>
      </c>
      <c r="C86" s="47">
        <v>45755</v>
      </c>
      <c r="D86" s="46">
        <v>311500</v>
      </c>
      <c r="E86" s="46">
        <v>2</v>
      </c>
      <c r="F86" s="52" t="s">
        <v>1732</v>
      </c>
      <c r="G86" s="46">
        <v>6</v>
      </c>
      <c r="H86" s="52" t="s">
        <v>784</v>
      </c>
      <c r="I86" s="46"/>
      <c r="J86" s="46">
        <v>0</v>
      </c>
      <c r="K86" s="46"/>
      <c r="L86" s="52" t="s">
        <v>261</v>
      </c>
      <c r="M86" s="53">
        <v>6300000</v>
      </c>
      <c r="N86" s="46">
        <v>72</v>
      </c>
      <c r="O86" s="46">
        <v>0</v>
      </c>
      <c r="P86" s="46">
        <v>1</v>
      </c>
      <c r="Q86" s="52">
        <v>9</v>
      </c>
      <c r="R86" s="53">
        <v>112361</v>
      </c>
      <c r="S86" s="46">
        <v>1</v>
      </c>
      <c r="T86" s="53">
        <v>260690</v>
      </c>
      <c r="U86" s="53">
        <f t="shared" si="10"/>
        <v>74700</v>
      </c>
      <c r="V86" s="46">
        <v>1</v>
      </c>
      <c r="W86" s="53">
        <v>118952</v>
      </c>
      <c r="X86" s="46">
        <v>1</v>
      </c>
      <c r="Y86" s="46">
        <v>1</v>
      </c>
      <c r="Z86" s="54">
        <v>0.13475352656913048</v>
      </c>
      <c r="AA86" s="15">
        <f t="shared" si="7"/>
        <v>1.1229460547427541E-2</v>
      </c>
      <c r="AB86" s="15">
        <f t="shared" si="8"/>
        <v>0.13475352656913048</v>
      </c>
      <c r="AC86" t="b">
        <f t="shared" si="9"/>
        <v>1</v>
      </c>
    </row>
    <row r="87" spans="1:29" x14ac:dyDescent="0.25">
      <c r="A87" s="52" t="s">
        <v>259</v>
      </c>
      <c r="B87" s="46">
        <v>30013</v>
      </c>
      <c r="C87" s="47">
        <v>45755</v>
      </c>
      <c r="D87" s="46">
        <v>311500</v>
      </c>
      <c r="E87" s="46">
        <v>2</v>
      </c>
      <c r="F87" s="52" t="s">
        <v>1733</v>
      </c>
      <c r="G87" s="46">
        <v>6</v>
      </c>
      <c r="H87" s="52" t="s">
        <v>784</v>
      </c>
      <c r="I87" s="46"/>
      <c r="J87" s="46">
        <v>0</v>
      </c>
      <c r="K87" s="46"/>
      <c r="L87" s="52" t="s">
        <v>261</v>
      </c>
      <c r="M87" s="53">
        <v>8000000</v>
      </c>
      <c r="N87" s="46">
        <v>60</v>
      </c>
      <c r="O87" s="46">
        <v>0</v>
      </c>
      <c r="P87" s="46">
        <v>1</v>
      </c>
      <c r="Q87" s="52">
        <v>11</v>
      </c>
      <c r="R87" s="53">
        <v>40723</v>
      </c>
      <c r="S87" s="46">
        <v>1</v>
      </c>
      <c r="T87" s="53">
        <v>0</v>
      </c>
      <c r="U87" s="53">
        <f t="shared" si="10"/>
        <v>91700</v>
      </c>
      <c r="V87" s="46">
        <v>1</v>
      </c>
      <c r="W87" s="53">
        <v>182348</v>
      </c>
      <c r="X87" s="46">
        <v>1</v>
      </c>
      <c r="Y87" s="46">
        <v>1</v>
      </c>
      <c r="Z87" s="54">
        <v>0.13824080808705416</v>
      </c>
      <c r="AA87" s="15">
        <f t="shared" si="7"/>
        <v>1.1520067340587846E-2</v>
      </c>
      <c r="AB87" s="15">
        <f t="shared" si="8"/>
        <v>0.13824080808705416</v>
      </c>
      <c r="AC87" t="b">
        <f t="shared" si="9"/>
        <v>1</v>
      </c>
    </row>
    <row r="88" spans="1:29" x14ac:dyDescent="0.25">
      <c r="A88" s="52" t="s">
        <v>259</v>
      </c>
      <c r="B88" s="46">
        <v>30013</v>
      </c>
      <c r="C88" s="47">
        <v>45755</v>
      </c>
      <c r="D88" s="46">
        <v>311500</v>
      </c>
      <c r="E88" s="46">
        <v>2</v>
      </c>
      <c r="F88" s="52" t="s">
        <v>1734</v>
      </c>
      <c r="G88" s="46">
        <v>6</v>
      </c>
      <c r="H88" s="52" t="s">
        <v>1642</v>
      </c>
      <c r="I88" s="46"/>
      <c r="J88" s="46">
        <v>0</v>
      </c>
      <c r="K88" s="46"/>
      <c r="L88" s="52" t="s">
        <v>261</v>
      </c>
      <c r="M88" s="53">
        <v>4750000</v>
      </c>
      <c r="N88" s="46">
        <v>72</v>
      </c>
      <c r="O88" s="46">
        <v>0</v>
      </c>
      <c r="P88" s="46">
        <v>1</v>
      </c>
      <c r="Q88" s="52">
        <v>12</v>
      </c>
      <c r="R88" s="53">
        <v>112955</v>
      </c>
      <c r="S88" s="46">
        <v>1</v>
      </c>
      <c r="T88" s="53">
        <v>223750</v>
      </c>
      <c r="U88" s="53">
        <f t="shared" si="10"/>
        <v>59200</v>
      </c>
      <c r="V88" s="46">
        <v>1</v>
      </c>
      <c r="W88" s="53">
        <v>98560</v>
      </c>
      <c r="X88" s="46">
        <v>1</v>
      </c>
      <c r="Y88" s="46">
        <v>1</v>
      </c>
      <c r="Z88" s="54">
        <v>0.17695803669451099</v>
      </c>
      <c r="AA88" s="15">
        <f t="shared" si="7"/>
        <v>1.4746503057875917E-2</v>
      </c>
      <c r="AB88" s="15">
        <f t="shared" si="8"/>
        <v>0.17695803669451099</v>
      </c>
      <c r="AC88" t="b">
        <f t="shared" si="9"/>
        <v>1</v>
      </c>
    </row>
    <row r="89" spans="1:29" x14ac:dyDescent="0.25">
      <c r="A89" s="52" t="s">
        <v>259</v>
      </c>
      <c r="B89" s="46">
        <v>30013</v>
      </c>
      <c r="C89" s="47">
        <v>45755</v>
      </c>
      <c r="D89" s="46">
        <v>311500</v>
      </c>
      <c r="E89" s="46">
        <v>2</v>
      </c>
      <c r="F89" s="52" t="s">
        <v>1735</v>
      </c>
      <c r="G89" s="46">
        <v>6</v>
      </c>
      <c r="H89" s="52" t="s">
        <v>784</v>
      </c>
      <c r="I89" s="46"/>
      <c r="J89" s="46">
        <v>0</v>
      </c>
      <c r="K89" s="46"/>
      <c r="L89" s="52" t="s">
        <v>690</v>
      </c>
      <c r="M89" s="53">
        <v>4500000</v>
      </c>
      <c r="N89" s="46">
        <v>60</v>
      </c>
      <c r="O89" s="46">
        <v>0</v>
      </c>
      <c r="P89" s="46">
        <v>1</v>
      </c>
      <c r="Q89" s="52">
        <v>8</v>
      </c>
      <c r="R89" s="53">
        <v>133763</v>
      </c>
      <c r="S89" s="46">
        <v>1</v>
      </c>
      <c r="T89" s="53">
        <v>178750</v>
      </c>
      <c r="U89" s="53">
        <f t="shared" si="10"/>
        <v>56700</v>
      </c>
      <c r="V89" s="46">
        <v>1</v>
      </c>
      <c r="W89" s="53">
        <v>94535</v>
      </c>
      <c r="X89" s="46">
        <v>1</v>
      </c>
      <c r="Y89" s="46">
        <v>1</v>
      </c>
      <c r="Z89" s="54">
        <v>0.1325820598256266</v>
      </c>
      <c r="AA89" s="15">
        <f t="shared" si="7"/>
        <v>1.1048504985468884E-2</v>
      </c>
      <c r="AB89" s="15">
        <f t="shared" si="8"/>
        <v>0.1325820598256266</v>
      </c>
      <c r="AC89" t="b">
        <f t="shared" si="9"/>
        <v>1</v>
      </c>
    </row>
    <row r="90" spans="1:29" x14ac:dyDescent="0.25">
      <c r="A90" s="52" t="s">
        <v>259</v>
      </c>
      <c r="B90" s="46">
        <v>30013</v>
      </c>
      <c r="C90" s="47">
        <v>45755</v>
      </c>
      <c r="D90" s="46">
        <v>311500</v>
      </c>
      <c r="E90" s="46">
        <v>2</v>
      </c>
      <c r="F90" s="52" t="s">
        <v>1736</v>
      </c>
      <c r="G90" s="46">
        <v>6</v>
      </c>
      <c r="H90" s="52" t="s">
        <v>784</v>
      </c>
      <c r="I90" s="46"/>
      <c r="J90" s="46">
        <v>0</v>
      </c>
      <c r="K90" s="46"/>
      <c r="L90" s="52" t="s">
        <v>690</v>
      </c>
      <c r="M90" s="53">
        <v>3500000</v>
      </c>
      <c r="N90" s="46">
        <v>36</v>
      </c>
      <c r="O90" s="46">
        <v>0</v>
      </c>
      <c r="P90" s="46">
        <v>1</v>
      </c>
      <c r="Q90" s="52">
        <v>12</v>
      </c>
      <c r="R90" s="53">
        <v>104038</v>
      </c>
      <c r="S90" s="46">
        <v>1</v>
      </c>
      <c r="T90" s="53">
        <v>88750</v>
      </c>
      <c r="U90" s="53">
        <f t="shared" si="10"/>
        <v>46700</v>
      </c>
      <c r="V90" s="46">
        <v>1</v>
      </c>
      <c r="W90" s="53">
        <v>120078</v>
      </c>
      <c r="X90" s="46">
        <v>1</v>
      </c>
      <c r="Y90" s="46">
        <v>1</v>
      </c>
      <c r="Z90" s="54">
        <v>0.193396208359285</v>
      </c>
      <c r="AA90" s="15">
        <f t="shared" si="7"/>
        <v>1.6116350696607083E-2</v>
      </c>
      <c r="AB90" s="15">
        <f t="shared" si="8"/>
        <v>0.193396208359285</v>
      </c>
      <c r="AC90" t="b">
        <f t="shared" si="9"/>
        <v>1</v>
      </c>
    </row>
    <row r="91" spans="1:29" x14ac:dyDescent="0.25">
      <c r="A91" s="52" t="s">
        <v>259</v>
      </c>
      <c r="B91" s="46">
        <v>30013</v>
      </c>
      <c r="C91" s="47">
        <v>45755</v>
      </c>
      <c r="D91" s="46">
        <v>311500</v>
      </c>
      <c r="E91" s="46">
        <v>2</v>
      </c>
      <c r="F91" s="52" t="s">
        <v>1737</v>
      </c>
      <c r="G91" s="46">
        <v>6</v>
      </c>
      <c r="H91" s="52" t="s">
        <v>784</v>
      </c>
      <c r="I91" s="46"/>
      <c r="J91" s="46">
        <v>0</v>
      </c>
      <c r="K91" s="46"/>
      <c r="L91" s="52" t="s">
        <v>690</v>
      </c>
      <c r="M91" s="53">
        <v>2350000</v>
      </c>
      <c r="N91" s="46">
        <v>48</v>
      </c>
      <c r="O91" s="46">
        <v>0</v>
      </c>
      <c r="P91" s="46">
        <v>1</v>
      </c>
      <c r="Q91" s="52">
        <v>12</v>
      </c>
      <c r="R91" s="53">
        <v>69854</v>
      </c>
      <c r="S91" s="46">
        <v>1</v>
      </c>
      <c r="T91" s="53">
        <v>80500</v>
      </c>
      <c r="U91" s="53">
        <f t="shared" si="10"/>
        <v>35200</v>
      </c>
      <c r="V91" s="46">
        <v>1</v>
      </c>
      <c r="W91" s="53">
        <v>64534</v>
      </c>
      <c r="X91" s="46">
        <v>1</v>
      </c>
      <c r="Y91" s="46">
        <v>1</v>
      </c>
      <c r="Z91" s="54">
        <v>0.18839483350061725</v>
      </c>
      <c r="AA91" s="15">
        <f t="shared" si="7"/>
        <v>1.5699569458384771E-2</v>
      </c>
      <c r="AB91" s="15">
        <f t="shared" si="8"/>
        <v>0.18839483350061725</v>
      </c>
      <c r="AC91" t="b">
        <f t="shared" si="9"/>
        <v>1</v>
      </c>
    </row>
    <row r="92" spans="1:29" x14ac:dyDescent="0.25">
      <c r="A92" s="52" t="s">
        <v>259</v>
      </c>
      <c r="B92" s="46">
        <v>30013</v>
      </c>
      <c r="C92" s="47">
        <v>45755</v>
      </c>
      <c r="D92" s="46">
        <v>321300</v>
      </c>
      <c r="E92" s="46">
        <v>2</v>
      </c>
      <c r="F92" s="52" t="s">
        <v>1738</v>
      </c>
      <c r="G92" s="46">
        <v>6</v>
      </c>
      <c r="H92" s="52" t="s">
        <v>1642</v>
      </c>
      <c r="I92" s="46"/>
      <c r="J92" s="46">
        <v>0</v>
      </c>
      <c r="K92" s="46"/>
      <c r="L92" s="52" t="s">
        <v>231</v>
      </c>
      <c r="M92" s="53">
        <v>1780000</v>
      </c>
      <c r="N92" s="46">
        <v>24</v>
      </c>
      <c r="O92" s="46">
        <v>0</v>
      </c>
      <c r="P92" s="46">
        <v>1</v>
      </c>
      <c r="Q92" s="52">
        <v>8</v>
      </c>
      <c r="R92" s="53">
        <v>52911</v>
      </c>
      <c r="S92" s="46">
        <v>1</v>
      </c>
      <c r="T92" s="53">
        <v>36700</v>
      </c>
      <c r="U92" s="53">
        <f t="shared" si="10"/>
        <v>29500</v>
      </c>
      <c r="V92" s="46">
        <v>1</v>
      </c>
      <c r="W92" s="53">
        <v>81738</v>
      </c>
      <c r="X92" s="46">
        <v>1</v>
      </c>
      <c r="Y92" s="46">
        <v>1</v>
      </c>
      <c r="Z92" s="54">
        <v>0.16523063854625047</v>
      </c>
      <c r="AA92" s="15">
        <f t="shared" si="7"/>
        <v>1.3769219878854207E-2</v>
      </c>
      <c r="AB92" s="15">
        <f t="shared" si="8"/>
        <v>0.16523063854625047</v>
      </c>
      <c r="AC92" t="b">
        <f t="shared" si="9"/>
        <v>1</v>
      </c>
    </row>
    <row r="93" spans="1:29" x14ac:dyDescent="0.25">
      <c r="A93" s="52" t="s">
        <v>259</v>
      </c>
      <c r="B93" s="46">
        <v>30013</v>
      </c>
      <c r="C93" s="47">
        <v>45755</v>
      </c>
      <c r="D93" s="46">
        <v>321300</v>
      </c>
      <c r="E93" s="46">
        <v>2</v>
      </c>
      <c r="F93" s="52" t="s">
        <v>1739</v>
      </c>
      <c r="G93" s="46">
        <v>6</v>
      </c>
      <c r="H93" s="52" t="s">
        <v>1642</v>
      </c>
      <c r="I93" s="46"/>
      <c r="J93" s="46">
        <v>0</v>
      </c>
      <c r="K93" s="46"/>
      <c r="L93" s="52" t="s">
        <v>231</v>
      </c>
      <c r="M93" s="53">
        <v>5200000</v>
      </c>
      <c r="N93" s="46">
        <v>24</v>
      </c>
      <c r="O93" s="46">
        <v>0</v>
      </c>
      <c r="P93" s="46">
        <v>1</v>
      </c>
      <c r="Q93" s="52">
        <v>8</v>
      </c>
      <c r="R93" s="53">
        <v>0</v>
      </c>
      <c r="S93" s="46">
        <v>1</v>
      </c>
      <c r="T93" s="53">
        <v>0</v>
      </c>
      <c r="U93" s="53">
        <f t="shared" si="10"/>
        <v>63700</v>
      </c>
      <c r="V93" s="46">
        <v>1</v>
      </c>
      <c r="W93" s="53">
        <v>239541</v>
      </c>
      <c r="X93" s="46">
        <v>1</v>
      </c>
      <c r="Y93" s="46">
        <v>1</v>
      </c>
      <c r="Z93" s="54">
        <v>0.11062538875084121</v>
      </c>
      <c r="AA93" s="15">
        <f t="shared" si="7"/>
        <v>9.2187823959034351E-3</v>
      </c>
      <c r="AB93" s="15">
        <f t="shared" si="8"/>
        <v>0.11062538875084121</v>
      </c>
      <c r="AC93" t="b">
        <f t="shared" si="9"/>
        <v>1</v>
      </c>
    </row>
    <row r="94" spans="1:29" x14ac:dyDescent="0.25">
      <c r="A94" s="52" t="s">
        <v>259</v>
      </c>
      <c r="B94" s="46">
        <v>30013</v>
      </c>
      <c r="C94" s="47">
        <v>45755</v>
      </c>
      <c r="D94" s="46">
        <v>311500</v>
      </c>
      <c r="E94" s="46">
        <v>2</v>
      </c>
      <c r="F94" s="52" t="s">
        <v>1740</v>
      </c>
      <c r="G94" s="46">
        <v>6</v>
      </c>
      <c r="H94" s="52" t="s">
        <v>1642</v>
      </c>
      <c r="I94" s="46"/>
      <c r="J94" s="46">
        <v>0</v>
      </c>
      <c r="K94" s="46"/>
      <c r="L94" s="52" t="s">
        <v>266</v>
      </c>
      <c r="M94" s="53">
        <v>5000000</v>
      </c>
      <c r="N94" s="46">
        <v>48</v>
      </c>
      <c r="O94" s="46">
        <v>0</v>
      </c>
      <c r="P94" s="46">
        <v>1</v>
      </c>
      <c r="Q94" s="52">
        <v>11</v>
      </c>
      <c r="R94" s="53">
        <v>40723</v>
      </c>
      <c r="S94" s="46">
        <v>1</v>
      </c>
      <c r="T94" s="53">
        <v>0</v>
      </c>
      <c r="U94" s="53">
        <f t="shared" si="10"/>
        <v>61700</v>
      </c>
      <c r="V94" s="46">
        <v>1</v>
      </c>
      <c r="W94" s="53">
        <v>134919</v>
      </c>
      <c r="X94" s="46">
        <v>1</v>
      </c>
      <c r="Y94" s="46">
        <v>1</v>
      </c>
      <c r="Z94" s="54">
        <v>0.14440805797790571</v>
      </c>
      <c r="AA94" s="15">
        <f t="shared" si="7"/>
        <v>1.2034004831492142E-2</v>
      </c>
      <c r="AB94" s="15">
        <f t="shared" si="8"/>
        <v>0.14440805797790571</v>
      </c>
      <c r="AC94" t="b">
        <f t="shared" si="9"/>
        <v>1</v>
      </c>
    </row>
    <row r="95" spans="1:29" x14ac:dyDescent="0.25">
      <c r="A95" s="52" t="s">
        <v>259</v>
      </c>
      <c r="B95" s="46">
        <v>30013</v>
      </c>
      <c r="C95" s="47">
        <v>45755</v>
      </c>
      <c r="D95" s="46">
        <v>311500</v>
      </c>
      <c r="E95" s="46">
        <v>2</v>
      </c>
      <c r="F95" s="52" t="s">
        <v>1741</v>
      </c>
      <c r="G95" s="46">
        <v>6</v>
      </c>
      <c r="H95" s="52" t="s">
        <v>1642</v>
      </c>
      <c r="I95" s="46"/>
      <c r="J95" s="46">
        <v>0</v>
      </c>
      <c r="K95" s="46"/>
      <c r="L95" s="52" t="s">
        <v>716</v>
      </c>
      <c r="M95" s="53">
        <v>4700000</v>
      </c>
      <c r="N95" s="46">
        <v>48</v>
      </c>
      <c r="O95" s="46">
        <v>0</v>
      </c>
      <c r="P95" s="46">
        <v>1</v>
      </c>
      <c r="Q95" s="52">
        <v>8</v>
      </c>
      <c r="R95" s="53">
        <v>40723</v>
      </c>
      <c r="S95" s="46">
        <v>1</v>
      </c>
      <c r="T95" s="53">
        <v>0</v>
      </c>
      <c r="U95" s="53">
        <f t="shared" si="10"/>
        <v>58700</v>
      </c>
      <c r="V95" s="46">
        <v>1</v>
      </c>
      <c r="W95" s="53">
        <v>118480</v>
      </c>
      <c r="X95" s="46">
        <v>1</v>
      </c>
      <c r="Y95" s="46">
        <v>1</v>
      </c>
      <c r="Z95" s="54">
        <v>0.10809879248745151</v>
      </c>
      <c r="AA95" s="15">
        <f t="shared" si="7"/>
        <v>9.0082327072876257E-3</v>
      </c>
      <c r="AB95" s="15">
        <f t="shared" si="8"/>
        <v>0.10809879248745151</v>
      </c>
      <c r="AC95" t="b">
        <f t="shared" si="9"/>
        <v>1</v>
      </c>
    </row>
    <row r="96" spans="1:29" x14ac:dyDescent="0.25">
      <c r="A96" s="52" t="s">
        <v>259</v>
      </c>
      <c r="B96" s="46">
        <v>30013</v>
      </c>
      <c r="C96" s="47">
        <v>45755</v>
      </c>
      <c r="D96" s="46">
        <v>321600</v>
      </c>
      <c r="E96" s="46">
        <v>2</v>
      </c>
      <c r="F96" s="52" t="s">
        <v>1742</v>
      </c>
      <c r="G96" s="46">
        <v>6</v>
      </c>
      <c r="H96" s="52" t="s">
        <v>1650</v>
      </c>
      <c r="I96" s="46"/>
      <c r="J96" s="46">
        <v>0</v>
      </c>
      <c r="K96" s="46"/>
      <c r="L96" s="52" t="s">
        <v>690</v>
      </c>
      <c r="M96" s="53">
        <v>700000</v>
      </c>
      <c r="N96" s="46">
        <v>12</v>
      </c>
      <c r="O96" s="46">
        <v>0</v>
      </c>
      <c r="P96" s="46">
        <v>1</v>
      </c>
      <c r="Q96" s="52">
        <v>10</v>
      </c>
      <c r="R96" s="53">
        <v>0</v>
      </c>
      <c r="S96" s="46">
        <v>1</v>
      </c>
      <c r="T96" s="53">
        <v>0</v>
      </c>
      <c r="U96" s="53">
        <v>21700</v>
      </c>
      <c r="V96" s="46">
        <v>1</v>
      </c>
      <c r="W96" s="53">
        <v>62404</v>
      </c>
      <c r="X96" s="46">
        <v>1</v>
      </c>
      <c r="Y96" s="46">
        <v>1</v>
      </c>
      <c r="Z96" s="54">
        <v>0.18673005651203092</v>
      </c>
      <c r="AA96" s="15">
        <f t="shared" si="7"/>
        <v>1.5560838042669244E-2</v>
      </c>
      <c r="AB96" s="15">
        <f t="shared" si="8"/>
        <v>0.18673005651203092</v>
      </c>
      <c r="AC96" t="b">
        <f t="shared" si="9"/>
        <v>1</v>
      </c>
    </row>
    <row r="97" spans="1:29" x14ac:dyDescent="0.25">
      <c r="A97" s="52" t="s">
        <v>259</v>
      </c>
      <c r="B97" s="46">
        <v>30013</v>
      </c>
      <c r="C97" s="47">
        <v>45755</v>
      </c>
      <c r="D97" s="46">
        <v>311730</v>
      </c>
      <c r="E97" s="46">
        <v>2</v>
      </c>
      <c r="F97" s="52" t="s">
        <v>1743</v>
      </c>
      <c r="G97" s="46">
        <v>6</v>
      </c>
      <c r="H97" s="52" t="s">
        <v>784</v>
      </c>
      <c r="I97" s="46"/>
      <c r="J97" s="46">
        <v>0</v>
      </c>
      <c r="K97" s="46"/>
      <c r="L97" s="52" t="s">
        <v>261</v>
      </c>
      <c r="M97" s="55">
        <v>922093</v>
      </c>
      <c r="N97" s="46">
        <v>12</v>
      </c>
      <c r="O97" s="46">
        <v>0</v>
      </c>
      <c r="P97" s="46">
        <v>1</v>
      </c>
      <c r="Q97" s="52">
        <v>11</v>
      </c>
      <c r="R97" s="55">
        <v>0</v>
      </c>
      <c r="S97" s="46">
        <v>1</v>
      </c>
      <c r="T97" s="55">
        <v>16916</v>
      </c>
      <c r="U97" s="55">
        <v>21700</v>
      </c>
      <c r="V97" s="46">
        <v>1</v>
      </c>
      <c r="W97" s="55">
        <v>82393</v>
      </c>
      <c r="X97" s="46">
        <v>1</v>
      </c>
      <c r="Y97" s="46">
        <v>1</v>
      </c>
      <c r="Z97" s="54">
        <v>0.21304395351716093</v>
      </c>
      <c r="AA97" s="15">
        <f t="shared" si="7"/>
        <v>1.7753662793096744E-2</v>
      </c>
      <c r="AB97" s="15">
        <f t="shared" si="8"/>
        <v>0.21304395351716093</v>
      </c>
      <c r="AC97" t="b">
        <f t="shared" si="9"/>
        <v>1</v>
      </c>
    </row>
    <row r="98" spans="1:29" x14ac:dyDescent="0.25">
      <c r="A98" s="52" t="s">
        <v>259</v>
      </c>
      <c r="B98" s="46">
        <v>30013</v>
      </c>
      <c r="C98" s="47">
        <v>45755</v>
      </c>
      <c r="D98" s="46">
        <v>311500</v>
      </c>
      <c r="E98" s="46">
        <v>2</v>
      </c>
      <c r="F98" s="52" t="s">
        <v>1744</v>
      </c>
      <c r="G98" s="46">
        <v>6</v>
      </c>
      <c r="H98" s="52" t="s">
        <v>784</v>
      </c>
      <c r="I98" s="46"/>
      <c r="J98" s="46">
        <v>0</v>
      </c>
      <c r="K98" s="46"/>
      <c r="L98" s="52" t="s">
        <v>690</v>
      </c>
      <c r="M98" s="53">
        <v>4300000</v>
      </c>
      <c r="N98" s="46">
        <v>48</v>
      </c>
      <c r="O98" s="46">
        <v>0</v>
      </c>
      <c r="P98" s="46">
        <v>1</v>
      </c>
      <c r="Q98" s="52">
        <v>8</v>
      </c>
      <c r="R98" s="53">
        <v>127818</v>
      </c>
      <c r="S98" s="46">
        <v>1</v>
      </c>
      <c r="T98" s="53">
        <v>139000</v>
      </c>
      <c r="U98" s="53">
        <f t="shared" ref="U98:U117" si="11">M98/100+11700</f>
        <v>54700</v>
      </c>
      <c r="V98" s="46">
        <v>1</v>
      </c>
      <c r="W98" s="53">
        <v>108054</v>
      </c>
      <c r="X98" s="46">
        <v>1</v>
      </c>
      <c r="Y98" s="46">
        <v>1</v>
      </c>
      <c r="Z98" s="54">
        <v>0.13666756362445195</v>
      </c>
      <c r="AA98" s="15">
        <f t="shared" si="7"/>
        <v>1.1388963635370996E-2</v>
      </c>
      <c r="AB98" s="15">
        <f t="shared" si="8"/>
        <v>0.13666756362445195</v>
      </c>
      <c r="AC98" t="b">
        <f t="shared" si="9"/>
        <v>1</v>
      </c>
    </row>
    <row r="99" spans="1:29" x14ac:dyDescent="0.25">
      <c r="A99" s="52" t="s">
        <v>259</v>
      </c>
      <c r="B99" s="46">
        <v>30013</v>
      </c>
      <c r="C99" s="47">
        <v>45756</v>
      </c>
      <c r="D99" s="46">
        <v>311500</v>
      </c>
      <c r="E99" s="46">
        <v>2</v>
      </c>
      <c r="F99" s="52" t="s">
        <v>1745</v>
      </c>
      <c r="G99" s="46">
        <v>6</v>
      </c>
      <c r="H99" s="52" t="s">
        <v>784</v>
      </c>
      <c r="I99" s="46"/>
      <c r="J99" s="46">
        <v>0</v>
      </c>
      <c r="K99" s="46"/>
      <c r="L99" s="52" t="s">
        <v>261</v>
      </c>
      <c r="M99" s="53">
        <v>5600000</v>
      </c>
      <c r="N99" s="46">
        <v>72</v>
      </c>
      <c r="O99" s="46">
        <v>0</v>
      </c>
      <c r="P99" s="46">
        <v>1</v>
      </c>
      <c r="Q99" s="52">
        <v>10</v>
      </c>
      <c r="R99" s="53">
        <v>99876</v>
      </c>
      <c r="S99" s="46">
        <v>1</v>
      </c>
      <c r="T99" s="53">
        <v>262000</v>
      </c>
      <c r="U99" s="53">
        <f t="shared" si="11"/>
        <v>67700</v>
      </c>
      <c r="V99" s="46">
        <v>1</v>
      </c>
      <c r="W99" s="53">
        <v>109161</v>
      </c>
      <c r="X99" s="46">
        <v>1</v>
      </c>
      <c r="Y99" s="46">
        <v>1</v>
      </c>
      <c r="Z99" s="54">
        <v>0.14940255890748361</v>
      </c>
      <c r="AA99" s="15">
        <f t="shared" si="7"/>
        <v>1.2450213242290301E-2</v>
      </c>
      <c r="AB99" s="15">
        <f t="shared" si="8"/>
        <v>0.14940255890748361</v>
      </c>
      <c r="AC99" t="b">
        <f t="shared" si="9"/>
        <v>1</v>
      </c>
    </row>
    <row r="100" spans="1:29" x14ac:dyDescent="0.25">
      <c r="A100" s="52" t="s">
        <v>259</v>
      </c>
      <c r="B100" s="46">
        <v>30013</v>
      </c>
      <c r="C100" s="47">
        <v>45756</v>
      </c>
      <c r="D100" s="46">
        <v>311500</v>
      </c>
      <c r="E100" s="46">
        <v>2</v>
      </c>
      <c r="F100" s="52" t="s">
        <v>1746</v>
      </c>
      <c r="G100" s="46">
        <v>6</v>
      </c>
      <c r="H100" s="52" t="s">
        <v>784</v>
      </c>
      <c r="I100" s="46"/>
      <c r="J100" s="46">
        <v>0</v>
      </c>
      <c r="K100" s="46"/>
      <c r="L100" s="52" t="s">
        <v>261</v>
      </c>
      <c r="M100" s="53">
        <v>4750000</v>
      </c>
      <c r="N100" s="46">
        <v>72</v>
      </c>
      <c r="O100" s="46">
        <v>0</v>
      </c>
      <c r="P100" s="46">
        <v>1</v>
      </c>
      <c r="Q100" s="52">
        <v>12</v>
      </c>
      <c r="R100" s="53">
        <v>84716</v>
      </c>
      <c r="S100" s="46">
        <v>1</v>
      </c>
      <c r="T100" s="53">
        <v>223750</v>
      </c>
      <c r="U100" s="53">
        <f t="shared" si="11"/>
        <v>59200</v>
      </c>
      <c r="V100" s="46">
        <v>1</v>
      </c>
      <c r="W100" s="53">
        <v>98560</v>
      </c>
      <c r="X100" s="46">
        <v>1</v>
      </c>
      <c r="Y100" s="46">
        <v>1</v>
      </c>
      <c r="Z100" s="54">
        <v>0.17436328038089147</v>
      </c>
      <c r="AA100" s="15">
        <f t="shared" si="7"/>
        <v>1.4530273365074288E-2</v>
      </c>
      <c r="AB100" s="15">
        <f t="shared" si="8"/>
        <v>0.17436328038089147</v>
      </c>
      <c r="AC100" t="b">
        <f t="shared" si="9"/>
        <v>1</v>
      </c>
    </row>
    <row r="101" spans="1:29" x14ac:dyDescent="0.25">
      <c r="A101" s="52" t="s">
        <v>259</v>
      </c>
      <c r="B101" s="46">
        <v>30013</v>
      </c>
      <c r="C101" s="47">
        <v>45756</v>
      </c>
      <c r="D101" s="46">
        <v>311500</v>
      </c>
      <c r="E101" s="46">
        <v>2</v>
      </c>
      <c r="F101" s="52" t="s">
        <v>1747</v>
      </c>
      <c r="G101" s="46">
        <v>6</v>
      </c>
      <c r="H101" s="52" t="s">
        <v>784</v>
      </c>
      <c r="I101" s="46"/>
      <c r="J101" s="46">
        <v>0</v>
      </c>
      <c r="K101" s="46"/>
      <c r="L101" s="52" t="s">
        <v>1748</v>
      </c>
      <c r="M101" s="53">
        <v>1600000</v>
      </c>
      <c r="N101" s="46">
        <v>48</v>
      </c>
      <c r="O101" s="46">
        <v>0</v>
      </c>
      <c r="P101" s="46">
        <v>1</v>
      </c>
      <c r="Q101" s="52">
        <v>13</v>
      </c>
      <c r="R101" s="53">
        <v>47560</v>
      </c>
      <c r="S101" s="46">
        <v>1</v>
      </c>
      <c r="T101" s="53">
        <v>58000</v>
      </c>
      <c r="U101" s="53">
        <f t="shared" si="11"/>
        <v>27700</v>
      </c>
      <c r="V101" s="46">
        <v>1</v>
      </c>
      <c r="W101" s="53">
        <v>44901</v>
      </c>
      <c r="X101" s="46">
        <v>1</v>
      </c>
      <c r="Y101" s="46">
        <v>1</v>
      </c>
      <c r="Z101" s="54">
        <v>0.20341835536588976</v>
      </c>
      <c r="AA101" s="15">
        <f t="shared" si="7"/>
        <v>1.6951529613824148E-2</v>
      </c>
      <c r="AB101" s="15">
        <f t="shared" si="8"/>
        <v>0.20341835536588976</v>
      </c>
      <c r="AC101" t="b">
        <f t="shared" si="9"/>
        <v>1</v>
      </c>
    </row>
    <row r="102" spans="1:29" x14ac:dyDescent="0.25">
      <c r="A102" s="52" t="s">
        <v>259</v>
      </c>
      <c r="B102" s="46">
        <v>30013</v>
      </c>
      <c r="C102" s="47">
        <v>45756</v>
      </c>
      <c r="D102" s="46">
        <v>311500</v>
      </c>
      <c r="E102" s="46">
        <v>2</v>
      </c>
      <c r="F102" s="52" t="s">
        <v>723</v>
      </c>
      <c r="G102" s="46">
        <v>6</v>
      </c>
      <c r="H102" s="52" t="s">
        <v>784</v>
      </c>
      <c r="I102" s="46"/>
      <c r="J102" s="46">
        <v>0</v>
      </c>
      <c r="K102" s="46"/>
      <c r="L102" s="52" t="s">
        <v>270</v>
      </c>
      <c r="M102" s="53">
        <v>4500000</v>
      </c>
      <c r="N102" s="46">
        <v>72</v>
      </c>
      <c r="O102" s="46">
        <v>0</v>
      </c>
      <c r="P102" s="46">
        <v>1</v>
      </c>
      <c r="Q102" s="52">
        <v>12</v>
      </c>
      <c r="R102" s="53">
        <v>80258</v>
      </c>
      <c r="S102" s="46">
        <v>1</v>
      </c>
      <c r="T102" s="53">
        <v>212500</v>
      </c>
      <c r="U102" s="53">
        <f t="shared" si="11"/>
        <v>56700</v>
      </c>
      <c r="V102" s="46">
        <v>1</v>
      </c>
      <c r="W102" s="53">
        <v>93373</v>
      </c>
      <c r="X102" s="46">
        <v>1</v>
      </c>
      <c r="Y102" s="46">
        <v>1</v>
      </c>
      <c r="Z102" s="54">
        <v>0.17447520097305438</v>
      </c>
      <c r="AA102" s="15">
        <f t="shared" si="7"/>
        <v>1.4539600081087865E-2</v>
      </c>
      <c r="AB102" s="15">
        <f t="shared" si="8"/>
        <v>0.17447520097305438</v>
      </c>
      <c r="AC102" t="b">
        <f t="shared" si="9"/>
        <v>1</v>
      </c>
    </row>
    <row r="103" spans="1:29" x14ac:dyDescent="0.25">
      <c r="A103" s="52" t="s">
        <v>259</v>
      </c>
      <c r="B103" s="46">
        <v>30013</v>
      </c>
      <c r="C103" s="47">
        <v>45756</v>
      </c>
      <c r="D103" s="46">
        <v>311500</v>
      </c>
      <c r="E103" s="46">
        <v>2</v>
      </c>
      <c r="F103" s="52" t="s">
        <v>1749</v>
      </c>
      <c r="G103" s="46">
        <v>6</v>
      </c>
      <c r="H103" s="52" t="s">
        <v>784</v>
      </c>
      <c r="I103" s="46"/>
      <c r="J103" s="46">
        <v>0</v>
      </c>
      <c r="K103" s="46"/>
      <c r="L103" s="52" t="s">
        <v>261</v>
      </c>
      <c r="M103" s="53">
        <v>2125000</v>
      </c>
      <c r="N103" s="46">
        <v>48</v>
      </c>
      <c r="O103" s="46">
        <v>0</v>
      </c>
      <c r="P103" s="46">
        <v>1</v>
      </c>
      <c r="Q103" s="52">
        <v>12</v>
      </c>
      <c r="R103" s="53">
        <v>63166</v>
      </c>
      <c r="S103" s="46">
        <v>1</v>
      </c>
      <c r="T103" s="53">
        <v>73750</v>
      </c>
      <c r="U103" s="53">
        <f t="shared" si="11"/>
        <v>32950</v>
      </c>
      <c r="V103" s="46">
        <v>1</v>
      </c>
      <c r="W103" s="53">
        <v>58355</v>
      </c>
      <c r="X103" s="46">
        <v>1</v>
      </c>
      <c r="Y103" s="46">
        <v>1</v>
      </c>
      <c r="Z103" s="54">
        <v>0.18899400522452439</v>
      </c>
      <c r="AA103" s="15">
        <f t="shared" si="7"/>
        <v>1.5749500435377033E-2</v>
      </c>
      <c r="AB103" s="15">
        <f t="shared" si="8"/>
        <v>0.18899400522452439</v>
      </c>
      <c r="AC103" t="b">
        <f t="shared" si="9"/>
        <v>1</v>
      </c>
    </row>
    <row r="104" spans="1:29" x14ac:dyDescent="0.25">
      <c r="A104" s="52" t="s">
        <v>259</v>
      </c>
      <c r="B104" s="46">
        <v>30013</v>
      </c>
      <c r="C104" s="47">
        <v>45756</v>
      </c>
      <c r="D104" s="46">
        <v>311500</v>
      </c>
      <c r="E104" s="46">
        <v>2</v>
      </c>
      <c r="F104" s="52" t="s">
        <v>1750</v>
      </c>
      <c r="G104" s="46">
        <v>6</v>
      </c>
      <c r="H104" s="52" t="s">
        <v>1642</v>
      </c>
      <c r="I104" s="46"/>
      <c r="J104" s="46">
        <v>0</v>
      </c>
      <c r="K104" s="46"/>
      <c r="L104" s="52" t="s">
        <v>261</v>
      </c>
      <c r="M104" s="53">
        <v>3500000</v>
      </c>
      <c r="N104" s="46">
        <v>36</v>
      </c>
      <c r="O104" s="46">
        <v>0</v>
      </c>
      <c r="P104" s="46">
        <v>1</v>
      </c>
      <c r="Q104" s="52">
        <v>12</v>
      </c>
      <c r="R104" s="53">
        <v>62423</v>
      </c>
      <c r="S104" s="46">
        <v>1</v>
      </c>
      <c r="T104" s="53">
        <v>88750</v>
      </c>
      <c r="U104" s="53">
        <f t="shared" si="11"/>
        <v>46700</v>
      </c>
      <c r="V104" s="46">
        <v>1</v>
      </c>
      <c r="W104" s="53">
        <v>120078</v>
      </c>
      <c r="X104" s="46">
        <v>1</v>
      </c>
      <c r="Y104" s="46">
        <v>1</v>
      </c>
      <c r="Z104" s="54">
        <v>0.18420790084672645</v>
      </c>
      <c r="AA104" s="15">
        <f t="shared" si="7"/>
        <v>1.5350658403893871E-2</v>
      </c>
      <c r="AB104" s="15">
        <f t="shared" si="8"/>
        <v>0.18420790084672645</v>
      </c>
      <c r="AC104" t="b">
        <f t="shared" si="9"/>
        <v>1</v>
      </c>
    </row>
    <row r="105" spans="1:29" x14ac:dyDescent="0.25">
      <c r="A105" s="52" t="s">
        <v>259</v>
      </c>
      <c r="B105" s="46">
        <v>30013</v>
      </c>
      <c r="C105" s="47">
        <v>45756</v>
      </c>
      <c r="D105" s="46">
        <v>311500</v>
      </c>
      <c r="E105" s="46">
        <v>2</v>
      </c>
      <c r="F105" s="52" t="s">
        <v>1751</v>
      </c>
      <c r="G105" s="46">
        <v>6</v>
      </c>
      <c r="H105" s="52" t="s">
        <v>784</v>
      </c>
      <c r="I105" s="46"/>
      <c r="J105" s="46">
        <v>0</v>
      </c>
      <c r="K105" s="46"/>
      <c r="L105" s="52" t="s">
        <v>270</v>
      </c>
      <c r="M105" s="53">
        <v>6700000</v>
      </c>
      <c r="N105" s="46">
        <v>72</v>
      </c>
      <c r="O105" s="46">
        <v>0</v>
      </c>
      <c r="P105" s="46">
        <v>1</v>
      </c>
      <c r="Q105" s="52">
        <v>8</v>
      </c>
      <c r="R105" s="53">
        <v>119495</v>
      </c>
      <c r="S105" s="46">
        <v>1</v>
      </c>
      <c r="T105" s="53">
        <v>311500</v>
      </c>
      <c r="U105" s="53">
        <f t="shared" si="11"/>
        <v>78700</v>
      </c>
      <c r="V105" s="46">
        <v>1</v>
      </c>
      <c r="W105" s="53">
        <v>122481</v>
      </c>
      <c r="X105" s="46">
        <v>1</v>
      </c>
      <c r="Y105" s="46">
        <v>1</v>
      </c>
      <c r="Z105" s="54">
        <v>0.12451808584804544</v>
      </c>
      <c r="AA105" s="15">
        <f t="shared" si="7"/>
        <v>1.0376507154003787E-2</v>
      </c>
      <c r="AB105" s="15">
        <f t="shared" si="8"/>
        <v>0.12451808584804544</v>
      </c>
      <c r="AC105" t="b">
        <f t="shared" si="9"/>
        <v>1</v>
      </c>
    </row>
    <row r="106" spans="1:29" x14ac:dyDescent="0.25">
      <c r="A106" s="52" t="s">
        <v>259</v>
      </c>
      <c r="B106" s="46">
        <v>30013</v>
      </c>
      <c r="C106" s="47">
        <v>45756</v>
      </c>
      <c r="D106" s="46">
        <v>311500</v>
      </c>
      <c r="E106" s="46">
        <v>2</v>
      </c>
      <c r="F106" s="52" t="s">
        <v>1752</v>
      </c>
      <c r="G106" s="46">
        <v>6</v>
      </c>
      <c r="H106" s="52" t="s">
        <v>784</v>
      </c>
      <c r="I106" s="46"/>
      <c r="J106" s="46">
        <v>0</v>
      </c>
      <c r="K106" s="46"/>
      <c r="L106" s="52" t="s">
        <v>261</v>
      </c>
      <c r="M106" s="53">
        <v>5100000</v>
      </c>
      <c r="N106" s="46">
        <v>60</v>
      </c>
      <c r="O106" s="46">
        <v>0</v>
      </c>
      <c r="P106" s="46">
        <v>1</v>
      </c>
      <c r="Q106" s="52">
        <v>12</v>
      </c>
      <c r="R106" s="53">
        <v>151598</v>
      </c>
      <c r="S106" s="46">
        <v>1</v>
      </c>
      <c r="T106" s="53">
        <v>201250</v>
      </c>
      <c r="U106" s="53">
        <f t="shared" si="11"/>
        <v>62700</v>
      </c>
      <c r="V106" s="46">
        <v>1</v>
      </c>
      <c r="W106" s="53">
        <v>119378</v>
      </c>
      <c r="X106" s="46">
        <v>1</v>
      </c>
      <c r="Y106" s="46">
        <v>1</v>
      </c>
      <c r="Z106" s="54">
        <v>0.18166109772537459</v>
      </c>
      <c r="AA106" s="15">
        <f t="shared" si="7"/>
        <v>1.5138424810447882E-2</v>
      </c>
      <c r="AB106" s="15">
        <f t="shared" si="8"/>
        <v>0.18166109772537459</v>
      </c>
      <c r="AC106" t="b">
        <f t="shared" si="9"/>
        <v>1</v>
      </c>
    </row>
    <row r="107" spans="1:29" x14ac:dyDescent="0.25">
      <c r="A107" s="52" t="s">
        <v>259</v>
      </c>
      <c r="B107" s="46">
        <v>30013</v>
      </c>
      <c r="C107" s="47">
        <v>45756</v>
      </c>
      <c r="D107" s="46">
        <v>311500</v>
      </c>
      <c r="E107" s="46">
        <v>2</v>
      </c>
      <c r="F107" s="52" t="s">
        <v>1753</v>
      </c>
      <c r="G107" s="46">
        <v>6</v>
      </c>
      <c r="H107" s="52" t="s">
        <v>784</v>
      </c>
      <c r="I107" s="46"/>
      <c r="J107" s="46">
        <v>0</v>
      </c>
      <c r="K107" s="46"/>
      <c r="L107" s="52" t="s">
        <v>700</v>
      </c>
      <c r="M107" s="53">
        <v>5050000</v>
      </c>
      <c r="N107" s="46">
        <v>72</v>
      </c>
      <c r="O107" s="46">
        <v>0</v>
      </c>
      <c r="P107" s="46">
        <v>1</v>
      </c>
      <c r="Q107" s="52">
        <v>12</v>
      </c>
      <c r="R107" s="53">
        <v>90067</v>
      </c>
      <c r="S107" s="46">
        <v>1</v>
      </c>
      <c r="T107" s="53">
        <v>237250</v>
      </c>
      <c r="U107" s="53">
        <f t="shared" si="11"/>
        <v>62200</v>
      </c>
      <c r="V107" s="46">
        <v>1</v>
      </c>
      <c r="W107" s="53">
        <v>104785</v>
      </c>
      <c r="X107" s="46">
        <v>1</v>
      </c>
      <c r="Y107" s="46">
        <v>1</v>
      </c>
      <c r="Z107" s="54">
        <v>0.17424606776657123</v>
      </c>
      <c r="AA107" s="15">
        <f t="shared" si="7"/>
        <v>1.452050564721427E-2</v>
      </c>
      <c r="AB107" s="15">
        <f t="shared" si="8"/>
        <v>0.17424606776657123</v>
      </c>
      <c r="AC107" t="b">
        <f t="shared" si="9"/>
        <v>1</v>
      </c>
    </row>
    <row r="108" spans="1:29" x14ac:dyDescent="0.25">
      <c r="A108" s="52" t="s">
        <v>259</v>
      </c>
      <c r="B108" s="46">
        <v>30013</v>
      </c>
      <c r="C108" s="47">
        <v>45756</v>
      </c>
      <c r="D108" s="46">
        <v>311500</v>
      </c>
      <c r="E108" s="46">
        <v>2</v>
      </c>
      <c r="F108" s="52" t="s">
        <v>1754</v>
      </c>
      <c r="G108" s="46">
        <v>6</v>
      </c>
      <c r="H108" s="52" t="s">
        <v>784</v>
      </c>
      <c r="I108" s="46"/>
      <c r="J108" s="46">
        <v>0</v>
      </c>
      <c r="K108" s="46"/>
      <c r="L108" s="52" t="s">
        <v>691</v>
      </c>
      <c r="M108" s="53">
        <v>2300000</v>
      </c>
      <c r="N108" s="46">
        <v>48</v>
      </c>
      <c r="O108" s="46">
        <v>0</v>
      </c>
      <c r="P108" s="46">
        <v>1</v>
      </c>
      <c r="Q108" s="52">
        <v>12</v>
      </c>
      <c r="R108" s="53">
        <v>68368</v>
      </c>
      <c r="S108" s="46">
        <v>1</v>
      </c>
      <c r="T108" s="53">
        <v>79000</v>
      </c>
      <c r="U108" s="53">
        <f t="shared" si="11"/>
        <v>34700</v>
      </c>
      <c r="V108" s="46">
        <v>1</v>
      </c>
      <c r="W108" s="53">
        <v>63161</v>
      </c>
      <c r="X108" s="46">
        <v>1</v>
      </c>
      <c r="Y108" s="46">
        <v>1</v>
      </c>
      <c r="Z108" s="54">
        <v>0.18851883154649757</v>
      </c>
      <c r="AA108" s="15">
        <f t="shared" si="7"/>
        <v>1.5709902628874797E-2</v>
      </c>
      <c r="AB108" s="15">
        <f t="shared" si="8"/>
        <v>0.18851883154649757</v>
      </c>
      <c r="AC108" t="b">
        <f t="shared" si="9"/>
        <v>1</v>
      </c>
    </row>
    <row r="109" spans="1:29" x14ac:dyDescent="0.25">
      <c r="A109" s="52" t="s">
        <v>259</v>
      </c>
      <c r="B109" s="46">
        <v>30013</v>
      </c>
      <c r="C109" s="47">
        <v>45756</v>
      </c>
      <c r="D109" s="46">
        <v>311500</v>
      </c>
      <c r="E109" s="46">
        <v>2</v>
      </c>
      <c r="F109" s="52" t="s">
        <v>1755</v>
      </c>
      <c r="G109" s="46">
        <v>6</v>
      </c>
      <c r="H109" s="52" t="s">
        <v>784</v>
      </c>
      <c r="I109" s="46"/>
      <c r="J109" s="46">
        <v>0</v>
      </c>
      <c r="K109" s="46"/>
      <c r="L109" s="52" t="s">
        <v>261</v>
      </c>
      <c r="M109" s="53">
        <v>1500000</v>
      </c>
      <c r="N109" s="46">
        <v>48</v>
      </c>
      <c r="O109" s="46">
        <v>0</v>
      </c>
      <c r="P109" s="46">
        <v>1</v>
      </c>
      <c r="Q109" s="52">
        <v>12</v>
      </c>
      <c r="R109" s="53">
        <v>44588</v>
      </c>
      <c r="S109" s="46">
        <v>1</v>
      </c>
      <c r="T109" s="53">
        <v>55000</v>
      </c>
      <c r="U109" s="53">
        <f t="shared" si="11"/>
        <v>26700</v>
      </c>
      <c r="V109" s="46">
        <v>1</v>
      </c>
      <c r="W109" s="53">
        <v>41192</v>
      </c>
      <c r="X109" s="46">
        <v>1</v>
      </c>
      <c r="Y109" s="46">
        <v>1</v>
      </c>
      <c r="Z109" s="54">
        <v>0.19162446506379321</v>
      </c>
      <c r="AA109" s="15">
        <f t="shared" si="7"/>
        <v>1.5968705421982768E-2</v>
      </c>
      <c r="AB109" s="15">
        <f t="shared" si="8"/>
        <v>0.19162446506379321</v>
      </c>
      <c r="AC109" t="b">
        <f t="shared" si="9"/>
        <v>1</v>
      </c>
    </row>
    <row r="110" spans="1:29" x14ac:dyDescent="0.25">
      <c r="A110" s="52" t="s">
        <v>259</v>
      </c>
      <c r="B110" s="46">
        <v>30013</v>
      </c>
      <c r="C110" s="47">
        <v>45756</v>
      </c>
      <c r="D110" s="46">
        <v>311500</v>
      </c>
      <c r="E110" s="46">
        <v>2</v>
      </c>
      <c r="F110" s="52" t="s">
        <v>1756</v>
      </c>
      <c r="G110" s="46">
        <v>6</v>
      </c>
      <c r="H110" s="52" t="s">
        <v>784</v>
      </c>
      <c r="I110" s="46"/>
      <c r="J110" s="46">
        <v>0</v>
      </c>
      <c r="K110" s="46"/>
      <c r="L110" s="52" t="s">
        <v>261</v>
      </c>
      <c r="M110" s="53">
        <v>1850000</v>
      </c>
      <c r="N110" s="46">
        <v>48</v>
      </c>
      <c r="O110" s="46">
        <v>0</v>
      </c>
      <c r="P110" s="46">
        <v>1</v>
      </c>
      <c r="Q110" s="52">
        <v>12</v>
      </c>
      <c r="R110" s="53">
        <v>54991</v>
      </c>
      <c r="S110" s="46">
        <v>1</v>
      </c>
      <c r="T110" s="53">
        <v>65500</v>
      </c>
      <c r="U110" s="53">
        <f t="shared" si="11"/>
        <v>30200</v>
      </c>
      <c r="V110" s="46">
        <v>1</v>
      </c>
      <c r="W110" s="53">
        <v>50803</v>
      </c>
      <c r="X110" s="46">
        <v>1</v>
      </c>
      <c r="Y110" s="46">
        <v>1</v>
      </c>
      <c r="Z110" s="54">
        <v>0.18992706384620225</v>
      </c>
      <c r="AA110" s="15">
        <f t="shared" si="7"/>
        <v>1.5827255320516855E-2</v>
      </c>
      <c r="AB110" s="15">
        <f t="shared" si="8"/>
        <v>0.18992706384620225</v>
      </c>
      <c r="AC110" t="b">
        <f t="shared" si="9"/>
        <v>1</v>
      </c>
    </row>
    <row r="111" spans="1:29" x14ac:dyDescent="0.25">
      <c r="A111" s="52" t="s">
        <v>259</v>
      </c>
      <c r="B111" s="46">
        <v>30013</v>
      </c>
      <c r="C111" s="47">
        <v>45756</v>
      </c>
      <c r="D111" s="46">
        <v>311500</v>
      </c>
      <c r="E111" s="46">
        <v>2</v>
      </c>
      <c r="F111" s="52" t="s">
        <v>1757</v>
      </c>
      <c r="G111" s="46">
        <v>6</v>
      </c>
      <c r="H111" s="52" t="s">
        <v>784</v>
      </c>
      <c r="I111" s="46"/>
      <c r="J111" s="46">
        <v>0</v>
      </c>
      <c r="K111" s="46"/>
      <c r="L111" s="52" t="s">
        <v>261</v>
      </c>
      <c r="M111" s="53">
        <v>6200000</v>
      </c>
      <c r="N111" s="46">
        <v>72</v>
      </c>
      <c r="O111" s="46">
        <v>0</v>
      </c>
      <c r="P111" s="46">
        <v>1</v>
      </c>
      <c r="Q111" s="52">
        <v>12</v>
      </c>
      <c r="R111" s="53">
        <v>110577</v>
      </c>
      <c r="S111" s="46">
        <v>1</v>
      </c>
      <c r="T111" s="53">
        <v>289000</v>
      </c>
      <c r="U111" s="53">
        <f t="shared" si="11"/>
        <v>73700</v>
      </c>
      <c r="V111" s="46">
        <v>1</v>
      </c>
      <c r="W111" s="53">
        <v>128647</v>
      </c>
      <c r="X111" s="46">
        <v>1</v>
      </c>
      <c r="Y111" s="46">
        <v>1</v>
      </c>
      <c r="Z111" s="54">
        <v>0.17390042067468028</v>
      </c>
      <c r="AA111" s="15">
        <f t="shared" si="7"/>
        <v>1.4491701722890023E-2</v>
      </c>
      <c r="AB111" s="15">
        <f t="shared" si="8"/>
        <v>0.17390042067468028</v>
      </c>
      <c r="AC111" t="b">
        <f t="shared" si="9"/>
        <v>1</v>
      </c>
    </row>
    <row r="112" spans="1:29" x14ac:dyDescent="0.25">
      <c r="A112" s="52" t="s">
        <v>259</v>
      </c>
      <c r="B112" s="46">
        <v>30013</v>
      </c>
      <c r="C112" s="47">
        <v>45756</v>
      </c>
      <c r="D112" s="46">
        <v>311500</v>
      </c>
      <c r="E112" s="46">
        <v>2</v>
      </c>
      <c r="F112" s="52" t="s">
        <v>1758</v>
      </c>
      <c r="G112" s="46">
        <v>6</v>
      </c>
      <c r="H112" s="52" t="s">
        <v>1642</v>
      </c>
      <c r="I112" s="46"/>
      <c r="J112" s="46">
        <v>0</v>
      </c>
      <c r="K112" s="46"/>
      <c r="L112" s="52" t="s">
        <v>261</v>
      </c>
      <c r="M112" s="53">
        <v>5700000</v>
      </c>
      <c r="N112" s="46">
        <v>72</v>
      </c>
      <c r="O112" s="46">
        <v>0</v>
      </c>
      <c r="P112" s="46">
        <v>1</v>
      </c>
      <c r="Q112" s="52">
        <v>11</v>
      </c>
      <c r="R112" s="53">
        <v>40723</v>
      </c>
      <c r="S112" s="46">
        <v>1</v>
      </c>
      <c r="T112" s="53">
        <v>0</v>
      </c>
      <c r="U112" s="53">
        <f t="shared" si="11"/>
        <v>68700</v>
      </c>
      <c r="V112" s="46">
        <v>1</v>
      </c>
      <c r="W112" s="53">
        <v>115118</v>
      </c>
      <c r="X112" s="46">
        <v>1</v>
      </c>
      <c r="Y112" s="46">
        <v>1</v>
      </c>
      <c r="Z112" s="54">
        <v>0.13973279957259194</v>
      </c>
      <c r="AA112" s="15">
        <f t="shared" si="7"/>
        <v>1.1644399964382662E-2</v>
      </c>
      <c r="AB112" s="15">
        <f t="shared" si="8"/>
        <v>0.13973279957259194</v>
      </c>
      <c r="AC112" t="b">
        <f t="shared" si="9"/>
        <v>1</v>
      </c>
    </row>
    <row r="113" spans="1:29" x14ac:dyDescent="0.25">
      <c r="A113" s="52" t="s">
        <v>259</v>
      </c>
      <c r="B113" s="46">
        <v>30013</v>
      </c>
      <c r="C113" s="47">
        <v>45756</v>
      </c>
      <c r="D113" s="46">
        <v>311500</v>
      </c>
      <c r="E113" s="46">
        <v>2</v>
      </c>
      <c r="F113" s="52" t="s">
        <v>1759</v>
      </c>
      <c r="G113" s="46">
        <v>6</v>
      </c>
      <c r="H113" s="52" t="s">
        <v>784</v>
      </c>
      <c r="I113" s="46"/>
      <c r="J113" s="46">
        <v>0</v>
      </c>
      <c r="K113" s="46"/>
      <c r="L113" s="52" t="s">
        <v>261</v>
      </c>
      <c r="M113" s="53">
        <v>3800000</v>
      </c>
      <c r="N113" s="46">
        <v>60</v>
      </c>
      <c r="O113" s="46">
        <v>0</v>
      </c>
      <c r="P113" s="46">
        <v>1</v>
      </c>
      <c r="Q113" s="52">
        <v>12</v>
      </c>
      <c r="R113" s="53">
        <v>112955</v>
      </c>
      <c r="S113" s="46">
        <v>1</v>
      </c>
      <c r="T113" s="53">
        <v>152500</v>
      </c>
      <c r="U113" s="53">
        <f t="shared" si="11"/>
        <v>49700</v>
      </c>
      <c r="V113" s="46">
        <v>1</v>
      </c>
      <c r="W113" s="53">
        <v>88948</v>
      </c>
      <c r="X113" s="46">
        <v>1</v>
      </c>
      <c r="Y113" s="46">
        <v>1</v>
      </c>
      <c r="Z113" s="54">
        <v>0.1824012239507129</v>
      </c>
      <c r="AA113" s="15">
        <f t="shared" si="7"/>
        <v>1.5200101995892742E-2</v>
      </c>
      <c r="AB113" s="15">
        <f t="shared" si="8"/>
        <v>0.1824012239507129</v>
      </c>
      <c r="AC113" t="b">
        <f t="shared" si="9"/>
        <v>1</v>
      </c>
    </row>
    <row r="114" spans="1:29" x14ac:dyDescent="0.25">
      <c r="A114" s="52" t="s">
        <v>259</v>
      </c>
      <c r="B114" s="46">
        <v>30013</v>
      </c>
      <c r="C114" s="47">
        <v>45756</v>
      </c>
      <c r="D114" s="46">
        <v>311500</v>
      </c>
      <c r="E114" s="46">
        <v>2</v>
      </c>
      <c r="F114" s="52" t="s">
        <v>1760</v>
      </c>
      <c r="G114" s="46">
        <v>6</v>
      </c>
      <c r="H114" s="52" t="s">
        <v>784</v>
      </c>
      <c r="I114" s="46"/>
      <c r="J114" s="46">
        <v>0</v>
      </c>
      <c r="K114" s="46"/>
      <c r="L114" s="52" t="s">
        <v>261</v>
      </c>
      <c r="M114" s="53">
        <v>4400000</v>
      </c>
      <c r="N114" s="46">
        <v>72</v>
      </c>
      <c r="O114" s="46">
        <v>0</v>
      </c>
      <c r="P114" s="46">
        <v>1</v>
      </c>
      <c r="Q114" s="52">
        <v>12</v>
      </c>
      <c r="R114" s="53">
        <v>78474</v>
      </c>
      <c r="S114" s="46">
        <v>1</v>
      </c>
      <c r="T114" s="53">
        <v>208000</v>
      </c>
      <c r="U114" s="53">
        <f t="shared" si="11"/>
        <v>55700</v>
      </c>
      <c r="V114" s="46">
        <v>1</v>
      </c>
      <c r="W114" s="53">
        <v>91298</v>
      </c>
      <c r="X114" s="46">
        <v>1</v>
      </c>
      <c r="Y114" s="46">
        <v>1</v>
      </c>
      <c r="Z114" s="54">
        <v>0.17452258722249359</v>
      </c>
      <c r="AA114" s="15">
        <f t="shared" si="7"/>
        <v>1.4543548935207798E-2</v>
      </c>
      <c r="AB114" s="15">
        <f t="shared" si="8"/>
        <v>0.17452258722249359</v>
      </c>
      <c r="AC114" t="b">
        <f t="shared" si="9"/>
        <v>1</v>
      </c>
    </row>
    <row r="115" spans="1:29" x14ac:dyDescent="0.25">
      <c r="A115" s="52" t="s">
        <v>259</v>
      </c>
      <c r="B115" s="46">
        <v>30013</v>
      </c>
      <c r="C115" s="47">
        <v>45756</v>
      </c>
      <c r="D115" s="46">
        <v>311500</v>
      </c>
      <c r="E115" s="46">
        <v>2</v>
      </c>
      <c r="F115" s="52" t="s">
        <v>1761</v>
      </c>
      <c r="G115" s="46">
        <v>6</v>
      </c>
      <c r="H115" s="52" t="s">
        <v>784</v>
      </c>
      <c r="I115" s="46"/>
      <c r="J115" s="46">
        <v>0</v>
      </c>
      <c r="K115" s="46"/>
      <c r="L115" s="52" t="s">
        <v>261</v>
      </c>
      <c r="M115" s="53">
        <v>4960000</v>
      </c>
      <c r="N115" s="46">
        <v>72</v>
      </c>
      <c r="O115" s="46">
        <v>0</v>
      </c>
      <c r="P115" s="46">
        <v>1</v>
      </c>
      <c r="Q115" s="52">
        <v>12</v>
      </c>
      <c r="R115" s="53">
        <v>88462</v>
      </c>
      <c r="S115" s="46">
        <v>1</v>
      </c>
      <c r="T115" s="53">
        <v>233200</v>
      </c>
      <c r="U115" s="53">
        <f t="shared" si="11"/>
        <v>61300</v>
      </c>
      <c r="V115" s="46">
        <v>1</v>
      </c>
      <c r="W115" s="53">
        <v>102918</v>
      </c>
      <c r="X115" s="46">
        <v>1</v>
      </c>
      <c r="Y115" s="46">
        <v>1</v>
      </c>
      <c r="Z115" s="54">
        <v>0.17428171058542591</v>
      </c>
      <c r="AA115" s="15">
        <f t="shared" si="7"/>
        <v>1.4523475882118825E-2</v>
      </c>
      <c r="AB115" s="15">
        <f t="shared" si="8"/>
        <v>0.17428171058542591</v>
      </c>
      <c r="AC115" t="b">
        <f t="shared" si="9"/>
        <v>1</v>
      </c>
    </row>
    <row r="116" spans="1:29" x14ac:dyDescent="0.25">
      <c r="A116" s="52" t="s">
        <v>259</v>
      </c>
      <c r="B116" s="46">
        <v>30013</v>
      </c>
      <c r="C116" s="47">
        <v>45757</v>
      </c>
      <c r="D116" s="46">
        <v>311500</v>
      </c>
      <c r="E116" s="46">
        <v>2</v>
      </c>
      <c r="F116" s="52" t="s">
        <v>1762</v>
      </c>
      <c r="G116" s="46">
        <v>6</v>
      </c>
      <c r="H116" s="52" t="s">
        <v>784</v>
      </c>
      <c r="I116" s="46"/>
      <c r="J116" s="46">
        <v>0</v>
      </c>
      <c r="K116" s="46"/>
      <c r="L116" s="52" t="s">
        <v>1763</v>
      </c>
      <c r="M116" s="53">
        <v>10000000</v>
      </c>
      <c r="N116" s="46">
        <v>60</v>
      </c>
      <c r="O116" s="46">
        <v>0</v>
      </c>
      <c r="P116" s="46">
        <v>1</v>
      </c>
      <c r="Q116" s="52">
        <v>8</v>
      </c>
      <c r="R116" s="53">
        <v>297250</v>
      </c>
      <c r="S116" s="46">
        <v>1</v>
      </c>
      <c r="T116" s="53">
        <v>390000</v>
      </c>
      <c r="U116" s="53">
        <f t="shared" si="11"/>
        <v>111700</v>
      </c>
      <c r="V116" s="46">
        <v>1</v>
      </c>
      <c r="W116" s="53">
        <v>210077</v>
      </c>
      <c r="X116" s="46">
        <v>1</v>
      </c>
      <c r="Y116" s="46">
        <v>1</v>
      </c>
      <c r="Z116" s="54">
        <v>0.1315373851260413</v>
      </c>
      <c r="AA116" s="15">
        <f t="shared" si="7"/>
        <v>1.096144876050344E-2</v>
      </c>
      <c r="AB116" s="15">
        <f t="shared" si="8"/>
        <v>0.1315373851260413</v>
      </c>
      <c r="AC116" t="b">
        <f t="shared" si="9"/>
        <v>1</v>
      </c>
    </row>
    <row r="117" spans="1:29" x14ac:dyDescent="0.25">
      <c r="A117" s="52" t="s">
        <v>259</v>
      </c>
      <c r="B117" s="46">
        <v>30013</v>
      </c>
      <c r="C117" s="47">
        <v>45757</v>
      </c>
      <c r="D117" s="46">
        <v>311500</v>
      </c>
      <c r="E117" s="46">
        <v>2</v>
      </c>
      <c r="F117" s="52" t="s">
        <v>1764</v>
      </c>
      <c r="G117" s="46">
        <v>6</v>
      </c>
      <c r="H117" s="52" t="s">
        <v>1642</v>
      </c>
      <c r="I117" s="46"/>
      <c r="J117" s="46">
        <v>0</v>
      </c>
      <c r="K117" s="46"/>
      <c r="L117" s="52" t="s">
        <v>270</v>
      </c>
      <c r="M117" s="53">
        <v>10000000</v>
      </c>
      <c r="N117" s="46">
        <v>60</v>
      </c>
      <c r="O117" s="46">
        <v>0</v>
      </c>
      <c r="P117" s="46">
        <v>1</v>
      </c>
      <c r="Q117" s="52">
        <v>9</v>
      </c>
      <c r="R117" s="53">
        <v>297250</v>
      </c>
      <c r="S117" s="46">
        <v>1</v>
      </c>
      <c r="T117" s="53">
        <v>390000</v>
      </c>
      <c r="U117" s="53">
        <f t="shared" si="11"/>
        <v>111700</v>
      </c>
      <c r="V117" s="46">
        <v>1</v>
      </c>
      <c r="W117" s="53">
        <v>215936</v>
      </c>
      <c r="X117" s="46">
        <v>1</v>
      </c>
      <c r="Y117" s="46">
        <v>1</v>
      </c>
      <c r="Z117" s="54">
        <v>0.14385566902641317</v>
      </c>
      <c r="AA117" s="15">
        <f t="shared" si="7"/>
        <v>1.1987972418867763E-2</v>
      </c>
      <c r="AB117" s="15">
        <f t="shared" si="8"/>
        <v>0.14385566902641317</v>
      </c>
      <c r="AC117" t="b">
        <f t="shared" si="9"/>
        <v>1</v>
      </c>
    </row>
    <row r="118" spans="1:29" x14ac:dyDescent="0.25">
      <c r="A118" s="52" t="s">
        <v>259</v>
      </c>
      <c r="B118" s="46">
        <v>30013</v>
      </c>
      <c r="C118" s="47">
        <v>45757</v>
      </c>
      <c r="D118" s="46">
        <v>321600</v>
      </c>
      <c r="E118" s="46">
        <v>2</v>
      </c>
      <c r="F118" s="52" t="s">
        <v>1765</v>
      </c>
      <c r="G118" s="46">
        <v>6</v>
      </c>
      <c r="H118" s="52" t="s">
        <v>784</v>
      </c>
      <c r="I118" s="46"/>
      <c r="J118" s="46">
        <v>0</v>
      </c>
      <c r="K118" s="46"/>
      <c r="L118" s="52" t="s">
        <v>694</v>
      </c>
      <c r="M118" s="53">
        <v>630000</v>
      </c>
      <c r="N118" s="46">
        <v>12</v>
      </c>
      <c r="O118" s="46">
        <v>0</v>
      </c>
      <c r="P118" s="46">
        <v>1</v>
      </c>
      <c r="Q118" s="52">
        <v>10</v>
      </c>
      <c r="R118" s="53">
        <v>7491</v>
      </c>
      <c r="S118" s="46">
        <v>1</v>
      </c>
      <c r="T118" s="53">
        <v>0</v>
      </c>
      <c r="U118" s="53">
        <v>21700</v>
      </c>
      <c r="V118" s="46">
        <v>1</v>
      </c>
      <c r="W118" s="53">
        <v>55942</v>
      </c>
      <c r="X118" s="46">
        <v>1</v>
      </c>
      <c r="Y118" s="46">
        <v>1</v>
      </c>
      <c r="Z118" s="54">
        <v>0.20994474390813089</v>
      </c>
      <c r="AA118" s="15">
        <f t="shared" si="7"/>
        <v>1.7495395325677576E-2</v>
      </c>
      <c r="AB118" s="15">
        <f t="shared" si="8"/>
        <v>0.20994474390813089</v>
      </c>
      <c r="AC118" t="b">
        <f t="shared" si="9"/>
        <v>1</v>
      </c>
    </row>
    <row r="119" spans="1:29" x14ac:dyDescent="0.25">
      <c r="A119" s="52" t="s">
        <v>259</v>
      </c>
      <c r="B119" s="46">
        <v>30013</v>
      </c>
      <c r="C119" s="47">
        <v>45757</v>
      </c>
      <c r="D119" s="46">
        <v>311500</v>
      </c>
      <c r="E119" s="46">
        <v>2</v>
      </c>
      <c r="F119" s="52" t="s">
        <v>1766</v>
      </c>
      <c r="G119" s="46">
        <v>6</v>
      </c>
      <c r="H119" s="52" t="s">
        <v>784</v>
      </c>
      <c r="I119" s="46"/>
      <c r="J119" s="46">
        <v>0</v>
      </c>
      <c r="K119" s="46"/>
      <c r="L119" s="52" t="s">
        <v>261</v>
      </c>
      <c r="M119" s="53">
        <v>8000000</v>
      </c>
      <c r="N119" s="46">
        <v>84</v>
      </c>
      <c r="O119" s="46">
        <v>0</v>
      </c>
      <c r="P119" s="46">
        <v>1</v>
      </c>
      <c r="Q119" s="52">
        <v>12</v>
      </c>
      <c r="R119" s="53">
        <v>142680</v>
      </c>
      <c r="S119" s="46">
        <v>1</v>
      </c>
      <c r="T119" s="53">
        <v>435000</v>
      </c>
      <c r="U119" s="53">
        <f t="shared" ref="U119:U132" si="12">M119/100+11700</f>
        <v>91700</v>
      </c>
      <c r="V119" s="46">
        <v>1</v>
      </c>
      <c r="W119" s="53">
        <v>150069</v>
      </c>
      <c r="X119" s="46">
        <v>1</v>
      </c>
      <c r="Y119" s="46">
        <v>1</v>
      </c>
      <c r="Z119" s="54">
        <v>0.17061788646928844</v>
      </c>
      <c r="AA119" s="15">
        <f t="shared" si="7"/>
        <v>1.4218157205774035E-2</v>
      </c>
      <c r="AB119" s="15">
        <f t="shared" si="8"/>
        <v>0.17061788646928844</v>
      </c>
      <c r="AC119" t="b">
        <f t="shared" si="9"/>
        <v>1</v>
      </c>
    </row>
    <row r="120" spans="1:29" x14ac:dyDescent="0.25">
      <c r="A120" s="52" t="s">
        <v>259</v>
      </c>
      <c r="B120" s="46">
        <v>30013</v>
      </c>
      <c r="C120" s="47">
        <v>45757</v>
      </c>
      <c r="D120" s="46">
        <v>311500</v>
      </c>
      <c r="E120" s="46">
        <v>2</v>
      </c>
      <c r="F120" s="52" t="s">
        <v>1767</v>
      </c>
      <c r="G120" s="46">
        <v>6</v>
      </c>
      <c r="H120" s="52" t="s">
        <v>784</v>
      </c>
      <c r="I120" s="46"/>
      <c r="J120" s="46">
        <v>0</v>
      </c>
      <c r="K120" s="46"/>
      <c r="L120" s="52" t="s">
        <v>690</v>
      </c>
      <c r="M120" s="53">
        <v>10000000</v>
      </c>
      <c r="N120" s="46">
        <v>60</v>
      </c>
      <c r="O120" s="46">
        <v>0</v>
      </c>
      <c r="P120" s="46">
        <v>1</v>
      </c>
      <c r="Q120" s="52">
        <v>12</v>
      </c>
      <c r="R120" s="53">
        <v>297250</v>
      </c>
      <c r="S120" s="46">
        <v>1</v>
      </c>
      <c r="T120" s="53">
        <v>390000</v>
      </c>
      <c r="U120" s="53">
        <f t="shared" si="12"/>
        <v>111700</v>
      </c>
      <c r="V120" s="46">
        <v>1</v>
      </c>
      <c r="W120" s="53">
        <v>234074</v>
      </c>
      <c r="X120" s="46">
        <v>1</v>
      </c>
      <c r="Y120" s="46">
        <v>1</v>
      </c>
      <c r="Z120" s="54">
        <v>0.1808542734871087</v>
      </c>
      <c r="AA120" s="15">
        <f t="shared" si="7"/>
        <v>1.5071189457259057E-2</v>
      </c>
      <c r="AB120" s="15">
        <f t="shared" si="8"/>
        <v>0.1808542734871087</v>
      </c>
      <c r="AC120" t="b">
        <f t="shared" si="9"/>
        <v>1</v>
      </c>
    </row>
    <row r="121" spans="1:29" x14ac:dyDescent="0.25">
      <c r="A121" s="52" t="s">
        <v>259</v>
      </c>
      <c r="B121" s="46">
        <v>30013</v>
      </c>
      <c r="C121" s="47">
        <v>45757</v>
      </c>
      <c r="D121" s="46">
        <v>311500</v>
      </c>
      <c r="E121" s="46">
        <v>2</v>
      </c>
      <c r="F121" s="52" t="s">
        <v>1768</v>
      </c>
      <c r="G121" s="46">
        <v>6</v>
      </c>
      <c r="H121" s="52" t="s">
        <v>784</v>
      </c>
      <c r="I121" s="46"/>
      <c r="J121" s="46">
        <v>0</v>
      </c>
      <c r="K121" s="46"/>
      <c r="L121" s="52" t="s">
        <v>700</v>
      </c>
      <c r="M121" s="53">
        <v>10000000</v>
      </c>
      <c r="N121" s="46">
        <v>72</v>
      </c>
      <c r="O121" s="46">
        <v>0</v>
      </c>
      <c r="P121" s="46">
        <v>1</v>
      </c>
      <c r="Q121" s="52">
        <v>10</v>
      </c>
      <c r="R121" s="53">
        <v>178350</v>
      </c>
      <c r="S121" s="46">
        <v>1</v>
      </c>
      <c r="T121" s="53">
        <v>465000</v>
      </c>
      <c r="U121" s="53">
        <f t="shared" si="12"/>
        <v>111700</v>
      </c>
      <c r="V121" s="46">
        <v>1</v>
      </c>
      <c r="W121" s="53">
        <v>194930</v>
      </c>
      <c r="X121" s="46">
        <v>1</v>
      </c>
      <c r="Y121" s="46">
        <v>1</v>
      </c>
      <c r="Z121" s="54">
        <v>0.14889452117160559</v>
      </c>
      <c r="AA121" s="15">
        <f t="shared" si="7"/>
        <v>1.2407876764300467E-2</v>
      </c>
      <c r="AB121" s="15">
        <f t="shared" si="8"/>
        <v>0.14889452117160559</v>
      </c>
      <c r="AC121" t="b">
        <f t="shared" si="9"/>
        <v>1</v>
      </c>
    </row>
    <row r="122" spans="1:29" x14ac:dyDescent="0.25">
      <c r="A122" s="52" t="s">
        <v>259</v>
      </c>
      <c r="B122" s="46">
        <v>30013</v>
      </c>
      <c r="C122" s="47">
        <v>45757</v>
      </c>
      <c r="D122" s="46">
        <v>311500</v>
      </c>
      <c r="E122" s="46">
        <v>2</v>
      </c>
      <c r="F122" s="52" t="s">
        <v>1769</v>
      </c>
      <c r="G122" s="46">
        <v>6</v>
      </c>
      <c r="H122" s="52" t="s">
        <v>784</v>
      </c>
      <c r="I122" s="46"/>
      <c r="J122" s="46">
        <v>0</v>
      </c>
      <c r="K122" s="46"/>
      <c r="L122" s="52" t="s">
        <v>261</v>
      </c>
      <c r="M122" s="53">
        <v>3600000</v>
      </c>
      <c r="N122" s="46">
        <v>60</v>
      </c>
      <c r="O122" s="46">
        <v>0</v>
      </c>
      <c r="P122" s="46">
        <v>1</v>
      </c>
      <c r="Q122" s="52">
        <v>12</v>
      </c>
      <c r="R122" s="53">
        <v>107010</v>
      </c>
      <c r="S122" s="46">
        <v>1</v>
      </c>
      <c r="T122" s="53">
        <v>145000</v>
      </c>
      <c r="U122" s="53">
        <f t="shared" si="12"/>
        <v>47700</v>
      </c>
      <c r="V122" s="46">
        <v>1</v>
      </c>
      <c r="W122" s="53">
        <v>84267</v>
      </c>
      <c r="X122" s="46">
        <v>1</v>
      </c>
      <c r="Y122" s="46">
        <v>1</v>
      </c>
      <c r="Z122" s="54">
        <v>0.18256576313251005</v>
      </c>
      <c r="AA122" s="15">
        <f t="shared" si="7"/>
        <v>1.5213813594375838E-2</v>
      </c>
      <c r="AB122" s="15">
        <f t="shared" si="8"/>
        <v>0.18256576313251005</v>
      </c>
      <c r="AC122" t="b">
        <f t="shared" si="9"/>
        <v>1</v>
      </c>
    </row>
    <row r="123" spans="1:29" x14ac:dyDescent="0.25">
      <c r="A123" s="52" t="s">
        <v>259</v>
      </c>
      <c r="B123" s="46">
        <v>30013</v>
      </c>
      <c r="C123" s="47">
        <v>45757</v>
      </c>
      <c r="D123" s="46">
        <v>311500</v>
      </c>
      <c r="E123" s="46">
        <v>2</v>
      </c>
      <c r="F123" s="52" t="s">
        <v>1770</v>
      </c>
      <c r="G123" s="46">
        <v>6</v>
      </c>
      <c r="H123" s="52" t="s">
        <v>784</v>
      </c>
      <c r="I123" s="46"/>
      <c r="J123" s="46">
        <v>0</v>
      </c>
      <c r="K123" s="46"/>
      <c r="L123" s="52" t="s">
        <v>261</v>
      </c>
      <c r="M123" s="53">
        <v>4950000</v>
      </c>
      <c r="N123" s="46">
        <v>72</v>
      </c>
      <c r="O123" s="46">
        <v>0</v>
      </c>
      <c r="P123" s="46">
        <v>1</v>
      </c>
      <c r="Q123" s="52">
        <v>11</v>
      </c>
      <c r="R123" s="53">
        <v>147139</v>
      </c>
      <c r="S123" s="46">
        <v>1</v>
      </c>
      <c r="T123" s="53">
        <v>232750</v>
      </c>
      <c r="U123" s="53">
        <f t="shared" si="12"/>
        <v>61200</v>
      </c>
      <c r="V123" s="46">
        <v>1</v>
      </c>
      <c r="W123" s="53">
        <v>99573</v>
      </c>
      <c r="X123" s="46">
        <v>1</v>
      </c>
      <c r="Y123" s="46">
        <v>1</v>
      </c>
      <c r="Z123" s="54">
        <v>0.16708162983318511</v>
      </c>
      <c r="AA123" s="15">
        <f t="shared" si="7"/>
        <v>1.3923469152765426E-2</v>
      </c>
      <c r="AB123" s="15">
        <f t="shared" si="8"/>
        <v>0.16708162983318511</v>
      </c>
      <c r="AC123" t="b">
        <f t="shared" si="9"/>
        <v>1</v>
      </c>
    </row>
    <row r="124" spans="1:29" x14ac:dyDescent="0.25">
      <c r="A124" s="52" t="s">
        <v>259</v>
      </c>
      <c r="B124" s="46">
        <v>30013</v>
      </c>
      <c r="C124" s="47">
        <v>45757</v>
      </c>
      <c r="D124" s="46">
        <v>311500</v>
      </c>
      <c r="E124" s="46">
        <v>2</v>
      </c>
      <c r="F124" s="52" t="s">
        <v>1771</v>
      </c>
      <c r="G124" s="46">
        <v>6</v>
      </c>
      <c r="H124" s="52" t="s">
        <v>784</v>
      </c>
      <c r="I124" s="46"/>
      <c r="J124" s="46">
        <v>0</v>
      </c>
      <c r="K124" s="46"/>
      <c r="L124" s="52" t="s">
        <v>261</v>
      </c>
      <c r="M124" s="53">
        <v>6000000</v>
      </c>
      <c r="N124" s="46">
        <v>72</v>
      </c>
      <c r="O124" s="46">
        <v>0</v>
      </c>
      <c r="P124" s="46">
        <v>1</v>
      </c>
      <c r="Q124" s="52">
        <v>11</v>
      </c>
      <c r="R124" s="53">
        <v>107010</v>
      </c>
      <c r="S124" s="46">
        <v>1</v>
      </c>
      <c r="T124" s="53">
        <v>280000</v>
      </c>
      <c r="U124" s="53">
        <f t="shared" si="12"/>
        <v>71700</v>
      </c>
      <c r="V124" s="46">
        <v>1</v>
      </c>
      <c r="W124" s="53">
        <v>120695</v>
      </c>
      <c r="X124" s="46">
        <v>1</v>
      </c>
      <c r="Y124" s="46">
        <v>1</v>
      </c>
      <c r="Z124" s="54">
        <v>0.16161814828417767</v>
      </c>
      <c r="AA124" s="15">
        <f t="shared" si="7"/>
        <v>1.3468179023681472E-2</v>
      </c>
      <c r="AB124" s="15">
        <f t="shared" si="8"/>
        <v>0.16161814828417767</v>
      </c>
      <c r="AC124" t="b">
        <f t="shared" si="9"/>
        <v>1</v>
      </c>
    </row>
    <row r="125" spans="1:29" x14ac:dyDescent="0.25">
      <c r="A125" s="52" t="s">
        <v>259</v>
      </c>
      <c r="B125" s="46">
        <v>30013</v>
      </c>
      <c r="C125" s="47">
        <v>45757</v>
      </c>
      <c r="D125" s="46">
        <v>311500</v>
      </c>
      <c r="E125" s="46">
        <v>2</v>
      </c>
      <c r="F125" s="52" t="s">
        <v>1772</v>
      </c>
      <c r="G125" s="46">
        <v>6</v>
      </c>
      <c r="H125" s="52" t="s">
        <v>784</v>
      </c>
      <c r="I125" s="46"/>
      <c r="J125" s="46">
        <v>0</v>
      </c>
      <c r="K125" s="46"/>
      <c r="L125" s="52" t="s">
        <v>687</v>
      </c>
      <c r="M125" s="53">
        <v>4950000</v>
      </c>
      <c r="N125" s="46">
        <v>72</v>
      </c>
      <c r="O125" s="46">
        <v>0</v>
      </c>
      <c r="P125" s="46">
        <v>1</v>
      </c>
      <c r="Q125" s="52">
        <v>12</v>
      </c>
      <c r="R125" s="53">
        <v>88283</v>
      </c>
      <c r="S125" s="46">
        <v>1</v>
      </c>
      <c r="T125" s="53">
        <v>232750</v>
      </c>
      <c r="U125" s="53">
        <f t="shared" si="12"/>
        <v>61200</v>
      </c>
      <c r="V125" s="46">
        <v>1</v>
      </c>
      <c r="W125" s="53">
        <v>101819</v>
      </c>
      <c r="X125" s="46">
        <v>1</v>
      </c>
      <c r="Y125" s="46">
        <v>1</v>
      </c>
      <c r="Z125" s="54">
        <v>0.17079939908628089</v>
      </c>
      <c r="AA125" s="15">
        <f t="shared" si="7"/>
        <v>1.4233283257190074E-2</v>
      </c>
      <c r="AB125" s="15">
        <f t="shared" si="8"/>
        <v>0.17079939908628089</v>
      </c>
      <c r="AC125" t="b">
        <f t="shared" si="9"/>
        <v>1</v>
      </c>
    </row>
    <row r="126" spans="1:29" x14ac:dyDescent="0.25">
      <c r="A126" s="52" t="s">
        <v>259</v>
      </c>
      <c r="B126" s="46">
        <v>30013</v>
      </c>
      <c r="C126" s="47">
        <v>45757</v>
      </c>
      <c r="D126" s="46">
        <v>311500</v>
      </c>
      <c r="E126" s="46">
        <v>2</v>
      </c>
      <c r="F126" s="52" t="s">
        <v>1773</v>
      </c>
      <c r="G126" s="46">
        <v>6</v>
      </c>
      <c r="H126" s="52" t="s">
        <v>784</v>
      </c>
      <c r="I126" s="46"/>
      <c r="J126" s="46">
        <v>0</v>
      </c>
      <c r="K126" s="46"/>
      <c r="L126" s="52" t="s">
        <v>261</v>
      </c>
      <c r="M126" s="53">
        <v>4200000</v>
      </c>
      <c r="N126" s="46">
        <v>60</v>
      </c>
      <c r="O126" s="46">
        <v>0</v>
      </c>
      <c r="P126" s="46">
        <v>1</v>
      </c>
      <c r="Q126" s="52">
        <v>12</v>
      </c>
      <c r="R126" s="53">
        <v>124845</v>
      </c>
      <c r="S126" s="46">
        <v>1</v>
      </c>
      <c r="T126" s="53">
        <v>167500</v>
      </c>
      <c r="U126" s="53">
        <f t="shared" si="12"/>
        <v>53700</v>
      </c>
      <c r="V126" s="46">
        <v>1</v>
      </c>
      <c r="W126" s="53">
        <v>97205</v>
      </c>
      <c r="X126" s="46">
        <v>1</v>
      </c>
      <c r="Y126" s="46">
        <v>1</v>
      </c>
      <c r="Z126" s="54">
        <v>0.17684561600827173</v>
      </c>
      <c r="AA126" s="15">
        <f t="shared" si="7"/>
        <v>1.4737134667355977E-2</v>
      </c>
      <c r="AB126" s="15">
        <f t="shared" si="8"/>
        <v>0.17684561600827173</v>
      </c>
      <c r="AC126" t="b">
        <f t="shared" si="9"/>
        <v>1</v>
      </c>
    </row>
    <row r="127" spans="1:29" x14ac:dyDescent="0.25">
      <c r="A127" s="52" t="s">
        <v>259</v>
      </c>
      <c r="B127" s="46">
        <v>30013</v>
      </c>
      <c r="C127" s="47">
        <v>45757</v>
      </c>
      <c r="D127" s="46">
        <v>311500</v>
      </c>
      <c r="E127" s="46">
        <v>2</v>
      </c>
      <c r="F127" s="52" t="s">
        <v>1774</v>
      </c>
      <c r="G127" s="46">
        <v>6</v>
      </c>
      <c r="H127" s="52" t="s">
        <v>1642</v>
      </c>
      <c r="I127" s="46"/>
      <c r="J127" s="46">
        <v>0</v>
      </c>
      <c r="K127" s="46"/>
      <c r="L127" s="52" t="s">
        <v>699</v>
      </c>
      <c r="M127" s="53">
        <v>4900000</v>
      </c>
      <c r="N127" s="46">
        <v>72</v>
      </c>
      <c r="O127" s="46">
        <v>0</v>
      </c>
      <c r="P127" s="46">
        <v>1</v>
      </c>
      <c r="Q127" s="52">
        <v>8</v>
      </c>
      <c r="R127" s="53">
        <v>87392</v>
      </c>
      <c r="S127" s="46">
        <v>1</v>
      </c>
      <c r="T127" s="53">
        <v>230500</v>
      </c>
      <c r="U127" s="53">
        <f t="shared" si="12"/>
        <v>60700</v>
      </c>
      <c r="V127" s="46">
        <v>1</v>
      </c>
      <c r="W127" s="53">
        <v>89575</v>
      </c>
      <c r="X127" s="46">
        <v>1</v>
      </c>
      <c r="Y127" s="46">
        <v>1</v>
      </c>
      <c r="Z127" s="54">
        <v>0.12500244055533316</v>
      </c>
      <c r="AA127" s="15">
        <f t="shared" si="7"/>
        <v>1.0416870046277765E-2</v>
      </c>
      <c r="AB127" s="15">
        <f t="shared" si="8"/>
        <v>0.12500244055533316</v>
      </c>
      <c r="AC127" t="b">
        <f t="shared" si="9"/>
        <v>1</v>
      </c>
    </row>
    <row r="128" spans="1:29" x14ac:dyDescent="0.25">
      <c r="A128" s="52" t="s">
        <v>259</v>
      </c>
      <c r="B128" s="46">
        <v>30013</v>
      </c>
      <c r="C128" s="47">
        <v>45757</v>
      </c>
      <c r="D128" s="46">
        <v>321600</v>
      </c>
      <c r="E128" s="46">
        <v>2</v>
      </c>
      <c r="F128" s="52" t="s">
        <v>1775</v>
      </c>
      <c r="G128" s="46">
        <v>6</v>
      </c>
      <c r="H128" s="52" t="s">
        <v>784</v>
      </c>
      <c r="I128" s="46"/>
      <c r="J128" s="46">
        <v>0</v>
      </c>
      <c r="K128" s="46"/>
      <c r="L128" s="52" t="s">
        <v>690</v>
      </c>
      <c r="M128" s="53">
        <v>1000000</v>
      </c>
      <c r="N128" s="46">
        <v>12</v>
      </c>
      <c r="O128" s="46">
        <v>0</v>
      </c>
      <c r="P128" s="46">
        <v>1</v>
      </c>
      <c r="Q128" s="52">
        <v>10</v>
      </c>
      <c r="R128" s="53">
        <v>11890</v>
      </c>
      <c r="S128" s="46">
        <v>1</v>
      </c>
      <c r="T128" s="53">
        <v>0</v>
      </c>
      <c r="U128" s="53">
        <f t="shared" si="12"/>
        <v>21700</v>
      </c>
      <c r="V128" s="46">
        <v>1</v>
      </c>
      <c r="W128" s="53">
        <v>88797</v>
      </c>
      <c r="X128" s="46">
        <v>1</v>
      </c>
      <c r="Y128" s="46">
        <v>1</v>
      </c>
      <c r="Z128" s="54">
        <v>0.18427066427090119</v>
      </c>
      <c r="AA128" s="15">
        <f t="shared" si="7"/>
        <v>1.5355888689241766E-2</v>
      </c>
      <c r="AB128" s="15">
        <f t="shared" si="8"/>
        <v>0.18427066427090119</v>
      </c>
      <c r="AC128" t="b">
        <f t="shared" si="9"/>
        <v>1</v>
      </c>
    </row>
    <row r="129" spans="1:29" x14ac:dyDescent="0.25">
      <c r="A129" s="52" t="s">
        <v>259</v>
      </c>
      <c r="B129" s="46">
        <v>30013</v>
      </c>
      <c r="C129" s="47">
        <v>45757</v>
      </c>
      <c r="D129" s="46">
        <v>321300</v>
      </c>
      <c r="E129" s="46">
        <v>2</v>
      </c>
      <c r="F129" s="52" t="s">
        <v>1776</v>
      </c>
      <c r="G129" s="46">
        <v>6</v>
      </c>
      <c r="H129" s="52" t="s">
        <v>1642</v>
      </c>
      <c r="I129" s="46"/>
      <c r="J129" s="46">
        <v>0</v>
      </c>
      <c r="K129" s="46"/>
      <c r="L129" s="52" t="s">
        <v>268</v>
      </c>
      <c r="M129" s="55">
        <v>2730000</v>
      </c>
      <c r="N129" s="46">
        <v>8</v>
      </c>
      <c r="O129" s="46">
        <v>0</v>
      </c>
      <c r="P129" s="46">
        <v>2</v>
      </c>
      <c r="Q129" s="52">
        <v>12</v>
      </c>
      <c r="R129" s="55">
        <v>81149</v>
      </c>
      <c r="S129" s="46">
        <v>1</v>
      </c>
      <c r="T129" s="55">
        <v>50950</v>
      </c>
      <c r="U129" s="53">
        <f t="shared" si="12"/>
        <v>39000</v>
      </c>
      <c r="V129" s="46">
        <v>1</v>
      </c>
      <c r="W129" s="55">
        <v>398263</v>
      </c>
      <c r="X129" s="46">
        <v>1</v>
      </c>
      <c r="Y129" s="46">
        <v>1</v>
      </c>
      <c r="Z129" s="54">
        <v>0.20585310812338192</v>
      </c>
      <c r="AA129" s="15">
        <f t="shared" si="7"/>
        <v>5.1463277030845481E-2</v>
      </c>
      <c r="AB129" s="15">
        <f t="shared" si="8"/>
        <v>0.20585310812338192</v>
      </c>
      <c r="AC129" t="b">
        <f t="shared" si="9"/>
        <v>1</v>
      </c>
    </row>
    <row r="130" spans="1:29" x14ac:dyDescent="0.25">
      <c r="A130" s="52" t="s">
        <v>259</v>
      </c>
      <c r="B130" s="46">
        <v>30013</v>
      </c>
      <c r="C130" s="47">
        <v>45757</v>
      </c>
      <c r="D130" s="46">
        <v>311500</v>
      </c>
      <c r="E130" s="46">
        <v>2</v>
      </c>
      <c r="F130" s="52" t="s">
        <v>1777</v>
      </c>
      <c r="G130" s="46">
        <v>6</v>
      </c>
      <c r="H130" s="52" t="s">
        <v>784</v>
      </c>
      <c r="I130" s="46"/>
      <c r="J130" s="46">
        <v>0</v>
      </c>
      <c r="K130" s="46"/>
      <c r="L130" s="52" t="s">
        <v>261</v>
      </c>
      <c r="M130" s="53">
        <v>3300000</v>
      </c>
      <c r="N130" s="46">
        <v>48</v>
      </c>
      <c r="O130" s="46">
        <v>0</v>
      </c>
      <c r="P130" s="46">
        <v>1</v>
      </c>
      <c r="Q130" s="52">
        <v>12</v>
      </c>
      <c r="R130" s="53">
        <v>98093</v>
      </c>
      <c r="S130" s="46">
        <v>1</v>
      </c>
      <c r="T130" s="53">
        <v>109000</v>
      </c>
      <c r="U130" s="53">
        <f t="shared" si="12"/>
        <v>44700</v>
      </c>
      <c r="V130" s="46">
        <v>1</v>
      </c>
      <c r="W130" s="53">
        <v>90622</v>
      </c>
      <c r="X130" s="46">
        <v>1</v>
      </c>
      <c r="Y130" s="46">
        <v>1</v>
      </c>
      <c r="Z130" s="54">
        <v>0.18676364114815425</v>
      </c>
      <c r="AA130" s="15">
        <f t="shared" si="7"/>
        <v>1.5563636762346188E-2</v>
      </c>
      <c r="AB130" s="15">
        <f t="shared" si="8"/>
        <v>0.18676364114815425</v>
      </c>
      <c r="AC130" t="b">
        <f t="shared" si="9"/>
        <v>1</v>
      </c>
    </row>
    <row r="131" spans="1:29" x14ac:dyDescent="0.25">
      <c r="A131" s="52" t="s">
        <v>259</v>
      </c>
      <c r="B131" s="46">
        <v>30013</v>
      </c>
      <c r="C131" s="47">
        <v>45757</v>
      </c>
      <c r="D131" s="46">
        <v>321300</v>
      </c>
      <c r="E131" s="46">
        <v>2</v>
      </c>
      <c r="F131" s="52" t="s">
        <v>1778</v>
      </c>
      <c r="G131" s="46">
        <v>6</v>
      </c>
      <c r="H131" s="52" t="s">
        <v>1642</v>
      </c>
      <c r="I131" s="46"/>
      <c r="J131" s="46">
        <v>0</v>
      </c>
      <c r="K131" s="46"/>
      <c r="L131" s="52" t="s">
        <v>697</v>
      </c>
      <c r="M131" s="55">
        <v>5000000</v>
      </c>
      <c r="N131" s="46">
        <v>8</v>
      </c>
      <c r="O131" s="46">
        <v>0</v>
      </c>
      <c r="P131" s="46">
        <v>2</v>
      </c>
      <c r="Q131" s="52">
        <v>12</v>
      </c>
      <c r="R131" s="55">
        <v>148625</v>
      </c>
      <c r="S131" s="46">
        <v>1</v>
      </c>
      <c r="T131" s="55">
        <v>85000</v>
      </c>
      <c r="U131" s="55">
        <f t="shared" si="12"/>
        <v>61700</v>
      </c>
      <c r="V131" s="46">
        <v>1</v>
      </c>
      <c r="W131" s="55">
        <v>729419</v>
      </c>
      <c r="X131" s="46">
        <v>1</v>
      </c>
      <c r="Y131" s="46">
        <v>1</v>
      </c>
      <c r="Z131" s="54">
        <v>0.20204235131493789</v>
      </c>
      <c r="AA131" s="15">
        <f t="shared" si="7"/>
        <v>5.0510587828734473E-2</v>
      </c>
      <c r="AB131" s="15">
        <f t="shared" si="8"/>
        <v>0.20204235131493789</v>
      </c>
      <c r="AC131" t="b">
        <f t="shared" si="9"/>
        <v>1</v>
      </c>
    </row>
    <row r="132" spans="1:29" x14ac:dyDescent="0.25">
      <c r="A132" s="52" t="s">
        <v>259</v>
      </c>
      <c r="B132" s="46">
        <v>30013</v>
      </c>
      <c r="C132" s="47">
        <v>45757</v>
      </c>
      <c r="D132" s="46">
        <v>321600</v>
      </c>
      <c r="E132" s="46">
        <v>2</v>
      </c>
      <c r="F132" s="52" t="s">
        <v>1779</v>
      </c>
      <c r="G132" s="46">
        <v>6</v>
      </c>
      <c r="H132" s="52" t="s">
        <v>1642</v>
      </c>
      <c r="I132" s="46"/>
      <c r="J132" s="46">
        <v>0</v>
      </c>
      <c r="K132" s="46"/>
      <c r="L132" s="52" t="s">
        <v>686</v>
      </c>
      <c r="M132" s="53">
        <v>1000000</v>
      </c>
      <c r="N132" s="46">
        <v>12</v>
      </c>
      <c r="O132" s="46">
        <v>0</v>
      </c>
      <c r="P132" s="46">
        <v>1</v>
      </c>
      <c r="Q132" s="52">
        <v>10</v>
      </c>
      <c r="R132" s="53">
        <v>0</v>
      </c>
      <c r="S132" s="46">
        <v>1</v>
      </c>
      <c r="T132" s="53">
        <v>0</v>
      </c>
      <c r="U132" s="53">
        <f t="shared" si="12"/>
        <v>21700</v>
      </c>
      <c r="V132" s="46">
        <v>1</v>
      </c>
      <c r="W132" s="53">
        <v>89091</v>
      </c>
      <c r="X132" s="46">
        <v>1</v>
      </c>
      <c r="Y132" s="46">
        <v>1</v>
      </c>
      <c r="Z132" s="54">
        <v>0.16709943661274673</v>
      </c>
      <c r="AA132" s="15">
        <f t="shared" ref="AA132:AA195" si="13">RATE(N132,-W132,M132-R132-T132-U132)</f>
        <v>1.3924953051062228E-2</v>
      </c>
      <c r="AB132" s="15">
        <f t="shared" ref="AB132:AB195" si="14">IF(P132=1,AA132*12,IF(P132=2,AA132*4,IF(P132=3,AA132*2,AA132)))</f>
        <v>0.16709943661274673</v>
      </c>
      <c r="AC132" t="b">
        <f t="shared" ref="AC132:AC195" si="15">AB132=Z132</f>
        <v>1</v>
      </c>
    </row>
    <row r="133" spans="1:29" x14ac:dyDescent="0.25">
      <c r="A133" s="52" t="s">
        <v>259</v>
      </c>
      <c r="B133" s="46">
        <v>30013</v>
      </c>
      <c r="C133" s="47">
        <v>45757</v>
      </c>
      <c r="D133" s="46">
        <v>321600</v>
      </c>
      <c r="E133" s="46">
        <v>2</v>
      </c>
      <c r="F133" s="52" t="s">
        <v>1780</v>
      </c>
      <c r="G133" s="46">
        <v>6</v>
      </c>
      <c r="H133" s="52" t="s">
        <v>784</v>
      </c>
      <c r="I133" s="46"/>
      <c r="J133" s="46">
        <v>0</v>
      </c>
      <c r="K133" s="46"/>
      <c r="L133" s="52" t="s">
        <v>690</v>
      </c>
      <c r="M133" s="53">
        <v>500000</v>
      </c>
      <c r="N133" s="46">
        <v>12</v>
      </c>
      <c r="O133" s="46">
        <v>0</v>
      </c>
      <c r="P133" s="46">
        <v>1</v>
      </c>
      <c r="Q133" s="52">
        <v>10</v>
      </c>
      <c r="R133" s="53">
        <v>4756</v>
      </c>
      <c r="S133" s="46">
        <v>1</v>
      </c>
      <c r="T133" s="53">
        <v>0</v>
      </c>
      <c r="U133" s="53">
        <v>21700</v>
      </c>
      <c r="V133" s="46">
        <v>1</v>
      </c>
      <c r="W133" s="53">
        <v>44399</v>
      </c>
      <c r="X133" s="46">
        <v>1</v>
      </c>
      <c r="Y133" s="46">
        <v>1</v>
      </c>
      <c r="Z133" s="54">
        <v>0.22341836774606877</v>
      </c>
      <c r="AA133" s="15">
        <f t="shared" si="13"/>
        <v>1.8618197312172399E-2</v>
      </c>
      <c r="AB133" s="15">
        <f t="shared" si="14"/>
        <v>0.22341836774606877</v>
      </c>
      <c r="AC133" t="b">
        <f t="shared" si="15"/>
        <v>1</v>
      </c>
    </row>
    <row r="134" spans="1:29" x14ac:dyDescent="0.25">
      <c r="A134" s="52" t="s">
        <v>259</v>
      </c>
      <c r="B134" s="46">
        <v>30013</v>
      </c>
      <c r="C134" s="47">
        <v>45757</v>
      </c>
      <c r="D134" s="46">
        <v>311500</v>
      </c>
      <c r="E134" s="46">
        <v>2</v>
      </c>
      <c r="F134" s="52" t="s">
        <v>1781</v>
      </c>
      <c r="G134" s="46">
        <v>6</v>
      </c>
      <c r="H134" s="52" t="s">
        <v>784</v>
      </c>
      <c r="I134" s="46"/>
      <c r="J134" s="46">
        <v>0</v>
      </c>
      <c r="K134" s="46"/>
      <c r="L134" s="52" t="s">
        <v>261</v>
      </c>
      <c r="M134" s="53">
        <v>1900000</v>
      </c>
      <c r="N134" s="46">
        <v>48</v>
      </c>
      <c r="O134" s="46">
        <v>0</v>
      </c>
      <c r="P134" s="46">
        <v>1</v>
      </c>
      <c r="Q134" s="52">
        <v>11</v>
      </c>
      <c r="R134" s="53">
        <v>56478</v>
      </c>
      <c r="S134" s="46">
        <v>1</v>
      </c>
      <c r="T134" s="53">
        <v>67000</v>
      </c>
      <c r="U134" s="53">
        <f>M134/100+11700</f>
        <v>30700</v>
      </c>
      <c r="V134" s="46">
        <v>1</v>
      </c>
      <c r="W134" s="53">
        <v>51047</v>
      </c>
      <c r="X134" s="46">
        <v>1</v>
      </c>
      <c r="Y134" s="46">
        <v>1</v>
      </c>
      <c r="Z134" s="54">
        <v>0.17740400572565868</v>
      </c>
      <c r="AA134" s="15">
        <f t="shared" si="13"/>
        <v>1.4783667143804888E-2</v>
      </c>
      <c r="AB134" s="15">
        <f t="shared" si="14"/>
        <v>0.17740400572565868</v>
      </c>
      <c r="AC134" t="b">
        <f t="shared" si="15"/>
        <v>1</v>
      </c>
    </row>
    <row r="135" spans="1:29" x14ac:dyDescent="0.25">
      <c r="A135" s="52" t="s">
        <v>259</v>
      </c>
      <c r="B135" s="46">
        <v>30013</v>
      </c>
      <c r="C135" s="47">
        <v>45757</v>
      </c>
      <c r="D135" s="46">
        <v>311500</v>
      </c>
      <c r="E135" s="46">
        <v>2</v>
      </c>
      <c r="F135" s="52" t="s">
        <v>1782</v>
      </c>
      <c r="G135" s="46">
        <v>6</v>
      </c>
      <c r="H135" s="52" t="s">
        <v>784</v>
      </c>
      <c r="I135" s="46"/>
      <c r="J135" s="46">
        <v>0</v>
      </c>
      <c r="K135" s="46"/>
      <c r="L135" s="52" t="s">
        <v>693</v>
      </c>
      <c r="M135" s="53">
        <v>2400000</v>
      </c>
      <c r="N135" s="46">
        <v>60</v>
      </c>
      <c r="O135" s="46">
        <v>0</v>
      </c>
      <c r="P135" s="46">
        <v>1</v>
      </c>
      <c r="Q135" s="52">
        <v>12</v>
      </c>
      <c r="R135" s="53">
        <v>71340</v>
      </c>
      <c r="S135" s="46">
        <v>1</v>
      </c>
      <c r="T135" s="53">
        <v>100000</v>
      </c>
      <c r="U135" s="53">
        <f>M135/100+11700</f>
        <v>35700</v>
      </c>
      <c r="V135" s="46">
        <v>1</v>
      </c>
      <c r="W135" s="53">
        <v>56178</v>
      </c>
      <c r="X135" s="46">
        <v>1</v>
      </c>
      <c r="Y135" s="46">
        <v>1</v>
      </c>
      <c r="Z135" s="54">
        <v>0.18410799964814314</v>
      </c>
      <c r="AA135" s="15">
        <f t="shared" si="13"/>
        <v>1.5342333304011928E-2</v>
      </c>
      <c r="AB135" s="15">
        <f t="shared" si="14"/>
        <v>0.18410799964814314</v>
      </c>
      <c r="AC135" t="b">
        <f t="shared" si="15"/>
        <v>1</v>
      </c>
    </row>
    <row r="136" spans="1:29" x14ac:dyDescent="0.25">
      <c r="A136" s="52" t="s">
        <v>259</v>
      </c>
      <c r="B136" s="46">
        <v>30013</v>
      </c>
      <c r="C136" s="47">
        <v>45757</v>
      </c>
      <c r="D136" s="46">
        <v>311500</v>
      </c>
      <c r="E136" s="46">
        <v>2</v>
      </c>
      <c r="F136" s="52" t="s">
        <v>1783</v>
      </c>
      <c r="G136" s="46">
        <v>6</v>
      </c>
      <c r="H136" s="52" t="s">
        <v>784</v>
      </c>
      <c r="I136" s="46"/>
      <c r="J136" s="46">
        <v>0</v>
      </c>
      <c r="K136" s="46"/>
      <c r="L136" s="52" t="s">
        <v>261</v>
      </c>
      <c r="M136" s="53">
        <v>5000000</v>
      </c>
      <c r="N136" s="46">
        <v>60</v>
      </c>
      <c r="O136" s="46">
        <v>0</v>
      </c>
      <c r="P136" s="46">
        <v>1</v>
      </c>
      <c r="Q136" s="52">
        <v>12</v>
      </c>
      <c r="R136" s="53">
        <v>148625</v>
      </c>
      <c r="S136" s="46">
        <v>1</v>
      </c>
      <c r="T136" s="53">
        <v>197500</v>
      </c>
      <c r="U136" s="53">
        <f>M136/100+11700</f>
        <v>61700</v>
      </c>
      <c r="V136" s="46">
        <v>1</v>
      </c>
      <c r="W136" s="53">
        <v>117037</v>
      </c>
      <c r="X136" s="46">
        <v>1</v>
      </c>
      <c r="Y136" s="46">
        <v>1</v>
      </c>
      <c r="Z136" s="54">
        <v>0.18170335041994667</v>
      </c>
      <c r="AA136" s="15">
        <f t="shared" si="13"/>
        <v>1.5141945868328888E-2</v>
      </c>
      <c r="AB136" s="15">
        <f t="shared" si="14"/>
        <v>0.18170335041994667</v>
      </c>
      <c r="AC136" t="b">
        <f t="shared" si="15"/>
        <v>1</v>
      </c>
    </row>
    <row r="137" spans="1:29" x14ac:dyDescent="0.25">
      <c r="A137" s="52" t="s">
        <v>259</v>
      </c>
      <c r="B137" s="46">
        <v>30013</v>
      </c>
      <c r="C137" s="47">
        <v>45757</v>
      </c>
      <c r="D137" s="46">
        <v>311500</v>
      </c>
      <c r="E137" s="46">
        <v>2</v>
      </c>
      <c r="F137" s="52" t="s">
        <v>1784</v>
      </c>
      <c r="G137" s="46">
        <v>6</v>
      </c>
      <c r="H137" s="52" t="s">
        <v>784</v>
      </c>
      <c r="I137" s="46"/>
      <c r="J137" s="46">
        <v>0</v>
      </c>
      <c r="K137" s="46"/>
      <c r="L137" s="52" t="s">
        <v>261</v>
      </c>
      <c r="M137" s="53">
        <v>10000000</v>
      </c>
      <c r="N137" s="46">
        <v>60</v>
      </c>
      <c r="O137" s="46">
        <v>0</v>
      </c>
      <c r="P137" s="46">
        <v>1</v>
      </c>
      <c r="Q137" s="52">
        <v>12</v>
      </c>
      <c r="R137" s="53">
        <v>297250</v>
      </c>
      <c r="S137" s="46">
        <v>1</v>
      </c>
      <c r="T137" s="53">
        <v>390000</v>
      </c>
      <c r="U137" s="53">
        <f>M137/100+11700</f>
        <v>111700</v>
      </c>
      <c r="V137" s="46">
        <v>1</v>
      </c>
      <c r="W137" s="53">
        <v>234074</v>
      </c>
      <c r="X137" s="46">
        <v>1</v>
      </c>
      <c r="Y137" s="46">
        <v>1</v>
      </c>
      <c r="Z137" s="54">
        <v>0.1808542734871087</v>
      </c>
      <c r="AA137" s="15">
        <f t="shared" si="13"/>
        <v>1.5071189457259057E-2</v>
      </c>
      <c r="AB137" s="15">
        <f t="shared" si="14"/>
        <v>0.1808542734871087</v>
      </c>
      <c r="AC137" t="b">
        <f t="shared" si="15"/>
        <v>1</v>
      </c>
    </row>
    <row r="138" spans="1:29" x14ac:dyDescent="0.25">
      <c r="A138" s="52" t="s">
        <v>259</v>
      </c>
      <c r="B138" s="46">
        <v>30013</v>
      </c>
      <c r="C138" s="47">
        <v>45757</v>
      </c>
      <c r="D138" s="46">
        <v>321600</v>
      </c>
      <c r="E138" s="46">
        <v>2</v>
      </c>
      <c r="F138" s="52" t="s">
        <v>1785</v>
      </c>
      <c r="G138" s="46">
        <v>6</v>
      </c>
      <c r="H138" s="52" t="s">
        <v>1642</v>
      </c>
      <c r="I138" s="46"/>
      <c r="J138" s="46">
        <v>0</v>
      </c>
      <c r="K138" s="46"/>
      <c r="L138" s="52" t="s">
        <v>231</v>
      </c>
      <c r="M138" s="53">
        <v>1000000</v>
      </c>
      <c r="N138" s="46">
        <v>12</v>
      </c>
      <c r="O138" s="46">
        <v>0</v>
      </c>
      <c r="P138" s="46">
        <v>1</v>
      </c>
      <c r="Q138" s="52">
        <v>10</v>
      </c>
      <c r="R138" s="53">
        <v>11890</v>
      </c>
      <c r="S138" s="46">
        <v>1</v>
      </c>
      <c r="T138" s="53">
        <v>0</v>
      </c>
      <c r="U138" s="53">
        <f>M138/100+11700</f>
        <v>21700</v>
      </c>
      <c r="V138" s="46">
        <v>1</v>
      </c>
      <c r="W138" s="53">
        <v>88797</v>
      </c>
      <c r="X138" s="46">
        <v>1</v>
      </c>
      <c r="Y138" s="46">
        <v>1</v>
      </c>
      <c r="Z138" s="54">
        <v>0.18427066427090119</v>
      </c>
      <c r="AA138" s="15">
        <f t="shared" si="13"/>
        <v>1.5355888689241766E-2</v>
      </c>
      <c r="AB138" s="15">
        <f t="shared" si="14"/>
        <v>0.18427066427090119</v>
      </c>
      <c r="AC138" t="b">
        <f t="shared" si="15"/>
        <v>1</v>
      </c>
    </row>
    <row r="139" spans="1:29" x14ac:dyDescent="0.25">
      <c r="A139" s="52" t="s">
        <v>259</v>
      </c>
      <c r="B139" s="46">
        <v>30013</v>
      </c>
      <c r="C139" s="47">
        <v>45757</v>
      </c>
      <c r="D139" s="46">
        <v>321600</v>
      </c>
      <c r="E139" s="46">
        <v>2</v>
      </c>
      <c r="F139" s="52" t="s">
        <v>1786</v>
      </c>
      <c r="G139" s="46">
        <v>6</v>
      </c>
      <c r="H139" s="52" t="s">
        <v>784</v>
      </c>
      <c r="I139" s="46"/>
      <c r="J139" s="46">
        <v>0</v>
      </c>
      <c r="K139" s="46"/>
      <c r="L139" s="52" t="s">
        <v>261</v>
      </c>
      <c r="M139" s="53">
        <v>500000</v>
      </c>
      <c r="N139" s="46">
        <v>12</v>
      </c>
      <c r="O139" s="46">
        <v>0</v>
      </c>
      <c r="P139" s="46">
        <v>1</v>
      </c>
      <c r="Q139" s="52">
        <v>10</v>
      </c>
      <c r="R139" s="53">
        <v>4756</v>
      </c>
      <c r="S139" s="46">
        <v>1</v>
      </c>
      <c r="T139" s="53">
        <v>0</v>
      </c>
      <c r="U139" s="53">
        <v>21700</v>
      </c>
      <c r="V139" s="46">
        <v>1</v>
      </c>
      <c r="W139" s="53">
        <v>44399</v>
      </c>
      <c r="X139" s="46">
        <v>1</v>
      </c>
      <c r="Y139" s="46">
        <v>1</v>
      </c>
      <c r="Z139" s="54">
        <v>0.22341836774606877</v>
      </c>
      <c r="AA139" s="15">
        <f t="shared" si="13"/>
        <v>1.8618197312172399E-2</v>
      </c>
      <c r="AB139" s="15">
        <f t="shared" si="14"/>
        <v>0.22341836774606877</v>
      </c>
      <c r="AC139" t="b">
        <f t="shared" si="15"/>
        <v>1</v>
      </c>
    </row>
    <row r="140" spans="1:29" x14ac:dyDescent="0.25">
      <c r="A140" s="52" t="s">
        <v>259</v>
      </c>
      <c r="B140" s="46">
        <v>30013</v>
      </c>
      <c r="C140" s="47">
        <v>45757</v>
      </c>
      <c r="D140" s="46">
        <v>311500</v>
      </c>
      <c r="E140" s="46">
        <v>2</v>
      </c>
      <c r="F140" s="52" t="s">
        <v>1787</v>
      </c>
      <c r="G140" s="46">
        <v>6</v>
      </c>
      <c r="H140" s="52" t="s">
        <v>1650</v>
      </c>
      <c r="I140" s="46"/>
      <c r="J140" s="46">
        <v>0</v>
      </c>
      <c r="K140" s="46"/>
      <c r="L140" s="52" t="s">
        <v>261</v>
      </c>
      <c r="M140" s="53">
        <v>5300000</v>
      </c>
      <c r="N140" s="46">
        <v>72</v>
      </c>
      <c r="O140" s="46">
        <v>0</v>
      </c>
      <c r="P140" s="46">
        <v>1</v>
      </c>
      <c r="Q140" s="52">
        <v>12</v>
      </c>
      <c r="R140" s="53">
        <v>94526</v>
      </c>
      <c r="S140" s="46">
        <v>1</v>
      </c>
      <c r="T140" s="53">
        <v>248500</v>
      </c>
      <c r="U140" s="53">
        <f t="shared" ref="U140:U152" si="16">M140/100+11700</f>
        <v>64700</v>
      </c>
      <c r="V140" s="46">
        <v>1</v>
      </c>
      <c r="W140" s="53">
        <v>109972</v>
      </c>
      <c r="X140" s="46">
        <v>1</v>
      </c>
      <c r="Y140" s="46">
        <v>1</v>
      </c>
      <c r="Z140" s="54">
        <v>0.17415672486534939</v>
      </c>
      <c r="AA140" s="15">
        <f t="shared" si="13"/>
        <v>1.4513060405445782E-2</v>
      </c>
      <c r="AB140" s="15">
        <f t="shared" si="14"/>
        <v>0.17415672486534939</v>
      </c>
      <c r="AC140" t="b">
        <f t="shared" si="15"/>
        <v>1</v>
      </c>
    </row>
    <row r="141" spans="1:29" x14ac:dyDescent="0.25">
      <c r="A141" s="52" t="s">
        <v>259</v>
      </c>
      <c r="B141" s="46">
        <v>30013</v>
      </c>
      <c r="C141" s="47">
        <v>45757</v>
      </c>
      <c r="D141" s="46">
        <v>311500</v>
      </c>
      <c r="E141" s="46">
        <v>2</v>
      </c>
      <c r="F141" s="52" t="s">
        <v>1788</v>
      </c>
      <c r="G141" s="46">
        <v>6</v>
      </c>
      <c r="H141" s="52" t="s">
        <v>784</v>
      </c>
      <c r="I141" s="46"/>
      <c r="J141" s="46">
        <v>0</v>
      </c>
      <c r="K141" s="46"/>
      <c r="L141" s="52" t="s">
        <v>261</v>
      </c>
      <c r="M141" s="53">
        <v>2400000</v>
      </c>
      <c r="N141" s="46">
        <v>48</v>
      </c>
      <c r="O141" s="46">
        <v>0</v>
      </c>
      <c r="P141" s="46">
        <v>1</v>
      </c>
      <c r="Q141" s="52">
        <v>11</v>
      </c>
      <c r="R141" s="53">
        <v>71340</v>
      </c>
      <c r="S141" s="46">
        <v>1</v>
      </c>
      <c r="T141" s="53">
        <v>82000</v>
      </c>
      <c r="U141" s="53">
        <f t="shared" si="16"/>
        <v>35700</v>
      </c>
      <c r="V141" s="46">
        <v>1</v>
      </c>
      <c r="W141" s="53">
        <v>64480</v>
      </c>
      <c r="X141" s="46">
        <v>1</v>
      </c>
      <c r="Y141" s="46">
        <v>1</v>
      </c>
      <c r="Z141" s="54">
        <v>0.17595017478119351</v>
      </c>
      <c r="AA141" s="15">
        <f t="shared" si="13"/>
        <v>1.4662514565099458E-2</v>
      </c>
      <c r="AB141" s="15">
        <f t="shared" si="14"/>
        <v>0.17595017478119351</v>
      </c>
      <c r="AC141" t="b">
        <f t="shared" si="15"/>
        <v>1</v>
      </c>
    </row>
    <row r="142" spans="1:29" x14ac:dyDescent="0.25">
      <c r="A142" s="52" t="s">
        <v>259</v>
      </c>
      <c r="B142" s="46">
        <v>30013</v>
      </c>
      <c r="C142" s="47">
        <v>45757</v>
      </c>
      <c r="D142" s="46">
        <v>311500</v>
      </c>
      <c r="E142" s="46">
        <v>2</v>
      </c>
      <c r="F142" s="52" t="s">
        <v>1789</v>
      </c>
      <c r="G142" s="46">
        <v>6</v>
      </c>
      <c r="H142" s="52" t="s">
        <v>784</v>
      </c>
      <c r="I142" s="46"/>
      <c r="J142" s="46">
        <v>0</v>
      </c>
      <c r="K142" s="46"/>
      <c r="L142" s="52" t="s">
        <v>266</v>
      </c>
      <c r="M142" s="53">
        <v>10000000</v>
      </c>
      <c r="N142" s="46">
        <v>72</v>
      </c>
      <c r="O142" s="46">
        <v>0</v>
      </c>
      <c r="P142" s="46">
        <v>1</v>
      </c>
      <c r="Q142" s="52">
        <v>8</v>
      </c>
      <c r="R142" s="53">
        <v>178350</v>
      </c>
      <c r="S142" s="46">
        <v>1</v>
      </c>
      <c r="T142" s="53">
        <v>465000</v>
      </c>
      <c r="U142" s="53">
        <f t="shared" si="16"/>
        <v>111700</v>
      </c>
      <c r="V142" s="46">
        <v>1</v>
      </c>
      <c r="W142" s="53">
        <v>180948</v>
      </c>
      <c r="X142" s="46">
        <v>1</v>
      </c>
      <c r="Y142" s="46">
        <v>1</v>
      </c>
      <c r="Z142" s="54">
        <v>0.12043135922164858</v>
      </c>
      <c r="AA142" s="15">
        <f t="shared" si="13"/>
        <v>1.0035946601804048E-2</v>
      </c>
      <c r="AB142" s="15">
        <f t="shared" si="14"/>
        <v>0.12043135922164858</v>
      </c>
      <c r="AC142" t="b">
        <f t="shared" si="15"/>
        <v>1</v>
      </c>
    </row>
    <row r="143" spans="1:29" x14ac:dyDescent="0.25">
      <c r="A143" s="52" t="s">
        <v>259</v>
      </c>
      <c r="B143" s="46">
        <v>30013</v>
      </c>
      <c r="C143" s="47">
        <v>45757</v>
      </c>
      <c r="D143" s="46">
        <v>311500</v>
      </c>
      <c r="E143" s="46">
        <v>2</v>
      </c>
      <c r="F143" s="52" t="s">
        <v>1790</v>
      </c>
      <c r="G143" s="46">
        <v>6</v>
      </c>
      <c r="H143" s="52" t="s">
        <v>1642</v>
      </c>
      <c r="I143" s="46"/>
      <c r="J143" s="46">
        <v>0</v>
      </c>
      <c r="K143" s="46"/>
      <c r="L143" s="52" t="s">
        <v>231</v>
      </c>
      <c r="M143" s="53">
        <v>2760000</v>
      </c>
      <c r="N143" s="46">
        <v>48</v>
      </c>
      <c r="O143" s="46">
        <v>0</v>
      </c>
      <c r="P143" s="46">
        <v>1</v>
      </c>
      <c r="Q143" s="52">
        <v>8</v>
      </c>
      <c r="R143" s="53">
        <v>82041</v>
      </c>
      <c r="S143" s="46">
        <v>1</v>
      </c>
      <c r="T143" s="53">
        <v>92800</v>
      </c>
      <c r="U143" s="53">
        <f t="shared" si="16"/>
        <v>39300</v>
      </c>
      <c r="V143" s="46">
        <v>1</v>
      </c>
      <c r="W143" s="53">
        <v>69356</v>
      </c>
      <c r="X143" s="46">
        <v>1</v>
      </c>
      <c r="Y143" s="46">
        <v>1</v>
      </c>
      <c r="Z143" s="54">
        <v>0.1383278718025554</v>
      </c>
      <c r="AA143" s="15">
        <f t="shared" si="13"/>
        <v>1.1527322650212951E-2</v>
      </c>
      <c r="AB143" s="15">
        <f t="shared" si="14"/>
        <v>0.1383278718025554</v>
      </c>
      <c r="AC143" t="b">
        <f t="shared" si="15"/>
        <v>1</v>
      </c>
    </row>
    <row r="144" spans="1:29" x14ac:dyDescent="0.25">
      <c r="A144" s="52" t="s">
        <v>259</v>
      </c>
      <c r="B144" s="46">
        <v>30013</v>
      </c>
      <c r="C144" s="47">
        <v>45757</v>
      </c>
      <c r="D144" s="46">
        <v>321300</v>
      </c>
      <c r="E144" s="46">
        <v>2</v>
      </c>
      <c r="F144" s="52" t="s">
        <v>1791</v>
      </c>
      <c r="G144" s="46">
        <v>6</v>
      </c>
      <c r="H144" s="52" t="s">
        <v>1792</v>
      </c>
      <c r="I144" s="46"/>
      <c r="J144" s="46">
        <v>0</v>
      </c>
      <c r="K144" s="46"/>
      <c r="L144" s="52" t="s">
        <v>690</v>
      </c>
      <c r="M144" s="53">
        <v>7000000</v>
      </c>
      <c r="N144" s="46">
        <v>24</v>
      </c>
      <c r="O144" s="46">
        <v>0</v>
      </c>
      <c r="P144" s="46">
        <v>1</v>
      </c>
      <c r="Q144" s="52">
        <v>8</v>
      </c>
      <c r="R144" s="53">
        <v>208075</v>
      </c>
      <c r="S144" s="46">
        <v>1</v>
      </c>
      <c r="T144" s="53">
        <v>115000</v>
      </c>
      <c r="U144" s="53">
        <f t="shared" si="16"/>
        <v>81700</v>
      </c>
      <c r="V144" s="46">
        <v>1</v>
      </c>
      <c r="W144" s="53">
        <v>321440</v>
      </c>
      <c r="X144" s="46">
        <v>1</v>
      </c>
      <c r="Y144" s="46">
        <v>1</v>
      </c>
      <c r="Z144" s="54">
        <v>0.15528854550658355</v>
      </c>
      <c r="AA144" s="15">
        <f t="shared" si="13"/>
        <v>1.2940712125548629E-2</v>
      </c>
      <c r="AB144" s="15">
        <f t="shared" si="14"/>
        <v>0.15528854550658355</v>
      </c>
      <c r="AC144" t="b">
        <f t="shared" si="15"/>
        <v>1</v>
      </c>
    </row>
    <row r="145" spans="1:29" x14ac:dyDescent="0.25">
      <c r="A145" s="52" t="s">
        <v>259</v>
      </c>
      <c r="B145" s="46">
        <v>30013</v>
      </c>
      <c r="C145" s="47">
        <v>45757</v>
      </c>
      <c r="D145" s="46">
        <v>311500</v>
      </c>
      <c r="E145" s="46">
        <v>2</v>
      </c>
      <c r="F145" s="52" t="s">
        <v>1793</v>
      </c>
      <c r="G145" s="46">
        <v>6</v>
      </c>
      <c r="H145" s="52" t="s">
        <v>784</v>
      </c>
      <c r="I145" s="46"/>
      <c r="J145" s="46">
        <v>0</v>
      </c>
      <c r="K145" s="46"/>
      <c r="L145" s="52" t="s">
        <v>261</v>
      </c>
      <c r="M145" s="53">
        <v>3800000</v>
      </c>
      <c r="N145" s="46">
        <v>48</v>
      </c>
      <c r="O145" s="46">
        <v>0</v>
      </c>
      <c r="P145" s="46">
        <v>1</v>
      </c>
      <c r="Q145" s="52">
        <v>12</v>
      </c>
      <c r="R145" s="53">
        <v>112955</v>
      </c>
      <c r="S145" s="46">
        <v>1</v>
      </c>
      <c r="T145" s="53">
        <v>124000</v>
      </c>
      <c r="U145" s="53">
        <f t="shared" si="16"/>
        <v>49700</v>
      </c>
      <c r="V145" s="46">
        <v>1</v>
      </c>
      <c r="W145" s="53">
        <v>102771</v>
      </c>
      <c r="X145" s="46">
        <v>1</v>
      </c>
      <c r="Y145" s="46">
        <v>1</v>
      </c>
      <c r="Z145" s="54">
        <v>0.17763592506366199</v>
      </c>
      <c r="AA145" s="15">
        <f t="shared" si="13"/>
        <v>1.4802993755305166E-2</v>
      </c>
      <c r="AB145" s="15">
        <f t="shared" si="14"/>
        <v>0.17763592506366199</v>
      </c>
      <c r="AC145" t="b">
        <f t="shared" si="15"/>
        <v>1</v>
      </c>
    </row>
    <row r="146" spans="1:29" x14ac:dyDescent="0.25">
      <c r="A146" s="52" t="s">
        <v>259</v>
      </c>
      <c r="B146" s="46">
        <v>30013</v>
      </c>
      <c r="C146" s="47">
        <v>45757</v>
      </c>
      <c r="D146" s="46">
        <v>311500</v>
      </c>
      <c r="E146" s="46">
        <v>2</v>
      </c>
      <c r="F146" s="52" t="s">
        <v>1794</v>
      </c>
      <c r="G146" s="46">
        <v>6</v>
      </c>
      <c r="H146" s="52" t="s">
        <v>1642</v>
      </c>
      <c r="I146" s="46"/>
      <c r="J146" s="46">
        <v>0</v>
      </c>
      <c r="K146" s="46"/>
      <c r="L146" s="52" t="s">
        <v>268</v>
      </c>
      <c r="M146" s="53">
        <v>7000000</v>
      </c>
      <c r="N146" s="46">
        <v>72</v>
      </c>
      <c r="O146" s="46">
        <v>0</v>
      </c>
      <c r="P146" s="46">
        <v>1</v>
      </c>
      <c r="Q146" s="52">
        <v>8</v>
      </c>
      <c r="R146" s="53">
        <v>124845</v>
      </c>
      <c r="S146" s="46">
        <v>1</v>
      </c>
      <c r="T146" s="53">
        <v>325000</v>
      </c>
      <c r="U146" s="53">
        <f t="shared" si="16"/>
        <v>81700</v>
      </c>
      <c r="V146" s="46">
        <v>1</v>
      </c>
      <c r="W146" s="53">
        <v>127965</v>
      </c>
      <c r="X146" s="46">
        <v>1</v>
      </c>
      <c r="Y146" s="46">
        <v>1</v>
      </c>
      <c r="Z146" s="54">
        <v>0.12446062282444056</v>
      </c>
      <c r="AA146" s="15">
        <f t="shared" si="13"/>
        <v>1.037171856870338E-2</v>
      </c>
      <c r="AB146" s="15">
        <f t="shared" si="14"/>
        <v>0.12446062282444056</v>
      </c>
      <c r="AC146" t="b">
        <f t="shared" si="15"/>
        <v>1</v>
      </c>
    </row>
    <row r="147" spans="1:29" x14ac:dyDescent="0.25">
      <c r="A147" s="52" t="s">
        <v>259</v>
      </c>
      <c r="B147" s="46">
        <v>30013</v>
      </c>
      <c r="C147" s="47">
        <v>45757</v>
      </c>
      <c r="D147" s="46">
        <v>321600</v>
      </c>
      <c r="E147" s="46">
        <v>2</v>
      </c>
      <c r="F147" s="52" t="s">
        <v>1795</v>
      </c>
      <c r="G147" s="46">
        <v>6</v>
      </c>
      <c r="H147" s="52" t="s">
        <v>784</v>
      </c>
      <c r="I147" s="46"/>
      <c r="J147" s="46">
        <v>0</v>
      </c>
      <c r="K147" s="46"/>
      <c r="L147" s="52" t="s">
        <v>690</v>
      </c>
      <c r="M147" s="53">
        <v>1150000</v>
      </c>
      <c r="N147" s="46">
        <v>12</v>
      </c>
      <c r="O147" s="46">
        <v>0</v>
      </c>
      <c r="P147" s="46">
        <v>1</v>
      </c>
      <c r="Q147" s="52">
        <v>10</v>
      </c>
      <c r="R147" s="53">
        <v>13674</v>
      </c>
      <c r="S147" s="46">
        <v>1</v>
      </c>
      <c r="T147" s="53">
        <v>0</v>
      </c>
      <c r="U147" s="53">
        <f t="shared" si="16"/>
        <v>23200</v>
      </c>
      <c r="V147" s="46">
        <v>1</v>
      </c>
      <c r="W147" s="53">
        <v>102117</v>
      </c>
      <c r="X147" s="46">
        <v>1</v>
      </c>
      <c r="Y147" s="46">
        <v>1</v>
      </c>
      <c r="Z147" s="54">
        <v>0.18123840568834015</v>
      </c>
      <c r="AA147" s="15">
        <f t="shared" si="13"/>
        <v>1.5103200474028347E-2</v>
      </c>
      <c r="AB147" s="15">
        <f t="shared" si="14"/>
        <v>0.18123840568834015</v>
      </c>
      <c r="AC147" t="b">
        <f t="shared" si="15"/>
        <v>1</v>
      </c>
    </row>
    <row r="148" spans="1:29" x14ac:dyDescent="0.25">
      <c r="A148" s="52" t="s">
        <v>259</v>
      </c>
      <c r="B148" s="46">
        <v>30013</v>
      </c>
      <c r="C148" s="47">
        <v>45757</v>
      </c>
      <c r="D148" s="46">
        <v>321300</v>
      </c>
      <c r="E148" s="46">
        <v>2</v>
      </c>
      <c r="F148" s="52" t="s">
        <v>1796</v>
      </c>
      <c r="G148" s="46">
        <v>6</v>
      </c>
      <c r="H148" s="52" t="s">
        <v>784</v>
      </c>
      <c r="I148" s="46"/>
      <c r="J148" s="46">
        <v>0</v>
      </c>
      <c r="K148" s="46"/>
      <c r="L148" s="52" t="s">
        <v>717</v>
      </c>
      <c r="M148" s="55">
        <v>5000000</v>
      </c>
      <c r="N148" s="46">
        <v>8</v>
      </c>
      <c r="O148" s="46">
        <v>0</v>
      </c>
      <c r="P148" s="46">
        <v>2</v>
      </c>
      <c r="Q148" s="52">
        <v>12</v>
      </c>
      <c r="R148" s="55">
        <v>148625</v>
      </c>
      <c r="S148" s="46">
        <v>1</v>
      </c>
      <c r="T148" s="55">
        <v>85000</v>
      </c>
      <c r="U148" s="55">
        <f t="shared" si="16"/>
        <v>61700</v>
      </c>
      <c r="V148" s="46">
        <v>1</v>
      </c>
      <c r="W148" s="55">
        <v>729419</v>
      </c>
      <c r="X148" s="46">
        <v>1</v>
      </c>
      <c r="Y148" s="46">
        <v>1</v>
      </c>
      <c r="Z148" s="54">
        <v>0.20204235131493789</v>
      </c>
      <c r="AA148" s="15">
        <f t="shared" si="13"/>
        <v>5.0510587828734473E-2</v>
      </c>
      <c r="AB148" s="15">
        <f t="shared" si="14"/>
        <v>0.20204235131493789</v>
      </c>
      <c r="AC148" t="b">
        <f t="shared" si="15"/>
        <v>1</v>
      </c>
    </row>
    <row r="149" spans="1:29" x14ac:dyDescent="0.25">
      <c r="A149" s="52" t="s">
        <v>259</v>
      </c>
      <c r="B149" s="46">
        <v>30013</v>
      </c>
      <c r="C149" s="47">
        <v>45757</v>
      </c>
      <c r="D149" s="46">
        <v>311500</v>
      </c>
      <c r="E149" s="46">
        <v>2</v>
      </c>
      <c r="F149" s="52" t="s">
        <v>1797</v>
      </c>
      <c r="G149" s="46">
        <v>6</v>
      </c>
      <c r="H149" s="52" t="s">
        <v>784</v>
      </c>
      <c r="I149" s="46"/>
      <c r="J149" s="46">
        <v>0</v>
      </c>
      <c r="K149" s="46"/>
      <c r="L149" s="52" t="s">
        <v>261</v>
      </c>
      <c r="M149" s="53">
        <v>10000000</v>
      </c>
      <c r="N149" s="46">
        <v>60</v>
      </c>
      <c r="O149" s="46">
        <v>0</v>
      </c>
      <c r="P149" s="46">
        <v>1</v>
      </c>
      <c r="Q149" s="52">
        <v>12</v>
      </c>
      <c r="R149" s="53">
        <v>297250</v>
      </c>
      <c r="S149" s="46">
        <v>1</v>
      </c>
      <c r="T149" s="53">
        <v>390000</v>
      </c>
      <c r="U149" s="53">
        <f t="shared" si="16"/>
        <v>111700</v>
      </c>
      <c r="V149" s="46">
        <v>1</v>
      </c>
      <c r="W149" s="53">
        <v>234074</v>
      </c>
      <c r="X149" s="46">
        <v>1</v>
      </c>
      <c r="Y149" s="46">
        <v>1</v>
      </c>
      <c r="Z149" s="54">
        <v>0.1808542734871087</v>
      </c>
      <c r="AA149" s="15">
        <f t="shared" si="13"/>
        <v>1.5071189457259057E-2</v>
      </c>
      <c r="AB149" s="15">
        <f t="shared" si="14"/>
        <v>0.1808542734871087</v>
      </c>
      <c r="AC149" t="b">
        <f t="shared" si="15"/>
        <v>1</v>
      </c>
    </row>
    <row r="150" spans="1:29" x14ac:dyDescent="0.25">
      <c r="A150" s="52" t="s">
        <v>259</v>
      </c>
      <c r="B150" s="46">
        <v>30013</v>
      </c>
      <c r="C150" s="47">
        <v>45757</v>
      </c>
      <c r="D150" s="46">
        <v>311500</v>
      </c>
      <c r="E150" s="46">
        <v>2</v>
      </c>
      <c r="F150" s="52" t="s">
        <v>1798</v>
      </c>
      <c r="G150" s="46">
        <v>6</v>
      </c>
      <c r="H150" s="52" t="s">
        <v>1642</v>
      </c>
      <c r="I150" s="46"/>
      <c r="J150" s="46">
        <v>0</v>
      </c>
      <c r="K150" s="46"/>
      <c r="L150" s="52" t="s">
        <v>231</v>
      </c>
      <c r="M150" s="53">
        <v>2760000</v>
      </c>
      <c r="N150" s="46">
        <v>48</v>
      </c>
      <c r="O150" s="46">
        <v>0</v>
      </c>
      <c r="P150" s="46">
        <v>1</v>
      </c>
      <c r="Q150" s="52">
        <v>8</v>
      </c>
      <c r="R150" s="53">
        <v>40723</v>
      </c>
      <c r="S150" s="46">
        <v>1</v>
      </c>
      <c r="T150" s="53">
        <v>0</v>
      </c>
      <c r="U150" s="53">
        <f t="shared" si="16"/>
        <v>39300</v>
      </c>
      <c r="V150" s="46">
        <v>1</v>
      </c>
      <c r="W150" s="53">
        <v>69539</v>
      </c>
      <c r="X150" s="46">
        <v>1</v>
      </c>
      <c r="Y150" s="46">
        <v>1</v>
      </c>
      <c r="Z150" s="54">
        <v>0.11209973985394599</v>
      </c>
      <c r="AA150" s="15">
        <f t="shared" si="13"/>
        <v>9.3416449878288323E-3</v>
      </c>
      <c r="AB150" s="15">
        <f t="shared" si="14"/>
        <v>0.11209973985394599</v>
      </c>
      <c r="AC150" t="b">
        <f t="shared" si="15"/>
        <v>1</v>
      </c>
    </row>
    <row r="151" spans="1:29" x14ac:dyDescent="0.25">
      <c r="A151" s="52" t="s">
        <v>259</v>
      </c>
      <c r="B151" s="46">
        <v>30013</v>
      </c>
      <c r="C151" s="47">
        <v>45757</v>
      </c>
      <c r="D151" s="46">
        <v>311500</v>
      </c>
      <c r="E151" s="46">
        <v>2</v>
      </c>
      <c r="F151" s="52" t="s">
        <v>1799</v>
      </c>
      <c r="G151" s="46">
        <v>6</v>
      </c>
      <c r="H151" s="52" t="s">
        <v>1642</v>
      </c>
      <c r="I151" s="46"/>
      <c r="J151" s="46">
        <v>0</v>
      </c>
      <c r="K151" s="46"/>
      <c r="L151" s="52" t="s">
        <v>690</v>
      </c>
      <c r="M151" s="53">
        <v>10000000</v>
      </c>
      <c r="N151" s="46">
        <v>60</v>
      </c>
      <c r="O151" s="46">
        <v>0</v>
      </c>
      <c r="P151" s="46">
        <v>1</v>
      </c>
      <c r="Q151" s="52">
        <v>8</v>
      </c>
      <c r="R151" s="53">
        <v>40723</v>
      </c>
      <c r="S151" s="46">
        <v>1</v>
      </c>
      <c r="T151" s="53">
        <v>0</v>
      </c>
      <c r="U151" s="53">
        <f t="shared" si="16"/>
        <v>111700</v>
      </c>
      <c r="V151" s="46">
        <v>1</v>
      </c>
      <c r="W151" s="53">
        <v>210632</v>
      </c>
      <c r="X151" s="46">
        <v>1</v>
      </c>
      <c r="Y151" s="46">
        <v>1</v>
      </c>
      <c r="Z151" s="54">
        <v>0.10288387108076291</v>
      </c>
      <c r="AA151" s="15">
        <f t="shared" si="13"/>
        <v>8.5736559233969088E-3</v>
      </c>
      <c r="AB151" s="15">
        <f t="shared" si="14"/>
        <v>0.10288387108076291</v>
      </c>
      <c r="AC151" t="b">
        <f t="shared" si="15"/>
        <v>1</v>
      </c>
    </row>
    <row r="152" spans="1:29" x14ac:dyDescent="0.25">
      <c r="A152" s="52" t="s">
        <v>259</v>
      </c>
      <c r="B152" s="46">
        <v>30013</v>
      </c>
      <c r="C152" s="47">
        <v>45757</v>
      </c>
      <c r="D152" s="46">
        <v>321600</v>
      </c>
      <c r="E152" s="46">
        <v>2</v>
      </c>
      <c r="F152" s="52" t="s">
        <v>1800</v>
      </c>
      <c r="G152" s="46">
        <v>6</v>
      </c>
      <c r="H152" s="52" t="s">
        <v>784</v>
      </c>
      <c r="I152" s="46"/>
      <c r="J152" s="46">
        <v>0</v>
      </c>
      <c r="K152" s="46"/>
      <c r="L152" s="52" t="s">
        <v>690</v>
      </c>
      <c r="M152" s="53">
        <v>1100000</v>
      </c>
      <c r="N152" s="46">
        <v>12</v>
      </c>
      <c r="O152" s="46">
        <v>0</v>
      </c>
      <c r="P152" s="46">
        <v>1</v>
      </c>
      <c r="Q152" s="52">
        <v>10</v>
      </c>
      <c r="R152" s="53">
        <v>13079</v>
      </c>
      <c r="S152" s="46">
        <v>1</v>
      </c>
      <c r="T152" s="53">
        <v>0</v>
      </c>
      <c r="U152" s="53">
        <f t="shared" si="16"/>
        <v>22700</v>
      </c>
      <c r="V152" s="46">
        <v>1</v>
      </c>
      <c r="W152" s="53">
        <v>97677</v>
      </c>
      <c r="X152" s="46">
        <v>1</v>
      </c>
      <c r="Y152" s="46">
        <v>1</v>
      </c>
      <c r="Z152" s="54">
        <v>0.18215593217991649</v>
      </c>
      <c r="AA152" s="15">
        <f t="shared" si="13"/>
        <v>1.517966101499304E-2</v>
      </c>
      <c r="AB152" s="15">
        <f t="shared" si="14"/>
        <v>0.18215593217991649</v>
      </c>
      <c r="AC152" t="b">
        <f t="shared" si="15"/>
        <v>1</v>
      </c>
    </row>
    <row r="153" spans="1:29" x14ac:dyDescent="0.25">
      <c r="A153" s="52" t="s">
        <v>259</v>
      </c>
      <c r="B153" s="46">
        <v>30013</v>
      </c>
      <c r="C153" s="47">
        <v>45757</v>
      </c>
      <c r="D153" s="46">
        <v>321600</v>
      </c>
      <c r="E153" s="46">
        <v>2</v>
      </c>
      <c r="F153" s="52" t="s">
        <v>1801</v>
      </c>
      <c r="G153" s="46">
        <v>6</v>
      </c>
      <c r="H153" s="52" t="s">
        <v>1650</v>
      </c>
      <c r="I153" s="46"/>
      <c r="J153" s="46">
        <v>0</v>
      </c>
      <c r="K153" s="46"/>
      <c r="L153" s="52" t="s">
        <v>687</v>
      </c>
      <c r="M153" s="53">
        <v>800000</v>
      </c>
      <c r="N153" s="46">
        <v>12</v>
      </c>
      <c r="O153" s="46">
        <v>0</v>
      </c>
      <c r="P153" s="46">
        <v>1</v>
      </c>
      <c r="Q153" s="52">
        <v>10</v>
      </c>
      <c r="R153" s="53">
        <v>9512</v>
      </c>
      <c r="S153" s="46">
        <v>1</v>
      </c>
      <c r="T153" s="53">
        <v>0</v>
      </c>
      <c r="U153" s="53">
        <v>21700</v>
      </c>
      <c r="V153" s="46">
        <v>1</v>
      </c>
      <c r="W153" s="53">
        <v>71038</v>
      </c>
      <c r="X153" s="46">
        <v>1</v>
      </c>
      <c r="Y153" s="46">
        <v>1</v>
      </c>
      <c r="Z153" s="54">
        <v>0.19515090930788326</v>
      </c>
      <c r="AA153" s="15">
        <f t="shared" si="13"/>
        <v>1.6262575775656939E-2</v>
      </c>
      <c r="AB153" s="15">
        <f t="shared" si="14"/>
        <v>0.19515090930788326</v>
      </c>
      <c r="AC153" t="b">
        <f t="shared" si="15"/>
        <v>1</v>
      </c>
    </row>
    <row r="154" spans="1:29" x14ac:dyDescent="0.25">
      <c r="A154" s="52" t="s">
        <v>259</v>
      </c>
      <c r="B154" s="46">
        <v>30013</v>
      </c>
      <c r="C154" s="47">
        <v>45757</v>
      </c>
      <c r="D154" s="46">
        <v>311500</v>
      </c>
      <c r="E154" s="46">
        <v>2</v>
      </c>
      <c r="F154" s="52" t="s">
        <v>1802</v>
      </c>
      <c r="G154" s="46">
        <v>6</v>
      </c>
      <c r="H154" s="52" t="s">
        <v>1650</v>
      </c>
      <c r="I154" s="46"/>
      <c r="J154" s="46">
        <v>0</v>
      </c>
      <c r="K154" s="46"/>
      <c r="L154" s="52" t="s">
        <v>690</v>
      </c>
      <c r="M154" s="53">
        <v>3320000</v>
      </c>
      <c r="N154" s="46">
        <v>60</v>
      </c>
      <c r="O154" s="46">
        <v>0</v>
      </c>
      <c r="P154" s="46">
        <v>1</v>
      </c>
      <c r="Q154" s="52">
        <v>11</v>
      </c>
      <c r="R154" s="53">
        <v>98687</v>
      </c>
      <c r="S154" s="46">
        <v>1</v>
      </c>
      <c r="T154" s="53">
        <v>134500</v>
      </c>
      <c r="U154" s="53">
        <f>M154/100+11700</f>
        <v>44900</v>
      </c>
      <c r="V154" s="46">
        <v>1</v>
      </c>
      <c r="W154" s="53">
        <v>74794</v>
      </c>
      <c r="X154" s="46">
        <v>1</v>
      </c>
      <c r="Y154" s="46">
        <v>1</v>
      </c>
      <c r="Z154" s="54">
        <v>0.16506165753980406</v>
      </c>
      <c r="AA154" s="15">
        <f t="shared" si="13"/>
        <v>1.3755138128317006E-2</v>
      </c>
      <c r="AB154" s="15">
        <f t="shared" si="14"/>
        <v>0.16506165753980406</v>
      </c>
      <c r="AC154" t="b">
        <f t="shared" si="15"/>
        <v>1</v>
      </c>
    </row>
    <row r="155" spans="1:29" x14ac:dyDescent="0.25">
      <c r="A155" s="52" t="s">
        <v>259</v>
      </c>
      <c r="B155" s="46">
        <v>30013</v>
      </c>
      <c r="C155" s="47">
        <v>45757</v>
      </c>
      <c r="D155" s="46">
        <v>311730</v>
      </c>
      <c r="E155" s="46">
        <v>2</v>
      </c>
      <c r="F155" s="52" t="s">
        <v>1803</v>
      </c>
      <c r="G155" s="46">
        <v>6</v>
      </c>
      <c r="H155" s="52" t="s">
        <v>784</v>
      </c>
      <c r="I155" s="46"/>
      <c r="J155" s="46">
        <v>0</v>
      </c>
      <c r="K155" s="46"/>
      <c r="L155" s="52" t="s">
        <v>261</v>
      </c>
      <c r="M155" s="53">
        <v>3700000</v>
      </c>
      <c r="N155" s="46">
        <v>36</v>
      </c>
      <c r="O155" s="46">
        <v>0</v>
      </c>
      <c r="P155" s="46">
        <v>1</v>
      </c>
      <c r="Q155" s="52">
        <v>12</v>
      </c>
      <c r="R155" s="53">
        <v>40723</v>
      </c>
      <c r="S155" s="46">
        <v>1</v>
      </c>
      <c r="T155" s="53">
        <v>93250</v>
      </c>
      <c r="U155" s="53">
        <f>M155/100+11700</f>
        <v>48700</v>
      </c>
      <c r="V155" s="46">
        <v>1</v>
      </c>
      <c r="W155" s="53">
        <v>126939</v>
      </c>
      <c r="X155" s="46">
        <v>1</v>
      </c>
      <c r="Y155" s="46">
        <v>1</v>
      </c>
      <c r="Z155" s="54">
        <v>0.17874802766656897</v>
      </c>
      <c r="AA155" s="15">
        <f t="shared" si="13"/>
        <v>1.4895668972214081E-2</v>
      </c>
      <c r="AB155" s="15">
        <f t="shared" si="14"/>
        <v>0.17874802766656897</v>
      </c>
      <c r="AC155" t="b">
        <f t="shared" si="15"/>
        <v>1</v>
      </c>
    </row>
    <row r="156" spans="1:29" x14ac:dyDescent="0.25">
      <c r="A156" s="52" t="s">
        <v>259</v>
      </c>
      <c r="B156" s="46">
        <v>30013</v>
      </c>
      <c r="C156" s="47">
        <v>45757</v>
      </c>
      <c r="D156" s="46">
        <v>321600</v>
      </c>
      <c r="E156" s="46">
        <v>2</v>
      </c>
      <c r="F156" s="52" t="s">
        <v>1804</v>
      </c>
      <c r="G156" s="46">
        <v>6</v>
      </c>
      <c r="H156" s="52" t="s">
        <v>784</v>
      </c>
      <c r="I156" s="46"/>
      <c r="J156" s="46">
        <v>0</v>
      </c>
      <c r="K156" s="46"/>
      <c r="L156" s="52" t="s">
        <v>261</v>
      </c>
      <c r="M156" s="53">
        <v>500000</v>
      </c>
      <c r="N156" s="46">
        <v>12</v>
      </c>
      <c r="O156" s="46">
        <v>0</v>
      </c>
      <c r="P156" s="46">
        <v>1</v>
      </c>
      <c r="Q156" s="52">
        <v>10</v>
      </c>
      <c r="R156" s="53">
        <v>4756</v>
      </c>
      <c r="S156" s="46">
        <v>1</v>
      </c>
      <c r="T156" s="53">
        <v>0</v>
      </c>
      <c r="U156" s="53">
        <v>21700</v>
      </c>
      <c r="V156" s="46">
        <v>1</v>
      </c>
      <c r="W156" s="53">
        <v>44399</v>
      </c>
      <c r="X156" s="46">
        <v>1</v>
      </c>
      <c r="Y156" s="46">
        <v>1</v>
      </c>
      <c r="Z156" s="54">
        <v>0.22341836774606877</v>
      </c>
      <c r="AA156" s="15">
        <f t="shared" si="13"/>
        <v>1.8618197312172399E-2</v>
      </c>
      <c r="AB156" s="15">
        <f t="shared" si="14"/>
        <v>0.22341836774606877</v>
      </c>
      <c r="AC156" t="b">
        <f t="shared" si="15"/>
        <v>1</v>
      </c>
    </row>
    <row r="157" spans="1:29" x14ac:dyDescent="0.25">
      <c r="A157" s="52" t="s">
        <v>259</v>
      </c>
      <c r="B157" s="46">
        <v>30013</v>
      </c>
      <c r="C157" s="47">
        <v>45757</v>
      </c>
      <c r="D157" s="46">
        <v>311500</v>
      </c>
      <c r="E157" s="46">
        <v>2</v>
      </c>
      <c r="F157" s="52" t="s">
        <v>1805</v>
      </c>
      <c r="G157" s="46">
        <v>6</v>
      </c>
      <c r="H157" s="52" t="s">
        <v>784</v>
      </c>
      <c r="I157" s="46"/>
      <c r="J157" s="46">
        <v>0</v>
      </c>
      <c r="K157" s="46"/>
      <c r="L157" s="52" t="s">
        <v>261</v>
      </c>
      <c r="M157" s="53">
        <v>2400000</v>
      </c>
      <c r="N157" s="46">
        <v>48</v>
      </c>
      <c r="O157" s="46">
        <v>0</v>
      </c>
      <c r="P157" s="46">
        <v>1</v>
      </c>
      <c r="Q157" s="52">
        <v>12</v>
      </c>
      <c r="R157" s="53">
        <v>71340</v>
      </c>
      <c r="S157" s="46">
        <v>1</v>
      </c>
      <c r="T157" s="53">
        <v>82000</v>
      </c>
      <c r="U157" s="53">
        <f>M157/100+11700</f>
        <v>35700</v>
      </c>
      <c r="V157" s="46">
        <v>1</v>
      </c>
      <c r="W157" s="53">
        <v>65907</v>
      </c>
      <c r="X157" s="46">
        <v>1</v>
      </c>
      <c r="Y157" s="46">
        <v>1</v>
      </c>
      <c r="Z157" s="54">
        <v>0.1882760387318323</v>
      </c>
      <c r="AA157" s="15">
        <f t="shared" si="13"/>
        <v>1.5689669894319358E-2</v>
      </c>
      <c r="AB157" s="15">
        <f t="shared" si="14"/>
        <v>0.1882760387318323</v>
      </c>
      <c r="AC157" t="b">
        <f t="shared" si="15"/>
        <v>1</v>
      </c>
    </row>
    <row r="158" spans="1:29" x14ac:dyDescent="0.25">
      <c r="A158" s="52" t="s">
        <v>259</v>
      </c>
      <c r="B158" s="46">
        <v>30013</v>
      </c>
      <c r="C158" s="47">
        <v>45757</v>
      </c>
      <c r="D158" s="46">
        <v>311500</v>
      </c>
      <c r="E158" s="46">
        <v>2</v>
      </c>
      <c r="F158" s="52" t="s">
        <v>1806</v>
      </c>
      <c r="G158" s="46">
        <v>6</v>
      </c>
      <c r="H158" s="52" t="s">
        <v>784</v>
      </c>
      <c r="I158" s="46"/>
      <c r="J158" s="46">
        <v>0</v>
      </c>
      <c r="K158" s="46"/>
      <c r="L158" s="52" t="s">
        <v>261</v>
      </c>
      <c r="M158" s="53">
        <v>4600000</v>
      </c>
      <c r="N158" s="46">
        <v>60</v>
      </c>
      <c r="O158" s="46">
        <v>0</v>
      </c>
      <c r="P158" s="46">
        <v>1</v>
      </c>
      <c r="Q158" s="52">
        <v>13</v>
      </c>
      <c r="R158" s="53">
        <v>136735</v>
      </c>
      <c r="S158" s="46">
        <v>1</v>
      </c>
      <c r="T158" s="53">
        <v>182500</v>
      </c>
      <c r="U158" s="53">
        <f>M158/100+11700</f>
        <v>57700</v>
      </c>
      <c r="V158" s="46">
        <v>1</v>
      </c>
      <c r="W158" s="53">
        <v>110540</v>
      </c>
      <c r="X158" s="46">
        <v>1</v>
      </c>
      <c r="Y158" s="46">
        <v>1</v>
      </c>
      <c r="Z158" s="54">
        <v>0.19425613164472696</v>
      </c>
      <c r="AA158" s="15">
        <f t="shared" si="13"/>
        <v>1.6188010970393914E-2</v>
      </c>
      <c r="AB158" s="15">
        <f t="shared" si="14"/>
        <v>0.19425613164472696</v>
      </c>
      <c r="AC158" t="b">
        <f t="shared" si="15"/>
        <v>1</v>
      </c>
    </row>
    <row r="159" spans="1:29" x14ac:dyDescent="0.25">
      <c r="A159" s="52" t="s">
        <v>259</v>
      </c>
      <c r="B159" s="46">
        <v>30013</v>
      </c>
      <c r="C159" s="47">
        <v>45758</v>
      </c>
      <c r="D159" s="46">
        <v>311500</v>
      </c>
      <c r="E159" s="46">
        <v>2</v>
      </c>
      <c r="F159" s="52" t="s">
        <v>1807</v>
      </c>
      <c r="G159" s="46">
        <v>6</v>
      </c>
      <c r="H159" s="52" t="s">
        <v>784</v>
      </c>
      <c r="I159" s="46"/>
      <c r="J159" s="46">
        <v>0</v>
      </c>
      <c r="K159" s="46"/>
      <c r="L159" s="52" t="s">
        <v>261</v>
      </c>
      <c r="M159" s="53">
        <v>3000000</v>
      </c>
      <c r="N159" s="46">
        <v>48</v>
      </c>
      <c r="O159" s="46">
        <v>0</v>
      </c>
      <c r="P159" s="46">
        <v>1</v>
      </c>
      <c r="Q159" s="52">
        <v>12</v>
      </c>
      <c r="R159" s="53">
        <v>89175</v>
      </c>
      <c r="S159" s="46">
        <v>1</v>
      </c>
      <c r="T159" s="53">
        <v>100000</v>
      </c>
      <c r="U159" s="53">
        <f>M159/100+11700</f>
        <v>41700</v>
      </c>
      <c r="V159" s="46">
        <v>1</v>
      </c>
      <c r="W159" s="53">
        <v>82383</v>
      </c>
      <c r="X159" s="46">
        <v>1</v>
      </c>
      <c r="Y159" s="46">
        <v>1</v>
      </c>
      <c r="Z159" s="54">
        <v>0.18716173204207004</v>
      </c>
      <c r="AA159" s="15">
        <f t="shared" si="13"/>
        <v>1.5596811003505837E-2</v>
      </c>
      <c r="AB159" s="15">
        <f t="shared" si="14"/>
        <v>0.18716173204207004</v>
      </c>
      <c r="AC159" t="b">
        <f t="shared" si="15"/>
        <v>1</v>
      </c>
    </row>
    <row r="160" spans="1:29" x14ac:dyDescent="0.25">
      <c r="A160" s="52" t="s">
        <v>259</v>
      </c>
      <c r="B160" s="46">
        <v>30013</v>
      </c>
      <c r="C160" s="47">
        <v>45758</v>
      </c>
      <c r="D160" s="46">
        <v>321600</v>
      </c>
      <c r="E160" s="46">
        <v>2</v>
      </c>
      <c r="F160" s="52" t="s">
        <v>1808</v>
      </c>
      <c r="G160" s="46">
        <v>6</v>
      </c>
      <c r="H160" s="52" t="s">
        <v>784</v>
      </c>
      <c r="I160" s="46"/>
      <c r="J160" s="46">
        <v>0</v>
      </c>
      <c r="K160" s="46"/>
      <c r="L160" s="52" t="s">
        <v>261</v>
      </c>
      <c r="M160" s="53">
        <v>400000</v>
      </c>
      <c r="N160" s="46">
        <v>12</v>
      </c>
      <c r="O160" s="46">
        <v>0</v>
      </c>
      <c r="P160" s="46">
        <v>1</v>
      </c>
      <c r="Q160" s="52">
        <v>10</v>
      </c>
      <c r="R160" s="53">
        <v>951</v>
      </c>
      <c r="S160" s="46">
        <v>1</v>
      </c>
      <c r="T160" s="53">
        <v>0</v>
      </c>
      <c r="U160" s="53">
        <v>21700</v>
      </c>
      <c r="V160" s="46">
        <v>1</v>
      </c>
      <c r="W160" s="53">
        <v>35519</v>
      </c>
      <c r="X160" s="46">
        <v>1</v>
      </c>
      <c r="Y160" s="46">
        <v>1</v>
      </c>
      <c r="Z160" s="54">
        <v>0.23106480466373022</v>
      </c>
      <c r="AA160" s="15">
        <f t="shared" si="13"/>
        <v>1.9255400388644185E-2</v>
      </c>
      <c r="AB160" s="15">
        <f t="shared" si="14"/>
        <v>0.23106480466373022</v>
      </c>
      <c r="AC160" t="b">
        <f t="shared" si="15"/>
        <v>1</v>
      </c>
    </row>
    <row r="161" spans="1:29" x14ac:dyDescent="0.25">
      <c r="A161" s="52" t="s">
        <v>259</v>
      </c>
      <c r="B161" s="46">
        <v>30013</v>
      </c>
      <c r="C161" s="47">
        <v>45758</v>
      </c>
      <c r="D161" s="46">
        <v>311500</v>
      </c>
      <c r="E161" s="46">
        <v>2</v>
      </c>
      <c r="F161" s="52" t="s">
        <v>1809</v>
      </c>
      <c r="G161" s="46">
        <v>6</v>
      </c>
      <c r="H161" s="52" t="s">
        <v>1642</v>
      </c>
      <c r="I161" s="46"/>
      <c r="J161" s="46">
        <v>0</v>
      </c>
      <c r="K161" s="46"/>
      <c r="L161" s="52" t="s">
        <v>261</v>
      </c>
      <c r="M161" s="53">
        <v>3950000</v>
      </c>
      <c r="N161" s="46">
        <v>60</v>
      </c>
      <c r="O161" s="46">
        <v>0</v>
      </c>
      <c r="P161" s="46">
        <v>1</v>
      </c>
      <c r="Q161" s="52">
        <v>12</v>
      </c>
      <c r="R161" s="53">
        <v>117414</v>
      </c>
      <c r="S161" s="46">
        <v>1</v>
      </c>
      <c r="T161" s="53">
        <v>158125</v>
      </c>
      <c r="U161" s="53">
        <f t="shared" ref="U161:U173" si="17">M161/100+11700</f>
        <v>51200</v>
      </c>
      <c r="V161" s="46">
        <v>1</v>
      </c>
      <c r="W161" s="53">
        <v>92459</v>
      </c>
      <c r="X161" s="46">
        <v>1</v>
      </c>
      <c r="Y161" s="46">
        <v>1</v>
      </c>
      <c r="Z161" s="54">
        <v>0.18229009906943958</v>
      </c>
      <c r="AA161" s="15">
        <f t="shared" si="13"/>
        <v>1.5190841589119965E-2</v>
      </c>
      <c r="AB161" s="15">
        <f t="shared" si="14"/>
        <v>0.18229009906943958</v>
      </c>
      <c r="AC161" t="b">
        <f t="shared" si="15"/>
        <v>1</v>
      </c>
    </row>
    <row r="162" spans="1:29" x14ac:dyDescent="0.25">
      <c r="A162" s="52" t="s">
        <v>259</v>
      </c>
      <c r="B162" s="46">
        <v>30013</v>
      </c>
      <c r="C162" s="47">
        <v>45758</v>
      </c>
      <c r="D162" s="46">
        <v>311500</v>
      </c>
      <c r="E162" s="46">
        <v>2</v>
      </c>
      <c r="F162" s="52" t="s">
        <v>1810</v>
      </c>
      <c r="G162" s="46">
        <v>6</v>
      </c>
      <c r="H162" s="52" t="s">
        <v>1650</v>
      </c>
      <c r="I162" s="46"/>
      <c r="J162" s="46">
        <v>0</v>
      </c>
      <c r="K162" s="46"/>
      <c r="L162" s="52" t="s">
        <v>270</v>
      </c>
      <c r="M162" s="53">
        <v>5800000</v>
      </c>
      <c r="N162" s="46">
        <v>84</v>
      </c>
      <c r="O162" s="46">
        <v>0</v>
      </c>
      <c r="P162" s="46">
        <v>1</v>
      </c>
      <c r="Q162" s="52">
        <v>8</v>
      </c>
      <c r="R162" s="53">
        <v>103443</v>
      </c>
      <c r="S162" s="46">
        <v>1</v>
      </c>
      <c r="T162" s="53">
        <v>314500</v>
      </c>
      <c r="U162" s="53">
        <f t="shared" si="17"/>
        <v>69700</v>
      </c>
      <c r="V162" s="46">
        <v>1</v>
      </c>
      <c r="W162" s="53">
        <v>94831</v>
      </c>
      <c r="X162" s="46">
        <v>1</v>
      </c>
      <c r="Y162" s="46">
        <v>1</v>
      </c>
      <c r="Z162" s="54">
        <v>0.12369644670459583</v>
      </c>
      <c r="AA162" s="15">
        <f t="shared" si="13"/>
        <v>1.0308037225382986E-2</v>
      </c>
      <c r="AB162" s="15">
        <f t="shared" si="14"/>
        <v>0.12369644670459583</v>
      </c>
      <c r="AC162" t="b">
        <f t="shared" si="15"/>
        <v>1</v>
      </c>
    </row>
    <row r="163" spans="1:29" x14ac:dyDescent="0.25">
      <c r="A163" s="52" t="s">
        <v>259</v>
      </c>
      <c r="B163" s="46">
        <v>30013</v>
      </c>
      <c r="C163" s="47">
        <v>45758</v>
      </c>
      <c r="D163" s="46">
        <v>311500</v>
      </c>
      <c r="E163" s="46">
        <v>2</v>
      </c>
      <c r="F163" s="52" t="s">
        <v>1811</v>
      </c>
      <c r="G163" s="46">
        <v>6</v>
      </c>
      <c r="H163" s="52" t="s">
        <v>784</v>
      </c>
      <c r="I163" s="46"/>
      <c r="J163" s="46">
        <v>0</v>
      </c>
      <c r="K163" s="46"/>
      <c r="L163" s="52" t="s">
        <v>690</v>
      </c>
      <c r="M163" s="53">
        <v>7900000</v>
      </c>
      <c r="N163" s="46">
        <v>72</v>
      </c>
      <c r="O163" s="46">
        <v>0</v>
      </c>
      <c r="P163" s="46">
        <v>1</v>
      </c>
      <c r="Q163" s="52">
        <v>8</v>
      </c>
      <c r="R163" s="53">
        <v>140897</v>
      </c>
      <c r="S163" s="46">
        <v>1</v>
      </c>
      <c r="T163" s="53">
        <v>370500</v>
      </c>
      <c r="U163" s="53">
        <f t="shared" si="17"/>
        <v>90700</v>
      </c>
      <c r="V163" s="46">
        <v>1</v>
      </c>
      <c r="W163" s="53">
        <v>144417</v>
      </c>
      <c r="X163" s="46">
        <v>1</v>
      </c>
      <c r="Y163" s="46">
        <v>1</v>
      </c>
      <c r="Z163" s="54">
        <v>0.12457339465556092</v>
      </c>
      <c r="AA163" s="15">
        <f t="shared" si="13"/>
        <v>1.0381116221296742E-2</v>
      </c>
      <c r="AB163" s="15">
        <f t="shared" si="14"/>
        <v>0.12457339465556092</v>
      </c>
      <c r="AC163" t="b">
        <f t="shared" si="15"/>
        <v>1</v>
      </c>
    </row>
    <row r="164" spans="1:29" x14ac:dyDescent="0.25">
      <c r="A164" s="52" t="s">
        <v>259</v>
      </c>
      <c r="B164" s="46">
        <v>30013</v>
      </c>
      <c r="C164" s="47">
        <v>45758</v>
      </c>
      <c r="D164" s="46">
        <v>311500</v>
      </c>
      <c r="E164" s="46">
        <v>2</v>
      </c>
      <c r="F164" s="52" t="s">
        <v>719</v>
      </c>
      <c r="G164" s="46">
        <v>6</v>
      </c>
      <c r="H164" s="52" t="s">
        <v>784</v>
      </c>
      <c r="I164" s="46"/>
      <c r="J164" s="46">
        <v>0</v>
      </c>
      <c r="K164" s="46"/>
      <c r="L164" s="52" t="s">
        <v>261</v>
      </c>
      <c r="M164" s="53">
        <v>6000000</v>
      </c>
      <c r="N164" s="46">
        <v>72</v>
      </c>
      <c r="O164" s="46">
        <v>0</v>
      </c>
      <c r="P164" s="46">
        <v>1</v>
      </c>
      <c r="Q164" s="52">
        <v>12</v>
      </c>
      <c r="R164" s="53">
        <v>107010</v>
      </c>
      <c r="S164" s="46">
        <v>1</v>
      </c>
      <c r="T164" s="53">
        <v>280000</v>
      </c>
      <c r="U164" s="53">
        <f t="shared" si="17"/>
        <v>71700</v>
      </c>
      <c r="V164" s="46">
        <v>1</v>
      </c>
      <c r="W164" s="53">
        <v>124497</v>
      </c>
      <c r="X164" s="46">
        <v>1</v>
      </c>
      <c r="Y164" s="46">
        <v>1</v>
      </c>
      <c r="Z164" s="54">
        <v>0.17395070495049128</v>
      </c>
      <c r="AA164" s="15">
        <f t="shared" si="13"/>
        <v>1.4495892079207607E-2</v>
      </c>
      <c r="AB164" s="15">
        <f t="shared" si="14"/>
        <v>0.17395070495049128</v>
      </c>
      <c r="AC164" t="b">
        <f t="shared" si="15"/>
        <v>1</v>
      </c>
    </row>
    <row r="165" spans="1:29" x14ac:dyDescent="0.25">
      <c r="A165" s="52" t="s">
        <v>259</v>
      </c>
      <c r="B165" s="46">
        <v>30013</v>
      </c>
      <c r="C165" s="47">
        <v>45758</v>
      </c>
      <c r="D165" s="46">
        <v>311500</v>
      </c>
      <c r="E165" s="46">
        <v>2</v>
      </c>
      <c r="F165" s="52" t="s">
        <v>1812</v>
      </c>
      <c r="G165" s="46">
        <v>6</v>
      </c>
      <c r="H165" s="52" t="s">
        <v>784</v>
      </c>
      <c r="I165" s="46"/>
      <c r="J165" s="46">
        <v>0</v>
      </c>
      <c r="K165" s="46"/>
      <c r="L165" s="52" t="s">
        <v>270</v>
      </c>
      <c r="M165" s="53">
        <v>2000000</v>
      </c>
      <c r="N165" s="46">
        <v>48</v>
      </c>
      <c r="O165" s="46">
        <v>0</v>
      </c>
      <c r="P165" s="46">
        <v>1</v>
      </c>
      <c r="Q165" s="52">
        <v>12</v>
      </c>
      <c r="R165" s="53">
        <v>59450</v>
      </c>
      <c r="S165" s="46">
        <v>1</v>
      </c>
      <c r="T165" s="53">
        <v>70000</v>
      </c>
      <c r="U165" s="53">
        <f t="shared" si="17"/>
        <v>31700</v>
      </c>
      <c r="V165" s="46">
        <v>1</v>
      </c>
      <c r="W165" s="53">
        <v>54922</v>
      </c>
      <c r="X165" s="46">
        <v>1</v>
      </c>
      <c r="Y165" s="46">
        <v>1</v>
      </c>
      <c r="Z165" s="54">
        <v>0.18938320145239776</v>
      </c>
      <c r="AA165" s="15">
        <f t="shared" si="13"/>
        <v>1.578193345436648E-2</v>
      </c>
      <c r="AB165" s="15">
        <f t="shared" si="14"/>
        <v>0.18938320145239776</v>
      </c>
      <c r="AC165" t="b">
        <f t="shared" si="15"/>
        <v>1</v>
      </c>
    </row>
    <row r="166" spans="1:29" x14ac:dyDescent="0.25">
      <c r="A166" s="52" t="s">
        <v>259</v>
      </c>
      <c r="B166" s="46">
        <v>30013</v>
      </c>
      <c r="C166" s="47">
        <v>45758</v>
      </c>
      <c r="D166" s="46">
        <v>311500</v>
      </c>
      <c r="E166" s="46">
        <v>2</v>
      </c>
      <c r="F166" s="52" t="s">
        <v>1813</v>
      </c>
      <c r="G166" s="46">
        <v>6</v>
      </c>
      <c r="H166" s="52" t="s">
        <v>1642</v>
      </c>
      <c r="I166" s="46"/>
      <c r="J166" s="46">
        <v>0</v>
      </c>
      <c r="K166" s="46"/>
      <c r="L166" s="52" t="s">
        <v>231</v>
      </c>
      <c r="M166" s="53">
        <v>2565000</v>
      </c>
      <c r="N166" s="46">
        <v>48</v>
      </c>
      <c r="O166" s="46">
        <v>0</v>
      </c>
      <c r="P166" s="46">
        <v>1</v>
      </c>
      <c r="Q166" s="52">
        <v>8</v>
      </c>
      <c r="R166" s="53">
        <v>76245</v>
      </c>
      <c r="S166" s="46">
        <v>1</v>
      </c>
      <c r="T166" s="53">
        <v>86950</v>
      </c>
      <c r="U166" s="53">
        <f t="shared" si="17"/>
        <v>37350</v>
      </c>
      <c r="V166" s="46">
        <v>1</v>
      </c>
      <c r="W166" s="53">
        <v>64456</v>
      </c>
      <c r="X166" s="46">
        <v>1</v>
      </c>
      <c r="Y166" s="46">
        <v>1</v>
      </c>
      <c r="Z166" s="54">
        <v>0.13868194284037683</v>
      </c>
      <c r="AA166" s="15">
        <f t="shared" si="13"/>
        <v>1.1556828570031402E-2</v>
      </c>
      <c r="AB166" s="15">
        <f t="shared" si="14"/>
        <v>0.13868194284037683</v>
      </c>
      <c r="AC166" t="b">
        <f t="shared" si="15"/>
        <v>1</v>
      </c>
    </row>
    <row r="167" spans="1:29" x14ac:dyDescent="0.25">
      <c r="A167" s="52" t="s">
        <v>259</v>
      </c>
      <c r="B167" s="46">
        <v>30013</v>
      </c>
      <c r="C167" s="47">
        <v>45758</v>
      </c>
      <c r="D167" s="46">
        <v>311500</v>
      </c>
      <c r="E167" s="46">
        <v>2</v>
      </c>
      <c r="F167" s="52" t="s">
        <v>1814</v>
      </c>
      <c r="G167" s="46">
        <v>6</v>
      </c>
      <c r="H167" s="52" t="s">
        <v>784</v>
      </c>
      <c r="I167" s="46"/>
      <c r="J167" s="46">
        <v>0</v>
      </c>
      <c r="K167" s="46"/>
      <c r="L167" s="52" t="s">
        <v>261</v>
      </c>
      <c r="M167" s="53">
        <v>6250000</v>
      </c>
      <c r="N167" s="46">
        <v>72</v>
      </c>
      <c r="O167" s="46">
        <v>0</v>
      </c>
      <c r="P167" s="46">
        <v>1</v>
      </c>
      <c r="Q167" s="52">
        <v>12</v>
      </c>
      <c r="R167" s="53">
        <v>111469</v>
      </c>
      <c r="S167" s="46">
        <v>1</v>
      </c>
      <c r="T167" s="53">
        <v>291250</v>
      </c>
      <c r="U167" s="53">
        <f t="shared" si="17"/>
        <v>74200</v>
      </c>
      <c r="V167" s="46">
        <v>1</v>
      </c>
      <c r="W167" s="53">
        <v>129684</v>
      </c>
      <c r="X167" s="46">
        <v>1</v>
      </c>
      <c r="Y167" s="46">
        <v>1</v>
      </c>
      <c r="Z167" s="54">
        <v>0.17388682694569202</v>
      </c>
      <c r="AA167" s="15">
        <f t="shared" si="13"/>
        <v>1.4490568912141E-2</v>
      </c>
      <c r="AB167" s="15">
        <f t="shared" si="14"/>
        <v>0.17388682694569202</v>
      </c>
      <c r="AC167" t="b">
        <f t="shared" si="15"/>
        <v>1</v>
      </c>
    </row>
    <row r="168" spans="1:29" x14ac:dyDescent="0.25">
      <c r="A168" s="52" t="s">
        <v>259</v>
      </c>
      <c r="B168" s="46">
        <v>30013</v>
      </c>
      <c r="C168" s="47">
        <v>45758</v>
      </c>
      <c r="D168" s="46">
        <v>311500</v>
      </c>
      <c r="E168" s="46">
        <v>2</v>
      </c>
      <c r="F168" s="52" t="s">
        <v>1815</v>
      </c>
      <c r="G168" s="46">
        <v>6</v>
      </c>
      <c r="H168" s="52" t="s">
        <v>784</v>
      </c>
      <c r="I168" s="46"/>
      <c r="J168" s="46">
        <v>0</v>
      </c>
      <c r="K168" s="46"/>
      <c r="L168" s="52" t="s">
        <v>687</v>
      </c>
      <c r="M168" s="53">
        <v>1700000</v>
      </c>
      <c r="N168" s="46">
        <v>48</v>
      </c>
      <c r="O168" s="46">
        <v>0</v>
      </c>
      <c r="P168" s="46">
        <v>1</v>
      </c>
      <c r="Q168" s="52">
        <v>12</v>
      </c>
      <c r="R168" s="53">
        <v>50533</v>
      </c>
      <c r="S168" s="46">
        <v>1</v>
      </c>
      <c r="T168" s="53">
        <v>61000</v>
      </c>
      <c r="U168" s="53">
        <f t="shared" si="17"/>
        <v>28700</v>
      </c>
      <c r="V168" s="46">
        <v>1</v>
      </c>
      <c r="W168" s="53">
        <v>46684</v>
      </c>
      <c r="X168" s="46">
        <v>1</v>
      </c>
      <c r="Y168" s="46">
        <v>1</v>
      </c>
      <c r="Z168" s="54">
        <v>0.19056823161162334</v>
      </c>
      <c r="AA168" s="15">
        <f t="shared" si="13"/>
        <v>1.5880685967635279E-2</v>
      </c>
      <c r="AB168" s="15">
        <f t="shared" si="14"/>
        <v>0.19056823161162334</v>
      </c>
      <c r="AC168" t="b">
        <f t="shared" si="15"/>
        <v>1</v>
      </c>
    </row>
    <row r="169" spans="1:29" x14ac:dyDescent="0.25">
      <c r="A169" s="52" t="s">
        <v>259</v>
      </c>
      <c r="B169" s="46">
        <v>30013</v>
      </c>
      <c r="C169" s="47">
        <v>45761</v>
      </c>
      <c r="D169" s="46">
        <v>311500</v>
      </c>
      <c r="E169" s="46">
        <v>2</v>
      </c>
      <c r="F169" s="52" t="s">
        <v>1816</v>
      </c>
      <c r="G169" s="46">
        <v>6</v>
      </c>
      <c r="H169" s="52" t="s">
        <v>1689</v>
      </c>
      <c r="I169" s="46"/>
      <c r="J169" s="46">
        <v>0</v>
      </c>
      <c r="K169" s="46"/>
      <c r="L169" s="52" t="s">
        <v>261</v>
      </c>
      <c r="M169" s="53">
        <v>2900000</v>
      </c>
      <c r="N169" s="46">
        <v>72</v>
      </c>
      <c r="O169" s="46">
        <v>0</v>
      </c>
      <c r="P169" s="46">
        <v>1</v>
      </c>
      <c r="Q169" s="52">
        <v>12</v>
      </c>
      <c r="R169" s="53">
        <v>51722</v>
      </c>
      <c r="S169" s="46">
        <v>1</v>
      </c>
      <c r="T169" s="53">
        <v>140500</v>
      </c>
      <c r="U169" s="53">
        <f t="shared" si="17"/>
        <v>40700</v>
      </c>
      <c r="V169" s="46">
        <v>1</v>
      </c>
      <c r="W169" s="53">
        <v>60174</v>
      </c>
      <c r="X169" s="46">
        <v>1</v>
      </c>
      <c r="Y169" s="46">
        <v>1</v>
      </c>
      <c r="Z169" s="54">
        <v>0.17563577338285308</v>
      </c>
      <c r="AA169" s="15">
        <f t="shared" si="13"/>
        <v>1.4636314448571089E-2</v>
      </c>
      <c r="AB169" s="15">
        <f t="shared" si="14"/>
        <v>0.17563577338285308</v>
      </c>
      <c r="AC169" t="b">
        <f t="shared" si="15"/>
        <v>1</v>
      </c>
    </row>
    <row r="170" spans="1:29" x14ac:dyDescent="0.25">
      <c r="A170" s="52" t="s">
        <v>259</v>
      </c>
      <c r="B170" s="46">
        <v>30013</v>
      </c>
      <c r="C170" s="47">
        <v>45761</v>
      </c>
      <c r="D170" s="46">
        <v>311500</v>
      </c>
      <c r="E170" s="46">
        <v>2</v>
      </c>
      <c r="F170" s="52" t="s">
        <v>1817</v>
      </c>
      <c r="G170" s="46">
        <v>6</v>
      </c>
      <c r="H170" s="52" t="s">
        <v>784</v>
      </c>
      <c r="I170" s="46"/>
      <c r="J170" s="46">
        <v>0</v>
      </c>
      <c r="K170" s="46"/>
      <c r="L170" s="52" t="s">
        <v>261</v>
      </c>
      <c r="M170" s="53">
        <v>1800000</v>
      </c>
      <c r="N170" s="46">
        <v>48</v>
      </c>
      <c r="O170" s="46">
        <v>0</v>
      </c>
      <c r="P170" s="46">
        <v>1</v>
      </c>
      <c r="Q170" s="52">
        <v>13</v>
      </c>
      <c r="R170" s="53">
        <v>53505</v>
      </c>
      <c r="S170" s="46">
        <v>1</v>
      </c>
      <c r="T170" s="53">
        <v>64000</v>
      </c>
      <c r="U170" s="53">
        <f t="shared" si="17"/>
        <v>29700</v>
      </c>
      <c r="V170" s="46">
        <v>1</v>
      </c>
      <c r="W170" s="53">
        <v>50513</v>
      </c>
      <c r="X170" s="46">
        <v>1</v>
      </c>
      <c r="Y170" s="46">
        <v>1</v>
      </c>
      <c r="Z170" s="54">
        <v>0.20247095832587558</v>
      </c>
      <c r="AA170" s="15">
        <f t="shared" si="13"/>
        <v>1.6872579860489633E-2</v>
      </c>
      <c r="AB170" s="15">
        <f t="shared" si="14"/>
        <v>0.20247095832587558</v>
      </c>
      <c r="AC170" t="b">
        <f t="shared" si="15"/>
        <v>1</v>
      </c>
    </row>
    <row r="171" spans="1:29" x14ac:dyDescent="0.25">
      <c r="A171" s="52" t="s">
        <v>259</v>
      </c>
      <c r="B171" s="46">
        <v>30013</v>
      </c>
      <c r="C171" s="47">
        <v>45761</v>
      </c>
      <c r="D171" s="46">
        <v>311500</v>
      </c>
      <c r="E171" s="46">
        <v>2</v>
      </c>
      <c r="F171" s="52" t="s">
        <v>1818</v>
      </c>
      <c r="G171" s="46">
        <v>6</v>
      </c>
      <c r="H171" s="52" t="s">
        <v>784</v>
      </c>
      <c r="I171" s="46"/>
      <c r="J171" s="46">
        <v>0</v>
      </c>
      <c r="K171" s="46"/>
      <c r="L171" s="52" t="s">
        <v>261</v>
      </c>
      <c r="M171" s="53">
        <v>4500000</v>
      </c>
      <c r="N171" s="46">
        <v>38</v>
      </c>
      <c r="O171" s="46">
        <v>0</v>
      </c>
      <c r="P171" s="46">
        <v>1</v>
      </c>
      <c r="Q171" s="52">
        <v>12</v>
      </c>
      <c r="R171" s="53">
        <v>133763</v>
      </c>
      <c r="S171" s="46">
        <v>1</v>
      </c>
      <c r="T171" s="53">
        <v>116875</v>
      </c>
      <c r="U171" s="53">
        <f t="shared" si="17"/>
        <v>56700</v>
      </c>
      <c r="V171" s="46">
        <v>1</v>
      </c>
      <c r="W171" s="53">
        <v>147872</v>
      </c>
      <c r="X171" s="46">
        <v>1</v>
      </c>
      <c r="Y171" s="46">
        <v>1</v>
      </c>
      <c r="Z171" s="54">
        <v>0.19090281299013534</v>
      </c>
      <c r="AA171" s="15">
        <f t="shared" si="13"/>
        <v>1.5908567749177944E-2</v>
      </c>
      <c r="AB171" s="15">
        <f t="shared" si="14"/>
        <v>0.19090281299013534</v>
      </c>
      <c r="AC171" t="b">
        <f t="shared" si="15"/>
        <v>1</v>
      </c>
    </row>
    <row r="172" spans="1:29" x14ac:dyDescent="0.25">
      <c r="A172" s="52" t="s">
        <v>259</v>
      </c>
      <c r="B172" s="46">
        <v>30013</v>
      </c>
      <c r="C172" s="47">
        <v>45761</v>
      </c>
      <c r="D172" s="46">
        <v>311500</v>
      </c>
      <c r="E172" s="46">
        <v>2</v>
      </c>
      <c r="F172" s="52" t="s">
        <v>1819</v>
      </c>
      <c r="G172" s="46">
        <v>6</v>
      </c>
      <c r="H172" s="52" t="s">
        <v>784</v>
      </c>
      <c r="I172" s="46"/>
      <c r="J172" s="46">
        <v>0</v>
      </c>
      <c r="K172" s="46"/>
      <c r="L172" s="52" t="s">
        <v>686</v>
      </c>
      <c r="M172" s="53">
        <v>10000000</v>
      </c>
      <c r="N172" s="46">
        <v>72</v>
      </c>
      <c r="O172" s="46">
        <v>0</v>
      </c>
      <c r="P172" s="46">
        <v>1</v>
      </c>
      <c r="Q172" s="52">
        <v>8</v>
      </c>
      <c r="R172" s="53">
        <v>178350</v>
      </c>
      <c r="S172" s="46">
        <v>1</v>
      </c>
      <c r="T172" s="53">
        <v>465000</v>
      </c>
      <c r="U172" s="53">
        <f t="shared" si="17"/>
        <v>111700</v>
      </c>
      <c r="V172" s="46">
        <v>1</v>
      </c>
      <c r="W172" s="53">
        <v>182807</v>
      </c>
      <c r="X172" s="46">
        <v>1</v>
      </c>
      <c r="Y172" s="46">
        <v>1</v>
      </c>
      <c r="Z172" s="54">
        <v>0.12428453650454652</v>
      </c>
      <c r="AA172" s="15">
        <f t="shared" si="13"/>
        <v>1.035704470871221E-2</v>
      </c>
      <c r="AB172" s="15">
        <f t="shared" si="14"/>
        <v>0.12428453650454652</v>
      </c>
      <c r="AC172" t="b">
        <f t="shared" si="15"/>
        <v>1</v>
      </c>
    </row>
    <row r="173" spans="1:29" x14ac:dyDescent="0.25">
      <c r="A173" s="52" t="s">
        <v>259</v>
      </c>
      <c r="B173" s="46">
        <v>30013</v>
      </c>
      <c r="C173" s="47">
        <v>45761</v>
      </c>
      <c r="D173" s="46">
        <v>321600</v>
      </c>
      <c r="E173" s="46">
        <v>2</v>
      </c>
      <c r="F173" s="52" t="s">
        <v>1820</v>
      </c>
      <c r="G173" s="46">
        <v>6</v>
      </c>
      <c r="H173" s="52" t="s">
        <v>1642</v>
      </c>
      <c r="I173" s="46"/>
      <c r="J173" s="46">
        <v>0</v>
      </c>
      <c r="K173" s="46"/>
      <c r="L173" s="52" t="s">
        <v>686</v>
      </c>
      <c r="M173" s="53">
        <v>1200000</v>
      </c>
      <c r="N173" s="46">
        <v>12</v>
      </c>
      <c r="O173" s="46">
        <v>0</v>
      </c>
      <c r="P173" s="46">
        <v>1</v>
      </c>
      <c r="Q173" s="52">
        <v>10</v>
      </c>
      <c r="R173" s="53">
        <v>14268</v>
      </c>
      <c r="S173" s="46">
        <v>1</v>
      </c>
      <c r="T173" s="53">
        <v>0</v>
      </c>
      <c r="U173" s="53">
        <f t="shared" si="17"/>
        <v>23700</v>
      </c>
      <c r="V173" s="46">
        <v>1</v>
      </c>
      <c r="W173" s="53">
        <v>106557</v>
      </c>
      <c r="X173" s="46">
        <v>1</v>
      </c>
      <c r="Y173" s="46">
        <v>1</v>
      </c>
      <c r="Z173" s="54">
        <v>0.18039624234018087</v>
      </c>
      <c r="AA173" s="15">
        <f t="shared" si="13"/>
        <v>1.5033020195015071E-2</v>
      </c>
      <c r="AB173" s="15">
        <f t="shared" si="14"/>
        <v>0.18039624234018087</v>
      </c>
      <c r="AC173" t="b">
        <f t="shared" si="15"/>
        <v>1</v>
      </c>
    </row>
    <row r="174" spans="1:29" x14ac:dyDescent="0.25">
      <c r="A174" s="52" t="s">
        <v>259</v>
      </c>
      <c r="B174" s="46">
        <v>30013</v>
      </c>
      <c r="C174" s="47">
        <v>45761</v>
      </c>
      <c r="D174" s="46">
        <v>321600</v>
      </c>
      <c r="E174" s="46">
        <v>2</v>
      </c>
      <c r="F174" s="52" t="s">
        <v>1821</v>
      </c>
      <c r="G174" s="46">
        <v>6</v>
      </c>
      <c r="H174" s="52" t="s">
        <v>1650</v>
      </c>
      <c r="I174" s="46"/>
      <c r="J174" s="46">
        <v>0</v>
      </c>
      <c r="K174" s="46"/>
      <c r="L174" s="52" t="s">
        <v>261</v>
      </c>
      <c r="M174" s="53">
        <v>800000</v>
      </c>
      <c r="N174" s="46">
        <v>12</v>
      </c>
      <c r="O174" s="46">
        <v>0</v>
      </c>
      <c r="P174" s="46">
        <v>1</v>
      </c>
      <c r="Q174" s="52">
        <v>10</v>
      </c>
      <c r="R174" s="53">
        <v>9512</v>
      </c>
      <c r="S174" s="46">
        <v>1</v>
      </c>
      <c r="T174" s="53">
        <v>0</v>
      </c>
      <c r="U174" s="53">
        <v>21700</v>
      </c>
      <c r="V174" s="46">
        <v>1</v>
      </c>
      <c r="W174" s="53">
        <v>71038</v>
      </c>
      <c r="X174" s="46">
        <v>1</v>
      </c>
      <c r="Y174" s="46">
        <v>1</v>
      </c>
      <c r="Z174" s="54">
        <v>0.19515090930788326</v>
      </c>
      <c r="AA174" s="15">
        <f t="shared" si="13"/>
        <v>1.6262575775656939E-2</v>
      </c>
      <c r="AB174" s="15">
        <f t="shared" si="14"/>
        <v>0.19515090930788326</v>
      </c>
      <c r="AC174" t="b">
        <f t="shared" si="15"/>
        <v>1</v>
      </c>
    </row>
    <row r="175" spans="1:29" x14ac:dyDescent="0.25">
      <c r="A175" s="52" t="s">
        <v>259</v>
      </c>
      <c r="B175" s="46">
        <v>30013</v>
      </c>
      <c r="C175" s="47">
        <v>45761</v>
      </c>
      <c r="D175" s="46">
        <v>311500</v>
      </c>
      <c r="E175" s="46">
        <v>2</v>
      </c>
      <c r="F175" s="52" t="s">
        <v>1822</v>
      </c>
      <c r="G175" s="46">
        <v>6</v>
      </c>
      <c r="H175" s="52" t="s">
        <v>1642</v>
      </c>
      <c r="I175" s="46"/>
      <c r="J175" s="46">
        <v>0</v>
      </c>
      <c r="K175" s="46"/>
      <c r="L175" s="52" t="s">
        <v>231</v>
      </c>
      <c r="M175" s="53">
        <v>7800000</v>
      </c>
      <c r="N175" s="46">
        <v>36</v>
      </c>
      <c r="O175" s="46">
        <v>0</v>
      </c>
      <c r="P175" s="46">
        <v>1</v>
      </c>
      <c r="Q175" s="52">
        <v>10</v>
      </c>
      <c r="R175" s="53">
        <v>231855</v>
      </c>
      <c r="S175" s="46">
        <v>1</v>
      </c>
      <c r="T175" s="53">
        <v>190500</v>
      </c>
      <c r="U175" s="53">
        <f>M175/100+11700</f>
        <v>89700</v>
      </c>
      <c r="V175" s="46">
        <v>1</v>
      </c>
      <c r="W175" s="53">
        <v>258662</v>
      </c>
      <c r="X175" s="46">
        <v>1</v>
      </c>
      <c r="Y175" s="46">
        <v>1</v>
      </c>
      <c r="Z175" s="54">
        <v>0.16676149380516375</v>
      </c>
      <c r="AA175" s="15">
        <f t="shared" si="13"/>
        <v>1.3896791150430313E-2</v>
      </c>
      <c r="AB175" s="15">
        <f t="shared" si="14"/>
        <v>0.16676149380516375</v>
      </c>
      <c r="AC175" t="b">
        <f t="shared" si="15"/>
        <v>1</v>
      </c>
    </row>
    <row r="176" spans="1:29" x14ac:dyDescent="0.25">
      <c r="A176" s="52" t="s">
        <v>259</v>
      </c>
      <c r="B176" s="46">
        <v>30013</v>
      </c>
      <c r="C176" s="47">
        <v>45761</v>
      </c>
      <c r="D176" s="46">
        <v>321600</v>
      </c>
      <c r="E176" s="46">
        <v>2</v>
      </c>
      <c r="F176" s="52" t="s">
        <v>1823</v>
      </c>
      <c r="G176" s="46">
        <v>6</v>
      </c>
      <c r="H176" s="52" t="s">
        <v>784</v>
      </c>
      <c r="I176" s="46"/>
      <c r="J176" s="46">
        <v>0</v>
      </c>
      <c r="K176" s="46"/>
      <c r="L176" s="52" t="s">
        <v>261</v>
      </c>
      <c r="M176" s="53">
        <v>690000</v>
      </c>
      <c r="N176" s="46">
        <v>12</v>
      </c>
      <c r="O176" s="46">
        <v>0</v>
      </c>
      <c r="P176" s="46">
        <v>1</v>
      </c>
      <c r="Q176" s="52">
        <v>10</v>
      </c>
      <c r="R176" s="53">
        <v>8204</v>
      </c>
      <c r="S176" s="46">
        <v>1</v>
      </c>
      <c r="T176" s="53">
        <v>0</v>
      </c>
      <c r="U176" s="53">
        <v>21700</v>
      </c>
      <c r="V176" s="46">
        <v>1</v>
      </c>
      <c r="W176" s="53">
        <v>61270</v>
      </c>
      <c r="X176" s="46">
        <v>1</v>
      </c>
      <c r="Y176" s="46">
        <v>1</v>
      </c>
      <c r="Z176" s="54">
        <v>0.20387017854649631</v>
      </c>
      <c r="AA176" s="15">
        <f t="shared" si="13"/>
        <v>1.6989181545541358E-2</v>
      </c>
      <c r="AB176" s="15">
        <f t="shared" si="14"/>
        <v>0.20387017854649631</v>
      </c>
      <c r="AC176" t="b">
        <f t="shared" si="15"/>
        <v>1</v>
      </c>
    </row>
    <row r="177" spans="1:29" x14ac:dyDescent="0.25">
      <c r="A177" s="52" t="s">
        <v>259</v>
      </c>
      <c r="B177" s="46">
        <v>30013</v>
      </c>
      <c r="C177" s="47">
        <v>45761</v>
      </c>
      <c r="D177" s="46">
        <v>321500</v>
      </c>
      <c r="E177" s="46">
        <v>2</v>
      </c>
      <c r="F177" s="52" t="s">
        <v>1824</v>
      </c>
      <c r="G177" s="46">
        <v>6</v>
      </c>
      <c r="H177" s="52" t="s">
        <v>784</v>
      </c>
      <c r="I177" s="46"/>
      <c r="J177" s="46">
        <v>0</v>
      </c>
      <c r="K177" s="46"/>
      <c r="L177" s="52" t="s">
        <v>266</v>
      </c>
      <c r="M177" s="53">
        <v>1200000</v>
      </c>
      <c r="N177" s="46">
        <v>12</v>
      </c>
      <c r="O177" s="46">
        <v>0</v>
      </c>
      <c r="P177" s="46">
        <v>1</v>
      </c>
      <c r="Q177" s="52">
        <v>10</v>
      </c>
      <c r="R177" s="53">
        <v>14268</v>
      </c>
      <c r="S177" s="46">
        <v>1</v>
      </c>
      <c r="T177" s="53">
        <v>0</v>
      </c>
      <c r="U177" s="53">
        <f t="shared" ref="U177:U190" si="18">M177/100+11700</f>
        <v>23700</v>
      </c>
      <c r="V177" s="46">
        <v>1</v>
      </c>
      <c r="W177" s="53">
        <v>106557</v>
      </c>
      <c r="X177" s="46">
        <v>1</v>
      </c>
      <c r="Y177" s="46">
        <v>1</v>
      </c>
      <c r="Z177" s="54">
        <v>0.18039624234018087</v>
      </c>
      <c r="AA177" s="15">
        <f t="shared" si="13"/>
        <v>1.5033020195015071E-2</v>
      </c>
      <c r="AB177" s="15">
        <f t="shared" si="14"/>
        <v>0.18039624234018087</v>
      </c>
      <c r="AC177" t="b">
        <f t="shared" si="15"/>
        <v>1</v>
      </c>
    </row>
    <row r="178" spans="1:29" x14ac:dyDescent="0.25">
      <c r="A178" s="52" t="s">
        <v>259</v>
      </c>
      <c r="B178" s="46">
        <v>30013</v>
      </c>
      <c r="C178" s="47">
        <v>45761</v>
      </c>
      <c r="D178" s="46">
        <v>311500</v>
      </c>
      <c r="E178" s="46">
        <v>2</v>
      </c>
      <c r="F178" s="52" t="s">
        <v>1825</v>
      </c>
      <c r="G178" s="46">
        <v>6</v>
      </c>
      <c r="H178" s="52" t="s">
        <v>784</v>
      </c>
      <c r="I178" s="46"/>
      <c r="J178" s="46">
        <v>0</v>
      </c>
      <c r="K178" s="46"/>
      <c r="L178" s="52" t="s">
        <v>270</v>
      </c>
      <c r="M178" s="53">
        <v>2150000</v>
      </c>
      <c r="N178" s="46">
        <v>48</v>
      </c>
      <c r="O178" s="46">
        <v>0</v>
      </c>
      <c r="P178" s="46">
        <v>1</v>
      </c>
      <c r="Q178" s="52">
        <v>13</v>
      </c>
      <c r="R178" s="53">
        <v>63909</v>
      </c>
      <c r="S178" s="46">
        <v>1</v>
      </c>
      <c r="T178" s="53">
        <v>74500</v>
      </c>
      <c r="U178" s="53">
        <f t="shared" si="18"/>
        <v>33200</v>
      </c>
      <c r="V178" s="46">
        <v>1</v>
      </c>
      <c r="W178" s="53">
        <v>60335</v>
      </c>
      <c r="X178" s="46">
        <v>1</v>
      </c>
      <c r="Y178" s="46">
        <v>1</v>
      </c>
      <c r="Z178" s="54">
        <v>0.20125006508615687</v>
      </c>
      <c r="AA178" s="15">
        <f t="shared" si="13"/>
        <v>1.6770838757179739E-2</v>
      </c>
      <c r="AB178" s="15">
        <f t="shared" si="14"/>
        <v>0.20125006508615687</v>
      </c>
      <c r="AC178" t="b">
        <f t="shared" si="15"/>
        <v>1</v>
      </c>
    </row>
    <row r="179" spans="1:29" x14ac:dyDescent="0.25">
      <c r="A179" s="52" t="s">
        <v>259</v>
      </c>
      <c r="B179" s="46">
        <v>30013</v>
      </c>
      <c r="C179" s="47">
        <v>45761</v>
      </c>
      <c r="D179" s="46">
        <v>311500</v>
      </c>
      <c r="E179" s="46">
        <v>2</v>
      </c>
      <c r="F179" s="52" t="s">
        <v>1826</v>
      </c>
      <c r="G179" s="46">
        <v>6</v>
      </c>
      <c r="H179" s="52" t="s">
        <v>784</v>
      </c>
      <c r="I179" s="46"/>
      <c r="J179" s="46">
        <v>0</v>
      </c>
      <c r="K179" s="46"/>
      <c r="L179" s="52" t="s">
        <v>261</v>
      </c>
      <c r="M179" s="53">
        <v>4800000</v>
      </c>
      <c r="N179" s="46">
        <v>72</v>
      </c>
      <c r="O179" s="46">
        <v>0</v>
      </c>
      <c r="P179" s="46">
        <v>1</v>
      </c>
      <c r="Q179" s="52">
        <v>12</v>
      </c>
      <c r="R179" s="53">
        <v>85608</v>
      </c>
      <c r="S179" s="46">
        <v>1</v>
      </c>
      <c r="T179" s="53">
        <v>226000</v>
      </c>
      <c r="U179" s="53">
        <f t="shared" si="18"/>
        <v>59700</v>
      </c>
      <c r="V179" s="46">
        <v>1</v>
      </c>
      <c r="W179" s="53">
        <v>99598</v>
      </c>
      <c r="X179" s="46">
        <v>1</v>
      </c>
      <c r="Y179" s="46">
        <v>1</v>
      </c>
      <c r="Z179" s="54">
        <v>0.17434475069274694</v>
      </c>
      <c r="AA179" s="15">
        <f t="shared" si="13"/>
        <v>1.4528729224395577E-2</v>
      </c>
      <c r="AB179" s="15">
        <f t="shared" si="14"/>
        <v>0.17434475069274694</v>
      </c>
      <c r="AC179" t="b">
        <f t="shared" si="15"/>
        <v>1</v>
      </c>
    </row>
    <row r="180" spans="1:29" x14ac:dyDescent="0.25">
      <c r="A180" s="52" t="s">
        <v>259</v>
      </c>
      <c r="B180" s="46">
        <v>30013</v>
      </c>
      <c r="C180" s="47">
        <v>45761</v>
      </c>
      <c r="D180" s="46">
        <v>311500</v>
      </c>
      <c r="E180" s="46">
        <v>2</v>
      </c>
      <c r="F180" s="52" t="s">
        <v>1827</v>
      </c>
      <c r="G180" s="46">
        <v>6</v>
      </c>
      <c r="H180" s="52" t="s">
        <v>1642</v>
      </c>
      <c r="I180" s="46"/>
      <c r="J180" s="46">
        <v>0</v>
      </c>
      <c r="K180" s="46"/>
      <c r="L180" s="52" t="s">
        <v>231</v>
      </c>
      <c r="M180" s="53">
        <v>10000000</v>
      </c>
      <c r="N180" s="46">
        <v>36</v>
      </c>
      <c r="O180" s="46">
        <v>0</v>
      </c>
      <c r="P180" s="46">
        <v>1</v>
      </c>
      <c r="Q180" s="52">
        <v>8</v>
      </c>
      <c r="R180" s="53">
        <v>297250</v>
      </c>
      <c r="S180" s="46">
        <v>1</v>
      </c>
      <c r="T180" s="53">
        <v>240000</v>
      </c>
      <c r="U180" s="53">
        <f t="shared" si="18"/>
        <v>111700</v>
      </c>
      <c r="V180" s="46">
        <v>1</v>
      </c>
      <c r="W180" s="53">
        <v>320386</v>
      </c>
      <c r="X180" s="46">
        <v>1</v>
      </c>
      <c r="Y180" s="46">
        <v>1</v>
      </c>
      <c r="Z180" s="54">
        <v>0.14173658590161969</v>
      </c>
      <c r="AA180" s="15">
        <f t="shared" si="13"/>
        <v>1.1811382158468308E-2</v>
      </c>
      <c r="AB180" s="15">
        <f t="shared" si="14"/>
        <v>0.14173658590161969</v>
      </c>
      <c r="AC180" t="b">
        <f t="shared" si="15"/>
        <v>1</v>
      </c>
    </row>
    <row r="181" spans="1:29" x14ac:dyDescent="0.25">
      <c r="A181" s="52" t="s">
        <v>259</v>
      </c>
      <c r="B181" s="46">
        <v>30013</v>
      </c>
      <c r="C181" s="47">
        <v>45761</v>
      </c>
      <c r="D181" s="46">
        <v>311500</v>
      </c>
      <c r="E181" s="46">
        <v>2</v>
      </c>
      <c r="F181" s="52" t="s">
        <v>1828</v>
      </c>
      <c r="G181" s="46">
        <v>6</v>
      </c>
      <c r="H181" s="52" t="s">
        <v>784</v>
      </c>
      <c r="I181" s="46"/>
      <c r="J181" s="46">
        <v>0</v>
      </c>
      <c r="K181" s="46"/>
      <c r="L181" s="52" t="s">
        <v>687</v>
      </c>
      <c r="M181" s="53">
        <v>4250000</v>
      </c>
      <c r="N181" s="46">
        <v>60</v>
      </c>
      <c r="O181" s="46">
        <v>0</v>
      </c>
      <c r="P181" s="46">
        <v>1</v>
      </c>
      <c r="Q181" s="52">
        <v>13</v>
      </c>
      <c r="R181" s="53">
        <v>126331</v>
      </c>
      <c r="S181" s="46">
        <v>1</v>
      </c>
      <c r="T181" s="53">
        <v>169375</v>
      </c>
      <c r="U181" s="53">
        <f t="shared" si="18"/>
        <v>54200</v>
      </c>
      <c r="V181" s="46">
        <v>1</v>
      </c>
      <c r="W181" s="53">
        <v>102130</v>
      </c>
      <c r="X181" s="46">
        <v>1</v>
      </c>
      <c r="Y181" s="46">
        <v>1</v>
      </c>
      <c r="Z181" s="54">
        <v>0.19445953104728458</v>
      </c>
      <c r="AA181" s="15">
        <f t="shared" si="13"/>
        <v>1.620496092060705E-2</v>
      </c>
      <c r="AB181" s="15">
        <f t="shared" si="14"/>
        <v>0.19445953104728458</v>
      </c>
      <c r="AC181" t="b">
        <f t="shared" si="15"/>
        <v>1</v>
      </c>
    </row>
    <row r="182" spans="1:29" x14ac:dyDescent="0.25">
      <c r="A182" s="52" t="s">
        <v>259</v>
      </c>
      <c r="B182" s="46">
        <v>30013</v>
      </c>
      <c r="C182" s="47">
        <v>45761</v>
      </c>
      <c r="D182" s="46">
        <v>311500</v>
      </c>
      <c r="E182" s="46">
        <v>2</v>
      </c>
      <c r="F182" s="52" t="s">
        <v>1829</v>
      </c>
      <c r="G182" s="46">
        <v>6</v>
      </c>
      <c r="H182" s="52" t="s">
        <v>784</v>
      </c>
      <c r="I182" s="46"/>
      <c r="J182" s="46">
        <v>0</v>
      </c>
      <c r="K182" s="46"/>
      <c r="L182" s="52" t="s">
        <v>261</v>
      </c>
      <c r="M182" s="53">
        <v>2800000</v>
      </c>
      <c r="N182" s="46">
        <v>60</v>
      </c>
      <c r="O182" s="46">
        <v>0</v>
      </c>
      <c r="P182" s="46">
        <v>1</v>
      </c>
      <c r="Q182" s="52">
        <v>13</v>
      </c>
      <c r="R182" s="53">
        <v>83230</v>
      </c>
      <c r="S182" s="46">
        <v>1</v>
      </c>
      <c r="T182" s="53">
        <v>115000</v>
      </c>
      <c r="U182" s="53">
        <f t="shared" si="18"/>
        <v>39700</v>
      </c>
      <c r="V182" s="46">
        <v>1</v>
      </c>
      <c r="W182" s="53">
        <v>67285</v>
      </c>
      <c r="X182" s="46">
        <v>1</v>
      </c>
      <c r="Y182" s="46">
        <v>1</v>
      </c>
      <c r="Z182" s="54">
        <v>0.19582231567300679</v>
      </c>
      <c r="AA182" s="15">
        <f t="shared" si="13"/>
        <v>1.6318526306083898E-2</v>
      </c>
      <c r="AB182" s="15">
        <f t="shared" si="14"/>
        <v>0.19582231567300679</v>
      </c>
      <c r="AC182" t="b">
        <f t="shared" si="15"/>
        <v>1</v>
      </c>
    </row>
    <row r="183" spans="1:29" x14ac:dyDescent="0.25">
      <c r="A183" s="52" t="s">
        <v>259</v>
      </c>
      <c r="B183" s="46">
        <v>30013</v>
      </c>
      <c r="C183" s="47">
        <v>45761</v>
      </c>
      <c r="D183" s="46">
        <v>311500</v>
      </c>
      <c r="E183" s="46">
        <v>2</v>
      </c>
      <c r="F183" s="52" t="s">
        <v>1830</v>
      </c>
      <c r="G183" s="46">
        <v>6</v>
      </c>
      <c r="H183" s="52" t="s">
        <v>784</v>
      </c>
      <c r="I183" s="46"/>
      <c r="J183" s="46">
        <v>0</v>
      </c>
      <c r="K183" s="46"/>
      <c r="L183" s="52" t="s">
        <v>261</v>
      </c>
      <c r="M183" s="53">
        <v>5500000</v>
      </c>
      <c r="N183" s="46">
        <v>60</v>
      </c>
      <c r="O183" s="46">
        <v>0</v>
      </c>
      <c r="P183" s="46">
        <v>1</v>
      </c>
      <c r="Q183" s="52">
        <v>12</v>
      </c>
      <c r="R183" s="53">
        <v>163488</v>
      </c>
      <c r="S183" s="46">
        <v>1</v>
      </c>
      <c r="T183" s="53">
        <v>216250</v>
      </c>
      <c r="U183" s="53">
        <f t="shared" si="18"/>
        <v>66700</v>
      </c>
      <c r="V183" s="46">
        <v>1</v>
      </c>
      <c r="W183" s="53">
        <v>128741</v>
      </c>
      <c r="X183" s="46">
        <v>1</v>
      </c>
      <c r="Y183" s="46">
        <v>1</v>
      </c>
      <c r="Z183" s="54">
        <v>0.18150368394951813</v>
      </c>
      <c r="AA183" s="15">
        <f t="shared" si="13"/>
        <v>1.5125306995793177E-2</v>
      </c>
      <c r="AB183" s="15">
        <f t="shared" si="14"/>
        <v>0.18150368394951813</v>
      </c>
      <c r="AC183" t="b">
        <f t="shared" si="15"/>
        <v>1</v>
      </c>
    </row>
    <row r="184" spans="1:29" x14ac:dyDescent="0.25">
      <c r="A184" s="52" t="s">
        <v>259</v>
      </c>
      <c r="B184" s="46">
        <v>30013</v>
      </c>
      <c r="C184" s="47">
        <v>45761</v>
      </c>
      <c r="D184" s="46">
        <v>311500</v>
      </c>
      <c r="E184" s="46">
        <v>2</v>
      </c>
      <c r="F184" s="52" t="s">
        <v>1831</v>
      </c>
      <c r="G184" s="46">
        <v>6</v>
      </c>
      <c r="H184" s="52" t="s">
        <v>784</v>
      </c>
      <c r="I184" s="46"/>
      <c r="J184" s="46">
        <v>0</v>
      </c>
      <c r="K184" s="46"/>
      <c r="L184" s="52" t="s">
        <v>261</v>
      </c>
      <c r="M184" s="53">
        <v>4250000</v>
      </c>
      <c r="N184" s="46">
        <v>60</v>
      </c>
      <c r="O184" s="46">
        <v>0</v>
      </c>
      <c r="P184" s="46">
        <v>1</v>
      </c>
      <c r="Q184" s="52">
        <v>13</v>
      </c>
      <c r="R184" s="53">
        <v>126331</v>
      </c>
      <c r="S184" s="46">
        <v>1</v>
      </c>
      <c r="T184" s="53">
        <v>169375</v>
      </c>
      <c r="U184" s="53">
        <f t="shared" si="18"/>
        <v>54200</v>
      </c>
      <c r="V184" s="46">
        <v>1</v>
      </c>
      <c r="W184" s="53">
        <v>102130</v>
      </c>
      <c r="X184" s="46">
        <v>1</v>
      </c>
      <c r="Y184" s="46">
        <v>1</v>
      </c>
      <c r="Z184" s="54">
        <v>0.19445953104728458</v>
      </c>
      <c r="AA184" s="15">
        <f t="shared" si="13"/>
        <v>1.620496092060705E-2</v>
      </c>
      <c r="AB184" s="15">
        <f t="shared" si="14"/>
        <v>0.19445953104728458</v>
      </c>
      <c r="AC184" t="b">
        <f t="shared" si="15"/>
        <v>1</v>
      </c>
    </row>
    <row r="185" spans="1:29" x14ac:dyDescent="0.25">
      <c r="A185" s="52" t="s">
        <v>259</v>
      </c>
      <c r="B185" s="46">
        <v>30013</v>
      </c>
      <c r="C185" s="47">
        <v>45761</v>
      </c>
      <c r="D185" s="46">
        <v>311500</v>
      </c>
      <c r="E185" s="46">
        <v>2</v>
      </c>
      <c r="F185" s="52" t="s">
        <v>1832</v>
      </c>
      <c r="G185" s="46">
        <v>6</v>
      </c>
      <c r="H185" s="52" t="s">
        <v>784</v>
      </c>
      <c r="I185" s="46"/>
      <c r="J185" s="46">
        <v>0</v>
      </c>
      <c r="K185" s="46"/>
      <c r="L185" s="52" t="s">
        <v>715</v>
      </c>
      <c r="M185" s="53">
        <v>4250000</v>
      </c>
      <c r="N185" s="46">
        <v>60</v>
      </c>
      <c r="O185" s="46">
        <v>0</v>
      </c>
      <c r="P185" s="46">
        <v>1</v>
      </c>
      <c r="Q185" s="52">
        <v>13</v>
      </c>
      <c r="R185" s="53">
        <v>126331</v>
      </c>
      <c r="S185" s="46">
        <v>1</v>
      </c>
      <c r="T185" s="53">
        <v>169375</v>
      </c>
      <c r="U185" s="53">
        <f t="shared" si="18"/>
        <v>54200</v>
      </c>
      <c r="V185" s="46">
        <v>1</v>
      </c>
      <c r="W185" s="53">
        <v>102130</v>
      </c>
      <c r="X185" s="46">
        <v>1</v>
      </c>
      <c r="Y185" s="46">
        <v>1</v>
      </c>
      <c r="Z185" s="54">
        <v>0.19445953104728458</v>
      </c>
      <c r="AA185" s="15">
        <f t="shared" si="13"/>
        <v>1.620496092060705E-2</v>
      </c>
      <c r="AB185" s="15">
        <f t="shared" si="14"/>
        <v>0.19445953104728458</v>
      </c>
      <c r="AC185" t="b">
        <f t="shared" si="15"/>
        <v>1</v>
      </c>
    </row>
    <row r="186" spans="1:29" x14ac:dyDescent="0.25">
      <c r="A186" s="52" t="s">
        <v>259</v>
      </c>
      <c r="B186" s="46">
        <v>30013</v>
      </c>
      <c r="C186" s="47">
        <v>45761</v>
      </c>
      <c r="D186" s="46">
        <v>311500</v>
      </c>
      <c r="E186" s="46">
        <v>2</v>
      </c>
      <c r="F186" s="52" t="s">
        <v>1833</v>
      </c>
      <c r="G186" s="46">
        <v>6</v>
      </c>
      <c r="H186" s="52" t="s">
        <v>784</v>
      </c>
      <c r="I186" s="46"/>
      <c r="J186" s="46">
        <v>0</v>
      </c>
      <c r="K186" s="46"/>
      <c r="L186" s="52" t="s">
        <v>261</v>
      </c>
      <c r="M186" s="53">
        <v>2070000</v>
      </c>
      <c r="N186" s="46">
        <v>48</v>
      </c>
      <c r="O186" s="46">
        <v>0</v>
      </c>
      <c r="P186" s="46">
        <v>1</v>
      </c>
      <c r="Q186" s="52">
        <v>13</v>
      </c>
      <c r="R186" s="53">
        <v>61531</v>
      </c>
      <c r="S186" s="46">
        <v>1</v>
      </c>
      <c r="T186" s="53">
        <v>72100</v>
      </c>
      <c r="U186" s="53">
        <f t="shared" si="18"/>
        <v>32400</v>
      </c>
      <c r="V186" s="46">
        <v>1</v>
      </c>
      <c r="W186" s="53">
        <v>58090</v>
      </c>
      <c r="X186" s="46">
        <v>1</v>
      </c>
      <c r="Y186" s="46">
        <v>1</v>
      </c>
      <c r="Z186" s="54">
        <v>0.20149272358731535</v>
      </c>
      <c r="AA186" s="15">
        <f t="shared" si="13"/>
        <v>1.6791060298942947E-2</v>
      </c>
      <c r="AB186" s="15">
        <f t="shared" si="14"/>
        <v>0.20149272358731535</v>
      </c>
      <c r="AC186" t="b">
        <f t="shared" si="15"/>
        <v>1</v>
      </c>
    </row>
    <row r="187" spans="1:29" x14ac:dyDescent="0.25">
      <c r="A187" s="52" t="s">
        <v>259</v>
      </c>
      <c r="B187" s="46">
        <v>30013</v>
      </c>
      <c r="C187" s="47">
        <v>45761</v>
      </c>
      <c r="D187" s="46">
        <v>311500</v>
      </c>
      <c r="E187" s="46">
        <v>2</v>
      </c>
      <c r="F187" s="52" t="s">
        <v>1834</v>
      </c>
      <c r="G187" s="46">
        <v>6</v>
      </c>
      <c r="H187" s="52" t="s">
        <v>1642</v>
      </c>
      <c r="I187" s="46"/>
      <c r="J187" s="46">
        <v>0</v>
      </c>
      <c r="K187" s="46"/>
      <c r="L187" s="52" t="s">
        <v>231</v>
      </c>
      <c r="M187" s="53">
        <v>10000000</v>
      </c>
      <c r="N187" s="46">
        <v>72</v>
      </c>
      <c r="O187" s="46">
        <v>0</v>
      </c>
      <c r="P187" s="46">
        <v>1</v>
      </c>
      <c r="Q187" s="52">
        <v>8</v>
      </c>
      <c r="R187" s="53">
        <v>178350</v>
      </c>
      <c r="S187" s="46">
        <v>1</v>
      </c>
      <c r="T187" s="53">
        <v>465000</v>
      </c>
      <c r="U187" s="53">
        <f t="shared" si="18"/>
        <v>111700</v>
      </c>
      <c r="V187" s="46">
        <v>1</v>
      </c>
      <c r="W187" s="53">
        <v>182807</v>
      </c>
      <c r="X187" s="46">
        <v>1</v>
      </c>
      <c r="Y187" s="46">
        <v>1</v>
      </c>
      <c r="Z187" s="54">
        <v>0.12428453650454652</v>
      </c>
      <c r="AA187" s="15">
        <f t="shared" si="13"/>
        <v>1.035704470871221E-2</v>
      </c>
      <c r="AB187" s="15">
        <f t="shared" si="14"/>
        <v>0.12428453650454652</v>
      </c>
      <c r="AC187" t="b">
        <f t="shared" si="15"/>
        <v>1</v>
      </c>
    </row>
    <row r="188" spans="1:29" x14ac:dyDescent="0.25">
      <c r="A188" s="52" t="s">
        <v>259</v>
      </c>
      <c r="B188" s="46">
        <v>30013</v>
      </c>
      <c r="C188" s="47">
        <v>45761</v>
      </c>
      <c r="D188" s="46">
        <v>321300</v>
      </c>
      <c r="E188" s="46">
        <v>2</v>
      </c>
      <c r="F188" s="52" t="s">
        <v>1835</v>
      </c>
      <c r="G188" s="46">
        <v>6</v>
      </c>
      <c r="H188" s="52" t="s">
        <v>784</v>
      </c>
      <c r="I188" s="46"/>
      <c r="J188" s="46">
        <v>0</v>
      </c>
      <c r="K188" s="46"/>
      <c r="L188" s="52" t="s">
        <v>694</v>
      </c>
      <c r="M188" s="55">
        <v>1170000</v>
      </c>
      <c r="N188" s="46">
        <v>20</v>
      </c>
      <c r="O188" s="46">
        <v>0</v>
      </c>
      <c r="P188" s="46">
        <v>1</v>
      </c>
      <c r="Q188" s="52">
        <v>13</v>
      </c>
      <c r="R188" s="55">
        <v>34778</v>
      </c>
      <c r="S188" s="46">
        <v>1</v>
      </c>
      <c r="T188" s="55">
        <v>24625</v>
      </c>
      <c r="U188" s="53">
        <f t="shared" si="18"/>
        <v>23400</v>
      </c>
      <c r="V188" s="46">
        <v>1</v>
      </c>
      <c r="W188" s="55">
        <v>66732</v>
      </c>
      <c r="X188" s="46">
        <v>1</v>
      </c>
      <c r="Y188" s="46">
        <v>1</v>
      </c>
      <c r="Z188" s="54">
        <v>0.24453250012728012</v>
      </c>
      <c r="AA188" s="15">
        <f t="shared" si="13"/>
        <v>2.037770834394001E-2</v>
      </c>
      <c r="AB188" s="15">
        <f t="shared" si="14"/>
        <v>0.24453250012728012</v>
      </c>
      <c r="AC188" t="b">
        <f t="shared" si="15"/>
        <v>1</v>
      </c>
    </row>
    <row r="189" spans="1:29" x14ac:dyDescent="0.25">
      <c r="A189" s="52" t="s">
        <v>259</v>
      </c>
      <c r="B189" s="46">
        <v>30013</v>
      </c>
      <c r="C189" s="47">
        <v>45761</v>
      </c>
      <c r="D189" s="46">
        <v>311500</v>
      </c>
      <c r="E189" s="46">
        <v>2</v>
      </c>
      <c r="F189" s="52" t="s">
        <v>1836</v>
      </c>
      <c r="G189" s="46">
        <v>6</v>
      </c>
      <c r="H189" s="52" t="s">
        <v>1642</v>
      </c>
      <c r="I189" s="46"/>
      <c r="J189" s="46">
        <v>0</v>
      </c>
      <c r="K189" s="46"/>
      <c r="L189" s="52" t="s">
        <v>261</v>
      </c>
      <c r="M189" s="53">
        <v>6000000</v>
      </c>
      <c r="N189" s="46">
        <v>72</v>
      </c>
      <c r="O189" s="46">
        <v>0</v>
      </c>
      <c r="P189" s="46">
        <v>1</v>
      </c>
      <c r="Q189" s="52">
        <v>12</v>
      </c>
      <c r="R189" s="53">
        <v>107010</v>
      </c>
      <c r="S189" s="46">
        <v>1</v>
      </c>
      <c r="T189" s="53">
        <v>280000</v>
      </c>
      <c r="U189" s="53">
        <f t="shared" si="18"/>
        <v>71700</v>
      </c>
      <c r="V189" s="46">
        <v>1</v>
      </c>
      <c r="W189" s="53">
        <v>124497</v>
      </c>
      <c r="X189" s="46">
        <v>1</v>
      </c>
      <c r="Y189" s="46">
        <v>1</v>
      </c>
      <c r="Z189" s="54">
        <v>0.17395070495049128</v>
      </c>
      <c r="AA189" s="15">
        <f t="shared" si="13"/>
        <v>1.4495892079207607E-2</v>
      </c>
      <c r="AB189" s="15">
        <f t="shared" si="14"/>
        <v>0.17395070495049128</v>
      </c>
      <c r="AC189" t="b">
        <f t="shared" si="15"/>
        <v>1</v>
      </c>
    </row>
    <row r="190" spans="1:29" x14ac:dyDescent="0.25">
      <c r="A190" s="52" t="s">
        <v>259</v>
      </c>
      <c r="B190" s="46">
        <v>30013</v>
      </c>
      <c r="C190" s="47">
        <v>45761</v>
      </c>
      <c r="D190" s="46">
        <v>321600</v>
      </c>
      <c r="E190" s="46">
        <v>2</v>
      </c>
      <c r="F190" s="52" t="s">
        <v>1837</v>
      </c>
      <c r="G190" s="46">
        <v>6</v>
      </c>
      <c r="H190" s="52" t="s">
        <v>1642</v>
      </c>
      <c r="I190" s="46"/>
      <c r="J190" s="46">
        <v>0</v>
      </c>
      <c r="K190" s="46"/>
      <c r="L190" s="52" t="s">
        <v>231</v>
      </c>
      <c r="M190" s="53">
        <v>1300000</v>
      </c>
      <c r="N190" s="46">
        <v>12</v>
      </c>
      <c r="O190" s="46">
        <v>0</v>
      </c>
      <c r="P190" s="46">
        <v>1</v>
      </c>
      <c r="Q190" s="52">
        <v>10</v>
      </c>
      <c r="R190" s="53">
        <v>15457</v>
      </c>
      <c r="S190" s="46">
        <v>1</v>
      </c>
      <c r="T190" s="53">
        <v>0</v>
      </c>
      <c r="U190" s="53">
        <f t="shared" si="18"/>
        <v>24700</v>
      </c>
      <c r="V190" s="46">
        <v>1</v>
      </c>
      <c r="W190" s="53">
        <v>115437</v>
      </c>
      <c r="X190" s="46">
        <v>1</v>
      </c>
      <c r="Y190" s="46">
        <v>1</v>
      </c>
      <c r="Z190" s="54">
        <v>0.17890910642795257</v>
      </c>
      <c r="AA190" s="15">
        <f t="shared" si="13"/>
        <v>1.4909092202329381E-2</v>
      </c>
      <c r="AB190" s="15">
        <f t="shared" si="14"/>
        <v>0.17890910642795257</v>
      </c>
      <c r="AC190" t="b">
        <f t="shared" si="15"/>
        <v>1</v>
      </c>
    </row>
    <row r="191" spans="1:29" x14ac:dyDescent="0.25">
      <c r="A191" s="52" t="s">
        <v>259</v>
      </c>
      <c r="B191" s="46">
        <v>30013</v>
      </c>
      <c r="C191" s="47">
        <v>45761</v>
      </c>
      <c r="D191" s="46">
        <v>321600</v>
      </c>
      <c r="E191" s="46">
        <v>2</v>
      </c>
      <c r="F191" s="52" t="s">
        <v>1838</v>
      </c>
      <c r="G191" s="46">
        <v>6</v>
      </c>
      <c r="H191" s="52" t="s">
        <v>784</v>
      </c>
      <c r="I191" s="46"/>
      <c r="J191" s="46">
        <v>0</v>
      </c>
      <c r="K191" s="46"/>
      <c r="L191" s="52" t="s">
        <v>709</v>
      </c>
      <c r="M191" s="53">
        <v>840000</v>
      </c>
      <c r="N191" s="46">
        <v>12</v>
      </c>
      <c r="O191" s="46">
        <v>0</v>
      </c>
      <c r="P191" s="46">
        <v>1</v>
      </c>
      <c r="Q191" s="52">
        <v>10</v>
      </c>
      <c r="R191" s="53">
        <v>9988</v>
      </c>
      <c r="S191" s="46">
        <v>1</v>
      </c>
      <c r="T191" s="53">
        <v>0</v>
      </c>
      <c r="U191" s="53">
        <v>21700</v>
      </c>
      <c r="V191" s="46">
        <v>1</v>
      </c>
      <c r="W191" s="53">
        <v>74590</v>
      </c>
      <c r="X191" s="46">
        <v>1</v>
      </c>
      <c r="Y191" s="46">
        <v>1</v>
      </c>
      <c r="Z191" s="54">
        <v>0.19255841074257807</v>
      </c>
      <c r="AA191" s="15">
        <f t="shared" si="13"/>
        <v>1.6046534228548171E-2</v>
      </c>
      <c r="AB191" s="15">
        <f t="shared" si="14"/>
        <v>0.19255841074257807</v>
      </c>
      <c r="AC191" t="b">
        <f t="shared" si="15"/>
        <v>1</v>
      </c>
    </row>
    <row r="192" spans="1:29" x14ac:dyDescent="0.25">
      <c r="A192" s="52" t="s">
        <v>259</v>
      </c>
      <c r="B192" s="46">
        <v>30013</v>
      </c>
      <c r="C192" s="47">
        <v>45761</v>
      </c>
      <c r="D192" s="46">
        <v>311500</v>
      </c>
      <c r="E192" s="46">
        <v>2</v>
      </c>
      <c r="F192" s="52" t="s">
        <v>1839</v>
      </c>
      <c r="G192" s="46">
        <v>6</v>
      </c>
      <c r="H192" s="52" t="s">
        <v>784</v>
      </c>
      <c r="I192" s="46"/>
      <c r="J192" s="46">
        <v>0</v>
      </c>
      <c r="K192" s="46"/>
      <c r="L192" s="52" t="s">
        <v>261</v>
      </c>
      <c r="M192" s="53">
        <v>1500000</v>
      </c>
      <c r="N192" s="46">
        <v>48</v>
      </c>
      <c r="O192" s="46">
        <v>0</v>
      </c>
      <c r="P192" s="46">
        <v>1</v>
      </c>
      <c r="Q192" s="52">
        <v>12</v>
      </c>
      <c r="R192" s="53">
        <v>44588</v>
      </c>
      <c r="S192" s="46">
        <v>1</v>
      </c>
      <c r="T192" s="53">
        <v>55000</v>
      </c>
      <c r="U192" s="53">
        <f t="shared" ref="U192:U205" si="19">M192/100+11700</f>
        <v>26700</v>
      </c>
      <c r="V192" s="46">
        <v>1</v>
      </c>
      <c r="W192" s="53">
        <v>41192</v>
      </c>
      <c r="X192" s="46">
        <v>1</v>
      </c>
      <c r="Y192" s="46">
        <v>1</v>
      </c>
      <c r="Z192" s="54">
        <v>0.19162446506379321</v>
      </c>
      <c r="AA192" s="15">
        <f t="shared" si="13"/>
        <v>1.5968705421982768E-2</v>
      </c>
      <c r="AB192" s="15">
        <f t="shared" si="14"/>
        <v>0.19162446506379321</v>
      </c>
      <c r="AC192" t="b">
        <f t="shared" si="15"/>
        <v>1</v>
      </c>
    </row>
    <row r="193" spans="1:29" x14ac:dyDescent="0.25">
      <c r="A193" s="52" t="s">
        <v>259</v>
      </c>
      <c r="B193" s="46">
        <v>30013</v>
      </c>
      <c r="C193" s="47">
        <v>45761</v>
      </c>
      <c r="D193" s="46">
        <v>311500</v>
      </c>
      <c r="E193" s="46">
        <v>2</v>
      </c>
      <c r="F193" s="52" t="s">
        <v>1840</v>
      </c>
      <c r="G193" s="46">
        <v>6</v>
      </c>
      <c r="H193" s="52" t="s">
        <v>784</v>
      </c>
      <c r="I193" s="46"/>
      <c r="J193" s="46">
        <v>0</v>
      </c>
      <c r="K193" s="46"/>
      <c r="L193" s="52" t="s">
        <v>266</v>
      </c>
      <c r="M193" s="53">
        <v>5500000</v>
      </c>
      <c r="N193" s="46">
        <v>54</v>
      </c>
      <c r="O193" s="46">
        <v>0</v>
      </c>
      <c r="P193" s="46">
        <v>1</v>
      </c>
      <c r="Q193" s="52">
        <v>13</v>
      </c>
      <c r="R193" s="53">
        <v>163488</v>
      </c>
      <c r="S193" s="46">
        <v>1</v>
      </c>
      <c r="T193" s="53">
        <v>195625</v>
      </c>
      <c r="U193" s="53">
        <f t="shared" si="19"/>
        <v>66700</v>
      </c>
      <c r="V193" s="46">
        <v>1</v>
      </c>
      <c r="W193" s="53">
        <v>141977</v>
      </c>
      <c r="X193" s="46">
        <v>1</v>
      </c>
      <c r="Y193" s="46">
        <v>1</v>
      </c>
      <c r="Z193" s="54">
        <v>0.19541630621953893</v>
      </c>
      <c r="AA193" s="15">
        <f t="shared" si="13"/>
        <v>1.6284692184961577E-2</v>
      </c>
      <c r="AB193" s="15">
        <f t="shared" si="14"/>
        <v>0.19541630621953893</v>
      </c>
      <c r="AC193" t="b">
        <f t="shared" si="15"/>
        <v>1</v>
      </c>
    </row>
    <row r="194" spans="1:29" x14ac:dyDescent="0.25">
      <c r="A194" s="52" t="s">
        <v>259</v>
      </c>
      <c r="B194" s="46">
        <v>30013</v>
      </c>
      <c r="C194" s="47">
        <v>45761</v>
      </c>
      <c r="D194" s="46">
        <v>311500</v>
      </c>
      <c r="E194" s="46">
        <v>2</v>
      </c>
      <c r="F194" s="52" t="s">
        <v>1841</v>
      </c>
      <c r="G194" s="46">
        <v>6</v>
      </c>
      <c r="H194" s="52" t="s">
        <v>1642</v>
      </c>
      <c r="I194" s="46"/>
      <c r="J194" s="46">
        <v>0</v>
      </c>
      <c r="K194" s="46"/>
      <c r="L194" s="52" t="s">
        <v>726</v>
      </c>
      <c r="M194" s="53">
        <v>10000000</v>
      </c>
      <c r="N194" s="46">
        <v>36</v>
      </c>
      <c r="O194" s="46">
        <v>0</v>
      </c>
      <c r="P194" s="46">
        <v>1</v>
      </c>
      <c r="Q194" s="52">
        <v>10</v>
      </c>
      <c r="R194" s="53">
        <v>297250</v>
      </c>
      <c r="S194" s="46">
        <v>1</v>
      </c>
      <c r="T194" s="53">
        <v>240000</v>
      </c>
      <c r="U194" s="53">
        <f t="shared" si="19"/>
        <v>111700</v>
      </c>
      <c r="V194" s="46">
        <v>1</v>
      </c>
      <c r="W194" s="53">
        <v>331618</v>
      </c>
      <c r="X194" s="46">
        <v>1</v>
      </c>
      <c r="Y194" s="46">
        <v>1</v>
      </c>
      <c r="Z194" s="54">
        <v>0.16618566304215041</v>
      </c>
      <c r="AA194" s="15">
        <f t="shared" si="13"/>
        <v>1.3848805253512534E-2</v>
      </c>
      <c r="AB194" s="15">
        <f t="shared" si="14"/>
        <v>0.16618566304215041</v>
      </c>
      <c r="AC194" t="b">
        <f t="shared" si="15"/>
        <v>1</v>
      </c>
    </row>
    <row r="195" spans="1:29" x14ac:dyDescent="0.25">
      <c r="A195" s="52" t="s">
        <v>259</v>
      </c>
      <c r="B195" s="46">
        <v>30013</v>
      </c>
      <c r="C195" s="47">
        <v>45761</v>
      </c>
      <c r="D195" s="46">
        <v>311500</v>
      </c>
      <c r="E195" s="46">
        <v>2</v>
      </c>
      <c r="F195" s="52" t="s">
        <v>1842</v>
      </c>
      <c r="G195" s="46">
        <v>6</v>
      </c>
      <c r="H195" s="52" t="s">
        <v>1642</v>
      </c>
      <c r="I195" s="46"/>
      <c r="J195" s="46">
        <v>0</v>
      </c>
      <c r="K195" s="46"/>
      <c r="L195" s="52" t="s">
        <v>688</v>
      </c>
      <c r="M195" s="53">
        <v>9000000</v>
      </c>
      <c r="N195" s="46">
        <v>84</v>
      </c>
      <c r="O195" s="46">
        <v>0</v>
      </c>
      <c r="P195" s="46">
        <v>1</v>
      </c>
      <c r="Q195" s="52">
        <v>8</v>
      </c>
      <c r="R195" s="53">
        <v>160515</v>
      </c>
      <c r="S195" s="46">
        <v>1</v>
      </c>
      <c r="T195" s="53">
        <v>487500</v>
      </c>
      <c r="U195" s="53">
        <f t="shared" si="19"/>
        <v>101700</v>
      </c>
      <c r="V195" s="46">
        <v>1</v>
      </c>
      <c r="W195" s="53">
        <v>147151</v>
      </c>
      <c r="X195" s="46">
        <v>1</v>
      </c>
      <c r="Y195" s="46">
        <v>1</v>
      </c>
      <c r="Z195" s="54">
        <v>0.12341476758001571</v>
      </c>
      <c r="AA195" s="15">
        <f t="shared" si="13"/>
        <v>1.028456396500131E-2</v>
      </c>
      <c r="AB195" s="15">
        <f t="shared" si="14"/>
        <v>0.12341476758001571</v>
      </c>
      <c r="AC195" t="b">
        <f t="shared" si="15"/>
        <v>1</v>
      </c>
    </row>
    <row r="196" spans="1:29" x14ac:dyDescent="0.25">
      <c r="A196" s="52" t="s">
        <v>259</v>
      </c>
      <c r="B196" s="46">
        <v>30013</v>
      </c>
      <c r="C196" s="47">
        <v>45761</v>
      </c>
      <c r="D196" s="46">
        <v>311500</v>
      </c>
      <c r="E196" s="46">
        <v>2</v>
      </c>
      <c r="F196" s="52" t="s">
        <v>1843</v>
      </c>
      <c r="G196" s="46">
        <v>6</v>
      </c>
      <c r="H196" s="52" t="s">
        <v>1642</v>
      </c>
      <c r="I196" s="46"/>
      <c r="J196" s="46">
        <v>0</v>
      </c>
      <c r="K196" s="46"/>
      <c r="L196" s="52" t="s">
        <v>270</v>
      </c>
      <c r="M196" s="53">
        <v>3500000</v>
      </c>
      <c r="N196" s="46">
        <v>48</v>
      </c>
      <c r="O196" s="46">
        <v>0</v>
      </c>
      <c r="P196" s="46">
        <v>1</v>
      </c>
      <c r="Q196" s="52">
        <v>8</v>
      </c>
      <c r="R196" s="53">
        <v>104038</v>
      </c>
      <c r="S196" s="46">
        <v>1</v>
      </c>
      <c r="T196" s="53">
        <v>115000</v>
      </c>
      <c r="U196" s="53">
        <f t="shared" si="19"/>
        <v>46700</v>
      </c>
      <c r="V196" s="46">
        <v>1</v>
      </c>
      <c r="W196" s="53">
        <v>87951</v>
      </c>
      <c r="X196" s="46">
        <v>1</v>
      </c>
      <c r="Y196" s="46">
        <v>1</v>
      </c>
      <c r="Z196" s="54">
        <v>0.13734599480607579</v>
      </c>
      <c r="AA196" s="15">
        <f t="shared" ref="AA196:AA259" si="20">RATE(N196,-W196,M196-R196-T196-U196)</f>
        <v>1.1445499567172982E-2</v>
      </c>
      <c r="AB196" s="15">
        <f t="shared" ref="AB196:AB259" si="21">IF(P196=1,AA196*12,IF(P196=2,AA196*4,IF(P196=3,AA196*2,AA196)))</f>
        <v>0.13734599480607579</v>
      </c>
      <c r="AC196" t="b">
        <f t="shared" ref="AC196:AC259" si="22">AB196=Z196</f>
        <v>1</v>
      </c>
    </row>
    <row r="197" spans="1:29" x14ac:dyDescent="0.25">
      <c r="A197" s="52" t="s">
        <v>259</v>
      </c>
      <c r="B197" s="46">
        <v>30013</v>
      </c>
      <c r="C197" s="47">
        <v>45761</v>
      </c>
      <c r="D197" s="46">
        <v>311500</v>
      </c>
      <c r="E197" s="46">
        <v>2</v>
      </c>
      <c r="F197" s="52" t="s">
        <v>1844</v>
      </c>
      <c r="G197" s="46">
        <v>6</v>
      </c>
      <c r="H197" s="52" t="s">
        <v>784</v>
      </c>
      <c r="I197" s="46"/>
      <c r="J197" s="46">
        <v>0</v>
      </c>
      <c r="K197" s="46"/>
      <c r="L197" s="52" t="s">
        <v>261</v>
      </c>
      <c r="M197" s="53">
        <v>2150000</v>
      </c>
      <c r="N197" s="46">
        <v>48</v>
      </c>
      <c r="O197" s="46">
        <v>0</v>
      </c>
      <c r="P197" s="46">
        <v>1</v>
      </c>
      <c r="Q197" s="52">
        <v>13</v>
      </c>
      <c r="R197" s="53">
        <v>63909</v>
      </c>
      <c r="S197" s="46">
        <v>1</v>
      </c>
      <c r="T197" s="53">
        <v>74500</v>
      </c>
      <c r="U197" s="53">
        <f t="shared" si="19"/>
        <v>33200</v>
      </c>
      <c r="V197" s="46">
        <v>1</v>
      </c>
      <c r="W197" s="53">
        <v>60335</v>
      </c>
      <c r="X197" s="46">
        <v>1</v>
      </c>
      <c r="Y197" s="46">
        <v>1</v>
      </c>
      <c r="Z197" s="54">
        <v>0.20125006508615687</v>
      </c>
      <c r="AA197" s="15">
        <f t="shared" si="20"/>
        <v>1.6770838757179739E-2</v>
      </c>
      <c r="AB197" s="15">
        <f t="shared" si="21"/>
        <v>0.20125006508615687</v>
      </c>
      <c r="AC197" t="b">
        <f t="shared" si="22"/>
        <v>1</v>
      </c>
    </row>
    <row r="198" spans="1:29" x14ac:dyDescent="0.25">
      <c r="A198" s="52" t="s">
        <v>259</v>
      </c>
      <c r="B198" s="46">
        <v>30013</v>
      </c>
      <c r="C198" s="47">
        <v>45761</v>
      </c>
      <c r="D198" s="46">
        <v>311500</v>
      </c>
      <c r="E198" s="46">
        <v>2</v>
      </c>
      <c r="F198" s="52" t="s">
        <v>1845</v>
      </c>
      <c r="G198" s="46">
        <v>6</v>
      </c>
      <c r="H198" s="52" t="s">
        <v>784</v>
      </c>
      <c r="I198" s="46"/>
      <c r="J198" s="46">
        <v>0</v>
      </c>
      <c r="K198" s="46"/>
      <c r="L198" s="52" t="s">
        <v>261</v>
      </c>
      <c r="M198" s="53">
        <v>4250000</v>
      </c>
      <c r="N198" s="46">
        <v>60</v>
      </c>
      <c r="O198" s="46">
        <v>0</v>
      </c>
      <c r="P198" s="46">
        <v>1</v>
      </c>
      <c r="Q198" s="52">
        <v>13</v>
      </c>
      <c r="R198" s="53">
        <v>126331</v>
      </c>
      <c r="S198" s="46">
        <v>1</v>
      </c>
      <c r="T198" s="53">
        <v>169375</v>
      </c>
      <c r="U198" s="53">
        <f t="shared" si="19"/>
        <v>54200</v>
      </c>
      <c r="V198" s="46">
        <v>1</v>
      </c>
      <c r="W198" s="53">
        <v>102130</v>
      </c>
      <c r="X198" s="46">
        <v>1</v>
      </c>
      <c r="Y198" s="46">
        <v>1</v>
      </c>
      <c r="Z198" s="54">
        <v>0.19445953104728458</v>
      </c>
      <c r="AA198" s="15">
        <f t="shared" si="20"/>
        <v>1.620496092060705E-2</v>
      </c>
      <c r="AB198" s="15">
        <f t="shared" si="21"/>
        <v>0.19445953104728458</v>
      </c>
      <c r="AC198" t="b">
        <f t="shared" si="22"/>
        <v>1</v>
      </c>
    </row>
    <row r="199" spans="1:29" x14ac:dyDescent="0.25">
      <c r="A199" s="52" t="s">
        <v>259</v>
      </c>
      <c r="B199" s="46">
        <v>30013</v>
      </c>
      <c r="C199" s="47">
        <v>45761</v>
      </c>
      <c r="D199" s="46">
        <v>321300</v>
      </c>
      <c r="E199" s="46">
        <v>2</v>
      </c>
      <c r="F199" s="52" t="s">
        <v>1846</v>
      </c>
      <c r="G199" s="46">
        <v>6</v>
      </c>
      <c r="H199" s="52" t="s">
        <v>1642</v>
      </c>
      <c r="I199" s="46"/>
      <c r="J199" s="46">
        <v>0</v>
      </c>
      <c r="K199" s="46"/>
      <c r="L199" s="52" t="s">
        <v>231</v>
      </c>
      <c r="M199" s="53">
        <v>4600000</v>
      </c>
      <c r="N199" s="46">
        <v>24</v>
      </c>
      <c r="O199" s="46">
        <v>0</v>
      </c>
      <c r="P199" s="46">
        <v>1</v>
      </c>
      <c r="Q199" s="52">
        <v>8</v>
      </c>
      <c r="R199" s="53">
        <v>136735</v>
      </c>
      <c r="S199" s="46">
        <v>1</v>
      </c>
      <c r="T199" s="53">
        <v>79000</v>
      </c>
      <c r="U199" s="53">
        <f t="shared" si="19"/>
        <v>57700</v>
      </c>
      <c r="V199" s="46">
        <v>1</v>
      </c>
      <c r="W199" s="53">
        <v>211232</v>
      </c>
      <c r="X199" s="46">
        <v>1</v>
      </c>
      <c r="Y199" s="46">
        <v>1</v>
      </c>
      <c r="Z199" s="54">
        <v>0.15704640626757527</v>
      </c>
      <c r="AA199" s="15">
        <f t="shared" si="20"/>
        <v>1.3087200522297938E-2</v>
      </c>
      <c r="AB199" s="15">
        <f t="shared" si="21"/>
        <v>0.15704640626757527</v>
      </c>
      <c r="AC199" t="b">
        <f t="shared" si="22"/>
        <v>1</v>
      </c>
    </row>
    <row r="200" spans="1:29" x14ac:dyDescent="0.25">
      <c r="A200" s="52" t="s">
        <v>259</v>
      </c>
      <c r="B200" s="46">
        <v>30013</v>
      </c>
      <c r="C200" s="47">
        <v>45762</v>
      </c>
      <c r="D200" s="46">
        <v>311500</v>
      </c>
      <c r="E200" s="46">
        <v>2</v>
      </c>
      <c r="F200" s="52" t="s">
        <v>1847</v>
      </c>
      <c r="G200" s="46">
        <v>6</v>
      </c>
      <c r="H200" s="52" t="s">
        <v>784</v>
      </c>
      <c r="I200" s="46"/>
      <c r="J200" s="46">
        <v>0</v>
      </c>
      <c r="K200" s="46"/>
      <c r="L200" s="52" t="s">
        <v>700</v>
      </c>
      <c r="M200" s="53">
        <v>2550000</v>
      </c>
      <c r="N200" s="46">
        <v>48</v>
      </c>
      <c r="O200" s="46">
        <v>0</v>
      </c>
      <c r="P200" s="46">
        <v>1</v>
      </c>
      <c r="Q200" s="52">
        <v>12</v>
      </c>
      <c r="R200" s="53">
        <v>75799</v>
      </c>
      <c r="S200" s="46">
        <v>1</v>
      </c>
      <c r="T200" s="53">
        <v>86500</v>
      </c>
      <c r="U200" s="53">
        <f t="shared" si="19"/>
        <v>37200</v>
      </c>
      <c r="V200" s="46">
        <v>1</v>
      </c>
      <c r="W200" s="53">
        <v>70026</v>
      </c>
      <c r="X200" s="46">
        <v>1</v>
      </c>
      <c r="Y200" s="46">
        <v>1</v>
      </c>
      <c r="Z200" s="54">
        <v>0.18794803353148051</v>
      </c>
      <c r="AA200" s="15">
        <f t="shared" si="20"/>
        <v>1.5662336127623376E-2</v>
      </c>
      <c r="AB200" s="15">
        <f t="shared" si="21"/>
        <v>0.18794803353148051</v>
      </c>
      <c r="AC200" t="b">
        <f t="shared" si="22"/>
        <v>1</v>
      </c>
    </row>
    <row r="201" spans="1:29" x14ac:dyDescent="0.25">
      <c r="A201" s="52" t="s">
        <v>259</v>
      </c>
      <c r="B201" s="46">
        <v>30013</v>
      </c>
      <c r="C201" s="47">
        <v>45762</v>
      </c>
      <c r="D201" s="46">
        <v>311500</v>
      </c>
      <c r="E201" s="46">
        <v>2</v>
      </c>
      <c r="F201" s="52" t="s">
        <v>1848</v>
      </c>
      <c r="G201" s="46">
        <v>6</v>
      </c>
      <c r="H201" s="52" t="s">
        <v>1642</v>
      </c>
      <c r="I201" s="46"/>
      <c r="J201" s="46">
        <v>0</v>
      </c>
      <c r="K201" s="46"/>
      <c r="L201" s="52" t="s">
        <v>690</v>
      </c>
      <c r="M201" s="53">
        <v>10000000</v>
      </c>
      <c r="N201" s="46">
        <v>48</v>
      </c>
      <c r="O201" s="46">
        <v>0</v>
      </c>
      <c r="P201" s="46">
        <v>1</v>
      </c>
      <c r="Q201" s="52">
        <v>8</v>
      </c>
      <c r="R201" s="53">
        <v>297250</v>
      </c>
      <c r="S201" s="46">
        <v>1</v>
      </c>
      <c r="T201" s="53">
        <v>315000</v>
      </c>
      <c r="U201" s="53">
        <f t="shared" si="19"/>
        <v>111700</v>
      </c>
      <c r="V201" s="46">
        <v>1</v>
      </c>
      <c r="W201" s="53">
        <v>251289</v>
      </c>
      <c r="X201" s="46">
        <v>1</v>
      </c>
      <c r="Y201" s="46">
        <v>1</v>
      </c>
      <c r="Z201" s="54">
        <v>0.13527579893411382</v>
      </c>
      <c r="AA201" s="15">
        <f t="shared" si="20"/>
        <v>1.1272983244509484E-2</v>
      </c>
      <c r="AB201" s="15">
        <f t="shared" si="21"/>
        <v>0.13527579893411382</v>
      </c>
      <c r="AC201" t="b">
        <f t="shared" si="22"/>
        <v>1</v>
      </c>
    </row>
    <row r="202" spans="1:29" x14ac:dyDescent="0.25">
      <c r="A202" s="52" t="s">
        <v>259</v>
      </c>
      <c r="B202" s="46">
        <v>30013</v>
      </c>
      <c r="C202" s="47">
        <v>45762</v>
      </c>
      <c r="D202" s="46">
        <v>311500</v>
      </c>
      <c r="E202" s="46">
        <v>2</v>
      </c>
      <c r="F202" s="52" t="s">
        <v>1849</v>
      </c>
      <c r="G202" s="46">
        <v>6</v>
      </c>
      <c r="H202" s="52" t="s">
        <v>784</v>
      </c>
      <c r="I202" s="46"/>
      <c r="J202" s="46">
        <v>0</v>
      </c>
      <c r="K202" s="46"/>
      <c r="L202" s="52" t="s">
        <v>699</v>
      </c>
      <c r="M202" s="53">
        <v>4700000</v>
      </c>
      <c r="N202" s="46">
        <v>60</v>
      </c>
      <c r="O202" s="46">
        <v>0</v>
      </c>
      <c r="P202" s="46">
        <v>1</v>
      </c>
      <c r="Q202" s="52">
        <v>12</v>
      </c>
      <c r="R202" s="53">
        <v>139708</v>
      </c>
      <c r="S202" s="46">
        <v>1</v>
      </c>
      <c r="T202" s="53">
        <v>186250</v>
      </c>
      <c r="U202" s="53">
        <f t="shared" si="19"/>
        <v>58700</v>
      </c>
      <c r="V202" s="46">
        <v>1</v>
      </c>
      <c r="W202" s="53">
        <v>110015</v>
      </c>
      <c r="X202" s="46">
        <v>1</v>
      </c>
      <c r="Y202" s="46">
        <v>1</v>
      </c>
      <c r="Z202" s="54">
        <v>0.18184540389109152</v>
      </c>
      <c r="AA202" s="15">
        <f t="shared" si="20"/>
        <v>1.515378365759096E-2</v>
      </c>
      <c r="AB202" s="15">
        <f t="shared" si="21"/>
        <v>0.18184540389109152</v>
      </c>
      <c r="AC202" t="b">
        <f t="shared" si="22"/>
        <v>1</v>
      </c>
    </row>
    <row r="203" spans="1:29" x14ac:dyDescent="0.25">
      <c r="A203" s="52" t="s">
        <v>259</v>
      </c>
      <c r="B203" s="46">
        <v>30013</v>
      </c>
      <c r="C203" s="47">
        <v>45762</v>
      </c>
      <c r="D203" s="46">
        <v>321300</v>
      </c>
      <c r="E203" s="46">
        <v>2</v>
      </c>
      <c r="F203" s="52" t="s">
        <v>1850</v>
      </c>
      <c r="G203" s="52" t="s">
        <v>1851</v>
      </c>
      <c r="H203" s="52" t="s">
        <v>1642</v>
      </c>
      <c r="I203" s="46" t="s">
        <v>1852</v>
      </c>
      <c r="J203" s="46">
        <v>0</v>
      </c>
      <c r="K203" s="46"/>
      <c r="L203" s="52" t="s">
        <v>696</v>
      </c>
      <c r="M203" s="53">
        <v>23000000</v>
      </c>
      <c r="N203" s="46">
        <v>18</v>
      </c>
      <c r="O203" s="46">
        <v>0</v>
      </c>
      <c r="P203" s="46">
        <v>1</v>
      </c>
      <c r="Q203" s="52">
        <v>9</v>
      </c>
      <c r="R203" s="53">
        <v>273470</v>
      </c>
      <c r="S203" s="46">
        <v>1</v>
      </c>
      <c r="T203" s="53">
        <v>0</v>
      </c>
      <c r="U203" s="53">
        <f t="shared" si="19"/>
        <v>241700</v>
      </c>
      <c r="V203" s="46">
        <v>1</v>
      </c>
      <c r="W203" s="53">
        <v>1388748</v>
      </c>
      <c r="X203" s="46">
        <v>1</v>
      </c>
      <c r="Y203" s="46">
        <v>1</v>
      </c>
      <c r="Z203" s="54">
        <v>0.13676685567909289</v>
      </c>
      <c r="AA203" s="15">
        <f t="shared" si="20"/>
        <v>1.1397237973257741E-2</v>
      </c>
      <c r="AB203" s="15">
        <f t="shared" si="21"/>
        <v>0.13676685567909289</v>
      </c>
      <c r="AC203" t="b">
        <f t="shared" si="22"/>
        <v>1</v>
      </c>
    </row>
    <row r="204" spans="1:29" x14ac:dyDescent="0.25">
      <c r="A204" s="52" t="s">
        <v>259</v>
      </c>
      <c r="B204" s="46">
        <v>30013</v>
      </c>
      <c r="C204" s="47">
        <v>45762</v>
      </c>
      <c r="D204" s="46">
        <v>311500</v>
      </c>
      <c r="E204" s="46">
        <v>2</v>
      </c>
      <c r="F204" s="52" t="s">
        <v>1853</v>
      </c>
      <c r="G204" s="46">
        <v>6</v>
      </c>
      <c r="H204" s="52" t="s">
        <v>1642</v>
      </c>
      <c r="I204" s="46"/>
      <c r="J204" s="46">
        <v>0</v>
      </c>
      <c r="K204" s="46"/>
      <c r="L204" s="52" t="s">
        <v>231</v>
      </c>
      <c r="M204" s="53">
        <v>7550000</v>
      </c>
      <c r="N204" s="46">
        <v>84</v>
      </c>
      <c r="O204" s="46">
        <v>0</v>
      </c>
      <c r="P204" s="46">
        <v>1</v>
      </c>
      <c r="Q204" s="52">
        <v>8</v>
      </c>
      <c r="R204" s="53">
        <v>134654</v>
      </c>
      <c r="S204" s="46">
        <v>1</v>
      </c>
      <c r="T204" s="53">
        <v>411375</v>
      </c>
      <c r="U204" s="53">
        <f t="shared" si="19"/>
        <v>87200</v>
      </c>
      <c r="V204" s="46">
        <v>1</v>
      </c>
      <c r="W204" s="53">
        <v>123443</v>
      </c>
      <c r="X204" s="46">
        <v>1</v>
      </c>
      <c r="Y204" s="46">
        <v>1</v>
      </c>
      <c r="Z204" s="54">
        <v>0.1236200556351805</v>
      </c>
      <c r="AA204" s="15">
        <f t="shared" si="20"/>
        <v>1.0301671302931708E-2</v>
      </c>
      <c r="AB204" s="15">
        <f t="shared" si="21"/>
        <v>0.1236200556351805</v>
      </c>
      <c r="AC204" t="b">
        <f t="shared" si="22"/>
        <v>1</v>
      </c>
    </row>
    <row r="205" spans="1:29" x14ac:dyDescent="0.25">
      <c r="A205" s="52" t="s">
        <v>259</v>
      </c>
      <c r="B205" s="46">
        <v>30013</v>
      </c>
      <c r="C205" s="47">
        <v>45762</v>
      </c>
      <c r="D205" s="46">
        <v>311500</v>
      </c>
      <c r="E205" s="46">
        <v>2</v>
      </c>
      <c r="F205" s="52" t="s">
        <v>1854</v>
      </c>
      <c r="G205" s="46">
        <v>6</v>
      </c>
      <c r="H205" s="52" t="s">
        <v>784</v>
      </c>
      <c r="I205" s="46"/>
      <c r="J205" s="46">
        <v>0</v>
      </c>
      <c r="K205" s="46"/>
      <c r="L205" s="52" t="s">
        <v>1748</v>
      </c>
      <c r="M205" s="53">
        <v>4800000</v>
      </c>
      <c r="N205" s="46">
        <v>60</v>
      </c>
      <c r="O205" s="46">
        <v>0</v>
      </c>
      <c r="P205" s="46">
        <v>1</v>
      </c>
      <c r="Q205" s="52">
        <v>12</v>
      </c>
      <c r="R205" s="53">
        <v>142680</v>
      </c>
      <c r="S205" s="46">
        <v>1</v>
      </c>
      <c r="T205" s="53">
        <v>190000</v>
      </c>
      <c r="U205" s="53">
        <f t="shared" si="19"/>
        <v>59700</v>
      </c>
      <c r="V205" s="46">
        <v>1</v>
      </c>
      <c r="W205" s="53">
        <v>112356</v>
      </c>
      <c r="X205" s="46">
        <v>1</v>
      </c>
      <c r="Y205" s="46">
        <v>1</v>
      </c>
      <c r="Z205" s="54">
        <v>0.18179742464262347</v>
      </c>
      <c r="AA205" s="15">
        <f t="shared" si="20"/>
        <v>1.5149785386885288E-2</v>
      </c>
      <c r="AB205" s="15">
        <f t="shared" si="21"/>
        <v>0.18179742464262347</v>
      </c>
      <c r="AC205" t="b">
        <f t="shared" si="22"/>
        <v>1</v>
      </c>
    </row>
    <row r="206" spans="1:29" x14ac:dyDescent="0.25">
      <c r="A206" s="52" t="s">
        <v>259</v>
      </c>
      <c r="B206" s="46">
        <v>30013</v>
      </c>
      <c r="C206" s="47">
        <v>45762</v>
      </c>
      <c r="D206" s="46">
        <v>321300</v>
      </c>
      <c r="E206" s="46">
        <v>2</v>
      </c>
      <c r="F206" s="52" t="s">
        <v>1855</v>
      </c>
      <c r="G206" s="46">
        <v>6</v>
      </c>
      <c r="H206" s="52" t="s">
        <v>1642</v>
      </c>
      <c r="I206" s="46"/>
      <c r="J206" s="46">
        <v>0</v>
      </c>
      <c r="K206" s="46"/>
      <c r="L206" s="52" t="s">
        <v>717</v>
      </c>
      <c r="M206" s="55">
        <v>870000</v>
      </c>
      <c r="N206" s="46">
        <v>8</v>
      </c>
      <c r="O206" s="46">
        <v>0</v>
      </c>
      <c r="P206" s="46">
        <v>2</v>
      </c>
      <c r="Q206" s="52">
        <v>12</v>
      </c>
      <c r="R206" s="55">
        <v>25861</v>
      </c>
      <c r="S206" s="46">
        <v>1</v>
      </c>
      <c r="T206" s="55">
        <v>23050</v>
      </c>
      <c r="U206" s="55">
        <v>21700</v>
      </c>
      <c r="V206" s="46">
        <v>1</v>
      </c>
      <c r="W206" s="55">
        <v>126919</v>
      </c>
      <c r="X206" s="46">
        <v>1</v>
      </c>
      <c r="Y206" s="46">
        <v>1</v>
      </c>
      <c r="Z206" s="54">
        <v>0.22573168088803008</v>
      </c>
      <c r="AA206" s="15">
        <f t="shared" si="20"/>
        <v>5.6432920222007521E-2</v>
      </c>
      <c r="AB206" s="15">
        <f t="shared" si="21"/>
        <v>0.22573168088803008</v>
      </c>
      <c r="AC206" t="b">
        <f t="shared" si="22"/>
        <v>1</v>
      </c>
    </row>
    <row r="207" spans="1:29" x14ac:dyDescent="0.25">
      <c r="A207" s="52" t="s">
        <v>259</v>
      </c>
      <c r="B207" s="46">
        <v>30013</v>
      </c>
      <c r="C207" s="47">
        <v>45762</v>
      </c>
      <c r="D207" s="46">
        <v>311500</v>
      </c>
      <c r="E207" s="46">
        <v>2</v>
      </c>
      <c r="F207" s="52" t="s">
        <v>1856</v>
      </c>
      <c r="G207" s="46">
        <v>6</v>
      </c>
      <c r="H207" s="52" t="s">
        <v>784</v>
      </c>
      <c r="I207" s="46"/>
      <c r="J207" s="46">
        <v>0</v>
      </c>
      <c r="K207" s="46"/>
      <c r="L207" s="52" t="s">
        <v>261</v>
      </c>
      <c r="M207" s="53">
        <v>4660000</v>
      </c>
      <c r="N207" s="46">
        <v>60</v>
      </c>
      <c r="O207" s="46">
        <v>0</v>
      </c>
      <c r="P207" s="46">
        <v>1</v>
      </c>
      <c r="Q207" s="52">
        <v>11</v>
      </c>
      <c r="R207" s="53">
        <v>138519</v>
      </c>
      <c r="S207" s="46">
        <v>1</v>
      </c>
      <c r="T207" s="53">
        <v>184750</v>
      </c>
      <c r="U207" s="53">
        <f t="shared" ref="U207:U217" si="23">M207/100+11700</f>
        <v>58300</v>
      </c>
      <c r="V207" s="46">
        <v>1</v>
      </c>
      <c r="W207" s="53">
        <v>106218</v>
      </c>
      <c r="X207" s="46">
        <v>1</v>
      </c>
      <c r="Y207" s="46">
        <v>1</v>
      </c>
      <c r="Z207" s="54">
        <v>0.16951287476516827</v>
      </c>
      <c r="AA207" s="15">
        <f t="shared" si="20"/>
        <v>1.4126072897097356E-2</v>
      </c>
      <c r="AB207" s="15">
        <f t="shared" si="21"/>
        <v>0.16951287476516827</v>
      </c>
      <c r="AC207" t="b">
        <f t="shared" si="22"/>
        <v>1</v>
      </c>
    </row>
    <row r="208" spans="1:29" x14ac:dyDescent="0.25">
      <c r="A208" s="52" t="s">
        <v>259</v>
      </c>
      <c r="B208" s="46">
        <v>30013</v>
      </c>
      <c r="C208" s="47">
        <v>45762</v>
      </c>
      <c r="D208" s="46">
        <v>311500</v>
      </c>
      <c r="E208" s="46">
        <v>2</v>
      </c>
      <c r="F208" s="52" t="s">
        <v>1857</v>
      </c>
      <c r="G208" s="46">
        <v>6</v>
      </c>
      <c r="H208" s="52" t="s">
        <v>784</v>
      </c>
      <c r="I208" s="46"/>
      <c r="J208" s="46">
        <v>0</v>
      </c>
      <c r="K208" s="46"/>
      <c r="L208" s="52" t="s">
        <v>270</v>
      </c>
      <c r="M208" s="53">
        <v>6000000</v>
      </c>
      <c r="N208" s="46">
        <v>72</v>
      </c>
      <c r="O208" s="46">
        <v>0</v>
      </c>
      <c r="P208" s="46">
        <v>1</v>
      </c>
      <c r="Q208" s="52">
        <v>12</v>
      </c>
      <c r="R208" s="53">
        <v>107010</v>
      </c>
      <c r="S208" s="46">
        <v>1</v>
      </c>
      <c r="T208" s="53">
        <v>280000</v>
      </c>
      <c r="U208" s="53">
        <f t="shared" si="23"/>
        <v>71700</v>
      </c>
      <c r="V208" s="46">
        <v>1</v>
      </c>
      <c r="W208" s="53">
        <v>124497</v>
      </c>
      <c r="X208" s="46">
        <v>1</v>
      </c>
      <c r="Y208" s="46">
        <v>1</v>
      </c>
      <c r="Z208" s="54">
        <v>0.17395070495049128</v>
      </c>
      <c r="AA208" s="15">
        <f t="shared" si="20"/>
        <v>1.4495892079207607E-2</v>
      </c>
      <c r="AB208" s="15">
        <f t="shared" si="21"/>
        <v>0.17395070495049128</v>
      </c>
      <c r="AC208" t="b">
        <f t="shared" si="22"/>
        <v>1</v>
      </c>
    </row>
    <row r="209" spans="1:29" x14ac:dyDescent="0.25">
      <c r="A209" s="52" t="s">
        <v>259</v>
      </c>
      <c r="B209" s="46">
        <v>30013</v>
      </c>
      <c r="C209" s="47">
        <v>45762</v>
      </c>
      <c r="D209" s="46">
        <v>311500</v>
      </c>
      <c r="E209" s="46">
        <v>2</v>
      </c>
      <c r="F209" s="52" t="s">
        <v>718</v>
      </c>
      <c r="G209" s="46">
        <v>6</v>
      </c>
      <c r="H209" s="52" t="s">
        <v>784</v>
      </c>
      <c r="I209" s="46"/>
      <c r="J209" s="46">
        <v>0</v>
      </c>
      <c r="K209" s="46"/>
      <c r="L209" s="52" t="s">
        <v>261</v>
      </c>
      <c r="M209" s="53">
        <v>8000000</v>
      </c>
      <c r="N209" s="46">
        <v>72</v>
      </c>
      <c r="O209" s="46">
        <v>0</v>
      </c>
      <c r="P209" s="46">
        <v>1</v>
      </c>
      <c r="Q209" s="52">
        <v>12</v>
      </c>
      <c r="R209" s="53">
        <v>142680</v>
      </c>
      <c r="S209" s="46">
        <v>1</v>
      </c>
      <c r="T209" s="53">
        <v>375000</v>
      </c>
      <c r="U209" s="53">
        <f t="shared" si="23"/>
        <v>91700</v>
      </c>
      <c r="V209" s="46">
        <v>1</v>
      </c>
      <c r="W209" s="53">
        <v>165996</v>
      </c>
      <c r="X209" s="46">
        <v>1</v>
      </c>
      <c r="Y209" s="46">
        <v>1</v>
      </c>
      <c r="Z209" s="54">
        <v>0.17382965258077451</v>
      </c>
      <c r="AA209" s="15">
        <f t="shared" si="20"/>
        <v>1.4485804381731209E-2</v>
      </c>
      <c r="AB209" s="15">
        <f t="shared" si="21"/>
        <v>0.17382965258077451</v>
      </c>
      <c r="AC209" t="b">
        <f t="shared" si="22"/>
        <v>1</v>
      </c>
    </row>
    <row r="210" spans="1:29" x14ac:dyDescent="0.25">
      <c r="A210" s="52" t="s">
        <v>259</v>
      </c>
      <c r="B210" s="46">
        <v>30013</v>
      </c>
      <c r="C210" s="47">
        <v>45762</v>
      </c>
      <c r="D210" s="46">
        <v>311500</v>
      </c>
      <c r="E210" s="46">
        <v>2</v>
      </c>
      <c r="F210" s="52" t="s">
        <v>1858</v>
      </c>
      <c r="G210" s="46">
        <v>6</v>
      </c>
      <c r="H210" s="52" t="s">
        <v>784</v>
      </c>
      <c r="I210" s="46"/>
      <c r="J210" s="46">
        <v>0</v>
      </c>
      <c r="K210" s="46"/>
      <c r="L210" s="52" t="s">
        <v>690</v>
      </c>
      <c r="M210" s="55">
        <v>1695000</v>
      </c>
      <c r="N210" s="46">
        <v>20</v>
      </c>
      <c r="O210" s="46">
        <v>0</v>
      </c>
      <c r="P210" s="46">
        <v>1</v>
      </c>
      <c r="Q210" s="52">
        <v>12</v>
      </c>
      <c r="R210" s="55">
        <v>50384</v>
      </c>
      <c r="S210" s="46">
        <v>1</v>
      </c>
      <c r="T210" s="55">
        <v>31188</v>
      </c>
      <c r="U210" s="53">
        <f t="shared" si="23"/>
        <v>28650</v>
      </c>
      <c r="V210" s="46">
        <v>1</v>
      </c>
      <c r="W210" s="55">
        <v>95726</v>
      </c>
      <c r="X210" s="46">
        <v>1</v>
      </c>
      <c r="Y210" s="46">
        <v>1</v>
      </c>
      <c r="Z210" s="54">
        <v>0.22463012885828981</v>
      </c>
      <c r="AA210" s="15">
        <f t="shared" si="20"/>
        <v>1.8719177404857484E-2</v>
      </c>
      <c r="AB210" s="15">
        <f t="shared" si="21"/>
        <v>0.22463012885828981</v>
      </c>
      <c r="AC210" t="b">
        <f t="shared" si="22"/>
        <v>1</v>
      </c>
    </row>
    <row r="211" spans="1:29" x14ac:dyDescent="0.25">
      <c r="A211" s="52" t="s">
        <v>259</v>
      </c>
      <c r="B211" s="46">
        <v>30013</v>
      </c>
      <c r="C211" s="47">
        <v>45762</v>
      </c>
      <c r="D211" s="46">
        <v>311500</v>
      </c>
      <c r="E211" s="46">
        <v>2</v>
      </c>
      <c r="F211" s="52" t="s">
        <v>1859</v>
      </c>
      <c r="G211" s="46">
        <v>6</v>
      </c>
      <c r="H211" s="52" t="s">
        <v>784</v>
      </c>
      <c r="I211" s="46"/>
      <c r="J211" s="46">
        <v>0</v>
      </c>
      <c r="K211" s="46"/>
      <c r="L211" s="52" t="s">
        <v>261</v>
      </c>
      <c r="M211" s="53">
        <v>4890000</v>
      </c>
      <c r="N211" s="46">
        <v>60</v>
      </c>
      <c r="O211" s="46">
        <v>0</v>
      </c>
      <c r="P211" s="46">
        <v>1</v>
      </c>
      <c r="Q211" s="52">
        <v>11</v>
      </c>
      <c r="R211" s="53">
        <v>145355</v>
      </c>
      <c r="S211" s="46">
        <v>1</v>
      </c>
      <c r="T211" s="53">
        <v>193375</v>
      </c>
      <c r="U211" s="53">
        <f t="shared" si="23"/>
        <v>60600</v>
      </c>
      <c r="V211" s="46">
        <v>1</v>
      </c>
      <c r="W211" s="53">
        <v>111460</v>
      </c>
      <c r="X211" s="46">
        <v>1</v>
      </c>
      <c r="Y211" s="46">
        <v>1</v>
      </c>
      <c r="Z211" s="54">
        <v>0.16940045198168402</v>
      </c>
      <c r="AA211" s="15">
        <f t="shared" si="20"/>
        <v>1.4116704331807001E-2</v>
      </c>
      <c r="AB211" s="15">
        <f t="shared" si="21"/>
        <v>0.16940045198168402</v>
      </c>
      <c r="AC211" t="b">
        <f t="shared" si="22"/>
        <v>1</v>
      </c>
    </row>
    <row r="212" spans="1:29" x14ac:dyDescent="0.25">
      <c r="A212" s="52" t="s">
        <v>259</v>
      </c>
      <c r="B212" s="46">
        <v>30013</v>
      </c>
      <c r="C212" s="47">
        <v>45762</v>
      </c>
      <c r="D212" s="46">
        <v>311500</v>
      </c>
      <c r="E212" s="46">
        <v>2</v>
      </c>
      <c r="F212" s="52" t="s">
        <v>1860</v>
      </c>
      <c r="G212" s="46">
        <v>6</v>
      </c>
      <c r="H212" s="52" t="s">
        <v>1642</v>
      </c>
      <c r="I212" s="46"/>
      <c r="J212" s="46">
        <v>0</v>
      </c>
      <c r="K212" s="46"/>
      <c r="L212" s="52" t="s">
        <v>694</v>
      </c>
      <c r="M212" s="53">
        <v>3500000</v>
      </c>
      <c r="N212" s="46">
        <v>36</v>
      </c>
      <c r="O212" s="46">
        <v>0</v>
      </c>
      <c r="P212" s="46">
        <v>1</v>
      </c>
      <c r="Q212" s="52">
        <v>12</v>
      </c>
      <c r="R212" s="53">
        <v>104038</v>
      </c>
      <c r="S212" s="46">
        <v>1</v>
      </c>
      <c r="T212" s="53">
        <v>88750</v>
      </c>
      <c r="U212" s="53">
        <f t="shared" si="23"/>
        <v>46700</v>
      </c>
      <c r="V212" s="46">
        <v>1</v>
      </c>
      <c r="W212" s="53">
        <v>120078</v>
      </c>
      <c r="X212" s="46">
        <v>1</v>
      </c>
      <c r="Y212" s="46">
        <v>1</v>
      </c>
      <c r="Z212" s="54">
        <v>0.193396208359285</v>
      </c>
      <c r="AA212" s="15">
        <f t="shared" si="20"/>
        <v>1.6116350696607083E-2</v>
      </c>
      <c r="AB212" s="15">
        <f t="shared" si="21"/>
        <v>0.193396208359285</v>
      </c>
      <c r="AC212" t="b">
        <f t="shared" si="22"/>
        <v>1</v>
      </c>
    </row>
    <row r="213" spans="1:29" x14ac:dyDescent="0.25">
      <c r="A213" s="52" t="s">
        <v>259</v>
      </c>
      <c r="B213" s="46">
        <v>30013</v>
      </c>
      <c r="C213" s="47">
        <v>45762</v>
      </c>
      <c r="D213" s="46">
        <v>311500</v>
      </c>
      <c r="E213" s="46">
        <v>2</v>
      </c>
      <c r="F213" s="52" t="s">
        <v>1861</v>
      </c>
      <c r="G213" s="46">
        <v>6</v>
      </c>
      <c r="H213" s="52" t="s">
        <v>784</v>
      </c>
      <c r="I213" s="46"/>
      <c r="J213" s="46">
        <v>0</v>
      </c>
      <c r="K213" s="46"/>
      <c r="L213" s="52" t="s">
        <v>261</v>
      </c>
      <c r="M213" s="53">
        <v>3960000</v>
      </c>
      <c r="N213" s="46">
        <v>60</v>
      </c>
      <c r="O213" s="46">
        <v>0</v>
      </c>
      <c r="P213" s="46">
        <v>1</v>
      </c>
      <c r="Q213" s="52">
        <v>12</v>
      </c>
      <c r="R213" s="53">
        <v>117711</v>
      </c>
      <c r="S213" s="46">
        <v>1</v>
      </c>
      <c r="T213" s="53">
        <v>158500</v>
      </c>
      <c r="U213" s="53">
        <f t="shared" si="23"/>
        <v>51300</v>
      </c>
      <c r="V213" s="46">
        <v>1</v>
      </c>
      <c r="W213" s="53">
        <v>92693</v>
      </c>
      <c r="X213" s="46">
        <v>1</v>
      </c>
      <c r="Y213" s="46">
        <v>1</v>
      </c>
      <c r="Z213" s="54">
        <v>0.18228262054452929</v>
      </c>
      <c r="AA213" s="15">
        <f t="shared" si="20"/>
        <v>1.5190218378710775E-2</v>
      </c>
      <c r="AB213" s="15">
        <f t="shared" si="21"/>
        <v>0.18228262054452929</v>
      </c>
      <c r="AC213" t="b">
        <f t="shared" si="22"/>
        <v>1</v>
      </c>
    </row>
    <row r="214" spans="1:29" x14ac:dyDescent="0.25">
      <c r="A214" s="52" t="s">
        <v>259</v>
      </c>
      <c r="B214" s="46">
        <v>30013</v>
      </c>
      <c r="C214" s="47">
        <v>45762</v>
      </c>
      <c r="D214" s="46">
        <v>311500</v>
      </c>
      <c r="E214" s="46">
        <v>2</v>
      </c>
      <c r="F214" s="52" t="s">
        <v>1862</v>
      </c>
      <c r="G214" s="46">
        <v>6</v>
      </c>
      <c r="H214" s="52" t="s">
        <v>1642</v>
      </c>
      <c r="I214" s="46"/>
      <c r="J214" s="46">
        <v>0</v>
      </c>
      <c r="K214" s="46"/>
      <c r="L214" s="52" t="s">
        <v>231</v>
      </c>
      <c r="M214" s="53">
        <v>10000000</v>
      </c>
      <c r="N214" s="46">
        <v>60</v>
      </c>
      <c r="O214" s="46">
        <v>0</v>
      </c>
      <c r="P214" s="46">
        <v>1</v>
      </c>
      <c r="Q214" s="52">
        <v>9</v>
      </c>
      <c r="R214" s="53">
        <v>297250</v>
      </c>
      <c r="S214" s="46">
        <v>1</v>
      </c>
      <c r="T214" s="53">
        <v>390000</v>
      </c>
      <c r="U214" s="53">
        <f t="shared" si="23"/>
        <v>111700</v>
      </c>
      <c r="V214" s="46">
        <v>1</v>
      </c>
      <c r="W214" s="53">
        <v>215936</v>
      </c>
      <c r="X214" s="46">
        <v>1</v>
      </c>
      <c r="Y214" s="46">
        <v>1</v>
      </c>
      <c r="Z214" s="54">
        <v>0.14385566902641317</v>
      </c>
      <c r="AA214" s="15">
        <f t="shared" si="20"/>
        <v>1.1987972418867763E-2</v>
      </c>
      <c r="AB214" s="15">
        <f t="shared" si="21"/>
        <v>0.14385566902641317</v>
      </c>
      <c r="AC214" t="b">
        <f t="shared" si="22"/>
        <v>1</v>
      </c>
    </row>
    <row r="215" spans="1:29" x14ac:dyDescent="0.25">
      <c r="A215" s="52" t="s">
        <v>259</v>
      </c>
      <c r="B215" s="46">
        <v>30013</v>
      </c>
      <c r="C215" s="47">
        <v>45763</v>
      </c>
      <c r="D215" s="46">
        <v>311500</v>
      </c>
      <c r="E215" s="46">
        <v>2</v>
      </c>
      <c r="F215" s="52" t="s">
        <v>1863</v>
      </c>
      <c r="G215" s="46">
        <v>6</v>
      </c>
      <c r="H215" s="52" t="s">
        <v>784</v>
      </c>
      <c r="I215" s="46"/>
      <c r="J215" s="46">
        <v>0</v>
      </c>
      <c r="K215" s="46"/>
      <c r="L215" s="52" t="s">
        <v>261</v>
      </c>
      <c r="M215" s="53">
        <v>5400000</v>
      </c>
      <c r="N215" s="46">
        <v>72</v>
      </c>
      <c r="O215" s="46">
        <v>0</v>
      </c>
      <c r="P215" s="46">
        <v>1</v>
      </c>
      <c r="Q215" s="52">
        <v>11</v>
      </c>
      <c r="R215" s="53">
        <v>96309</v>
      </c>
      <c r="S215" s="46">
        <v>1</v>
      </c>
      <c r="T215" s="53">
        <v>253000</v>
      </c>
      <c r="U215" s="53">
        <f t="shared" si="23"/>
        <v>65700</v>
      </c>
      <c r="V215" s="46">
        <v>1</v>
      </c>
      <c r="W215" s="53">
        <v>108625</v>
      </c>
      <c r="X215" s="46">
        <v>1</v>
      </c>
      <c r="Y215" s="46">
        <v>1</v>
      </c>
      <c r="Z215" s="54">
        <v>0.16178814425827392</v>
      </c>
      <c r="AA215" s="15">
        <f t="shared" si="20"/>
        <v>1.3482345354856162E-2</v>
      </c>
      <c r="AB215" s="15">
        <f t="shared" si="21"/>
        <v>0.16178814425827392</v>
      </c>
      <c r="AC215" t="b">
        <f t="shared" si="22"/>
        <v>1</v>
      </c>
    </row>
    <row r="216" spans="1:29" x14ac:dyDescent="0.25">
      <c r="A216" s="52" t="s">
        <v>259</v>
      </c>
      <c r="B216" s="46">
        <v>30013</v>
      </c>
      <c r="C216" s="47">
        <v>45763</v>
      </c>
      <c r="D216" s="46">
        <v>311500</v>
      </c>
      <c r="E216" s="46">
        <v>2</v>
      </c>
      <c r="F216" s="52" t="s">
        <v>1864</v>
      </c>
      <c r="G216" s="46">
        <v>6</v>
      </c>
      <c r="H216" s="52" t="s">
        <v>784</v>
      </c>
      <c r="I216" s="46"/>
      <c r="J216" s="46">
        <v>0</v>
      </c>
      <c r="K216" s="46"/>
      <c r="L216" s="52" t="s">
        <v>687</v>
      </c>
      <c r="M216" s="53">
        <v>6750000</v>
      </c>
      <c r="N216" s="46">
        <v>72</v>
      </c>
      <c r="O216" s="46">
        <v>0</v>
      </c>
      <c r="P216" s="46">
        <v>1</v>
      </c>
      <c r="Q216" s="52">
        <v>12</v>
      </c>
      <c r="R216" s="53">
        <v>120386</v>
      </c>
      <c r="S216" s="46">
        <v>1</v>
      </c>
      <c r="T216" s="53">
        <v>313750</v>
      </c>
      <c r="U216" s="53">
        <f t="shared" si="23"/>
        <v>79200</v>
      </c>
      <c r="V216" s="46">
        <v>1</v>
      </c>
      <c r="W216" s="53">
        <v>140059</v>
      </c>
      <c r="X216" s="46">
        <v>1</v>
      </c>
      <c r="Y216" s="46">
        <v>1</v>
      </c>
      <c r="Z216" s="54">
        <v>0.17377609738851008</v>
      </c>
      <c r="AA216" s="15">
        <f t="shared" si="20"/>
        <v>1.4481341449042506E-2</v>
      </c>
      <c r="AB216" s="15">
        <f t="shared" si="21"/>
        <v>0.17377609738851008</v>
      </c>
      <c r="AC216" t="b">
        <f t="shared" si="22"/>
        <v>1</v>
      </c>
    </row>
    <row r="217" spans="1:29" x14ac:dyDescent="0.25">
      <c r="A217" s="52" t="s">
        <v>259</v>
      </c>
      <c r="B217" s="46">
        <v>30013</v>
      </c>
      <c r="C217" s="47">
        <v>45763</v>
      </c>
      <c r="D217" s="46">
        <v>311500</v>
      </c>
      <c r="E217" s="46">
        <v>2</v>
      </c>
      <c r="F217" s="52" t="s">
        <v>1865</v>
      </c>
      <c r="G217" s="46">
        <v>6</v>
      </c>
      <c r="H217" s="52" t="s">
        <v>784</v>
      </c>
      <c r="I217" s="46"/>
      <c r="J217" s="46">
        <v>0</v>
      </c>
      <c r="K217" s="46"/>
      <c r="L217" s="52" t="s">
        <v>261</v>
      </c>
      <c r="M217" s="53">
        <v>4970000</v>
      </c>
      <c r="N217" s="46">
        <v>60</v>
      </c>
      <c r="O217" s="46">
        <v>0</v>
      </c>
      <c r="P217" s="46">
        <v>1</v>
      </c>
      <c r="Q217" s="52">
        <v>12</v>
      </c>
      <c r="R217" s="53">
        <v>147733</v>
      </c>
      <c r="S217" s="46">
        <v>1</v>
      </c>
      <c r="T217" s="53">
        <v>196375</v>
      </c>
      <c r="U217" s="53">
        <f t="shared" si="23"/>
        <v>61400</v>
      </c>
      <c r="V217" s="46">
        <v>1</v>
      </c>
      <c r="W217" s="53">
        <v>116335</v>
      </c>
      <c r="X217" s="46">
        <v>1</v>
      </c>
      <c r="Y217" s="46">
        <v>1</v>
      </c>
      <c r="Z217" s="54">
        <v>0.18171755450076493</v>
      </c>
      <c r="AA217" s="15">
        <f t="shared" si="20"/>
        <v>1.5143129541730412E-2</v>
      </c>
      <c r="AB217" s="15">
        <f t="shared" si="21"/>
        <v>0.18171755450076493</v>
      </c>
      <c r="AC217" t="b">
        <f t="shared" si="22"/>
        <v>1</v>
      </c>
    </row>
    <row r="218" spans="1:29" x14ac:dyDescent="0.25">
      <c r="A218" s="52" t="s">
        <v>259</v>
      </c>
      <c r="B218" s="46">
        <v>30013</v>
      </c>
      <c r="C218" s="47">
        <v>45763</v>
      </c>
      <c r="D218" s="46">
        <v>321600</v>
      </c>
      <c r="E218" s="46">
        <v>2</v>
      </c>
      <c r="F218" s="52" t="s">
        <v>1866</v>
      </c>
      <c r="G218" s="46">
        <v>6</v>
      </c>
      <c r="H218" s="52" t="s">
        <v>784</v>
      </c>
      <c r="I218" s="46"/>
      <c r="J218" s="46">
        <v>0</v>
      </c>
      <c r="K218" s="46"/>
      <c r="L218" s="52" t="s">
        <v>709</v>
      </c>
      <c r="M218" s="53">
        <v>550000</v>
      </c>
      <c r="N218" s="46">
        <v>12</v>
      </c>
      <c r="O218" s="46">
        <v>0</v>
      </c>
      <c r="P218" s="46">
        <v>1</v>
      </c>
      <c r="Q218" s="52">
        <v>10</v>
      </c>
      <c r="R218" s="53">
        <v>5232</v>
      </c>
      <c r="S218" s="46">
        <v>1</v>
      </c>
      <c r="T218" s="53">
        <v>0</v>
      </c>
      <c r="U218" s="53">
        <v>21700</v>
      </c>
      <c r="V218" s="46">
        <v>1</v>
      </c>
      <c r="W218" s="53">
        <v>48839</v>
      </c>
      <c r="X218" s="46">
        <v>1</v>
      </c>
      <c r="Y218" s="46">
        <v>1</v>
      </c>
      <c r="Z218" s="54">
        <v>0.21534038061237323</v>
      </c>
      <c r="AA218" s="15">
        <f t="shared" si="20"/>
        <v>1.7945031717697769E-2</v>
      </c>
      <c r="AB218" s="15">
        <f t="shared" si="21"/>
        <v>0.21534038061237323</v>
      </c>
      <c r="AC218" t="b">
        <f t="shared" si="22"/>
        <v>1</v>
      </c>
    </row>
    <row r="219" spans="1:29" x14ac:dyDescent="0.25">
      <c r="A219" s="52" t="s">
        <v>259</v>
      </c>
      <c r="B219" s="46">
        <v>30013</v>
      </c>
      <c r="C219" s="47">
        <v>45763</v>
      </c>
      <c r="D219" s="46">
        <v>311500</v>
      </c>
      <c r="E219" s="46">
        <v>2</v>
      </c>
      <c r="F219" s="52" t="s">
        <v>1867</v>
      </c>
      <c r="G219" s="46">
        <v>6</v>
      </c>
      <c r="H219" s="52" t="s">
        <v>784</v>
      </c>
      <c r="I219" s="46"/>
      <c r="J219" s="46">
        <v>0</v>
      </c>
      <c r="K219" s="46"/>
      <c r="L219" s="52" t="s">
        <v>687</v>
      </c>
      <c r="M219" s="53">
        <v>4200000</v>
      </c>
      <c r="N219" s="46">
        <v>60</v>
      </c>
      <c r="O219" s="46">
        <v>0</v>
      </c>
      <c r="P219" s="46">
        <v>1</v>
      </c>
      <c r="Q219" s="52">
        <v>12</v>
      </c>
      <c r="R219" s="53">
        <v>124845</v>
      </c>
      <c r="S219" s="46">
        <v>1</v>
      </c>
      <c r="T219" s="53">
        <v>167500</v>
      </c>
      <c r="U219" s="53">
        <f>M219/100+11700</f>
        <v>53700</v>
      </c>
      <c r="V219" s="46">
        <v>1</v>
      </c>
      <c r="W219" s="53">
        <v>98311</v>
      </c>
      <c r="X219" s="46">
        <v>1</v>
      </c>
      <c r="Y219" s="46">
        <v>1</v>
      </c>
      <c r="Z219" s="54">
        <v>0.18212410744384089</v>
      </c>
      <c r="AA219" s="15">
        <f t="shared" si="20"/>
        <v>1.5177008953653408E-2</v>
      </c>
      <c r="AB219" s="15">
        <f t="shared" si="21"/>
        <v>0.18212410744384089</v>
      </c>
      <c r="AC219" t="b">
        <f t="shared" si="22"/>
        <v>1</v>
      </c>
    </row>
    <row r="220" spans="1:29" x14ac:dyDescent="0.25">
      <c r="A220" s="52" t="s">
        <v>259</v>
      </c>
      <c r="B220" s="46">
        <v>30013</v>
      </c>
      <c r="C220" s="47">
        <v>45763</v>
      </c>
      <c r="D220" s="46">
        <v>321600</v>
      </c>
      <c r="E220" s="46">
        <v>2</v>
      </c>
      <c r="F220" s="52" t="s">
        <v>1868</v>
      </c>
      <c r="G220" s="46">
        <v>6</v>
      </c>
      <c r="H220" s="52" t="s">
        <v>784</v>
      </c>
      <c r="I220" s="46"/>
      <c r="J220" s="46">
        <v>0</v>
      </c>
      <c r="K220" s="46"/>
      <c r="L220" s="52" t="s">
        <v>261</v>
      </c>
      <c r="M220" s="53">
        <v>360000</v>
      </c>
      <c r="N220" s="46">
        <v>12</v>
      </c>
      <c r="O220" s="46">
        <v>0</v>
      </c>
      <c r="P220" s="46">
        <v>1</v>
      </c>
      <c r="Q220" s="52">
        <v>10</v>
      </c>
      <c r="R220" s="53">
        <v>856</v>
      </c>
      <c r="S220" s="46">
        <v>1</v>
      </c>
      <c r="T220" s="53">
        <v>0</v>
      </c>
      <c r="U220" s="53">
        <v>21700</v>
      </c>
      <c r="V220" s="46">
        <v>1</v>
      </c>
      <c r="W220" s="53">
        <v>31967</v>
      </c>
      <c r="X220" s="46">
        <v>1</v>
      </c>
      <c r="Y220" s="46">
        <v>1</v>
      </c>
      <c r="Z220" s="54">
        <v>0.24357634068133602</v>
      </c>
      <c r="AA220" s="15">
        <f t="shared" si="20"/>
        <v>2.0298028390111335E-2</v>
      </c>
      <c r="AB220" s="15">
        <f t="shared" si="21"/>
        <v>0.24357634068133602</v>
      </c>
      <c r="AC220" t="b">
        <f t="shared" si="22"/>
        <v>1</v>
      </c>
    </row>
    <row r="221" spans="1:29" x14ac:dyDescent="0.25">
      <c r="A221" s="52" t="s">
        <v>259</v>
      </c>
      <c r="B221" s="46">
        <v>30013</v>
      </c>
      <c r="C221" s="47">
        <v>45763</v>
      </c>
      <c r="D221" s="46">
        <v>311500</v>
      </c>
      <c r="E221" s="46">
        <v>2</v>
      </c>
      <c r="F221" s="52" t="s">
        <v>1869</v>
      </c>
      <c r="G221" s="46">
        <v>6</v>
      </c>
      <c r="H221" s="52" t="s">
        <v>784</v>
      </c>
      <c r="I221" s="46"/>
      <c r="J221" s="46">
        <v>0</v>
      </c>
      <c r="K221" s="46"/>
      <c r="L221" s="52" t="s">
        <v>261</v>
      </c>
      <c r="M221" s="53">
        <v>3000000</v>
      </c>
      <c r="N221" s="46">
        <v>60</v>
      </c>
      <c r="O221" s="46">
        <v>0</v>
      </c>
      <c r="P221" s="46">
        <v>1</v>
      </c>
      <c r="Q221" s="52">
        <v>12</v>
      </c>
      <c r="R221" s="53">
        <v>89175</v>
      </c>
      <c r="S221" s="46">
        <v>1</v>
      </c>
      <c r="T221" s="53">
        <v>122500</v>
      </c>
      <c r="U221" s="53">
        <f t="shared" ref="U221:U239" si="24">M221/100+11700</f>
        <v>41700</v>
      </c>
      <c r="V221" s="46">
        <v>1</v>
      </c>
      <c r="W221" s="53">
        <v>70222</v>
      </c>
      <c r="X221" s="46">
        <v>1</v>
      </c>
      <c r="Y221" s="46">
        <v>1</v>
      </c>
      <c r="Z221" s="54">
        <v>0.18317843171513265</v>
      </c>
      <c r="AA221" s="15">
        <f t="shared" si="20"/>
        <v>1.5264869309594387E-2</v>
      </c>
      <c r="AB221" s="15">
        <f t="shared" si="21"/>
        <v>0.18317843171513265</v>
      </c>
      <c r="AC221" t="b">
        <f t="shared" si="22"/>
        <v>1</v>
      </c>
    </row>
    <row r="222" spans="1:29" x14ac:dyDescent="0.25">
      <c r="A222" s="52" t="s">
        <v>259</v>
      </c>
      <c r="B222" s="46">
        <v>30013</v>
      </c>
      <c r="C222" s="47">
        <v>45763</v>
      </c>
      <c r="D222" s="46">
        <v>311500</v>
      </c>
      <c r="E222" s="46">
        <v>2</v>
      </c>
      <c r="F222" s="52" t="s">
        <v>1870</v>
      </c>
      <c r="G222" s="46">
        <v>6</v>
      </c>
      <c r="H222" s="52" t="s">
        <v>1642</v>
      </c>
      <c r="I222" s="46"/>
      <c r="J222" s="46">
        <v>0</v>
      </c>
      <c r="K222" s="46"/>
      <c r="L222" s="52" t="s">
        <v>268</v>
      </c>
      <c r="M222" s="53">
        <v>4700000</v>
      </c>
      <c r="N222" s="46">
        <v>84</v>
      </c>
      <c r="O222" s="46">
        <v>0</v>
      </c>
      <c r="P222" s="46">
        <v>1</v>
      </c>
      <c r="Q222" s="52">
        <v>12</v>
      </c>
      <c r="R222" s="53">
        <v>83825</v>
      </c>
      <c r="S222" s="46">
        <v>1</v>
      </c>
      <c r="T222" s="53">
        <v>256750</v>
      </c>
      <c r="U222" s="53">
        <f t="shared" si="24"/>
        <v>58700</v>
      </c>
      <c r="V222" s="46">
        <v>1</v>
      </c>
      <c r="W222" s="53">
        <v>88775</v>
      </c>
      <c r="X222" s="46">
        <v>1</v>
      </c>
      <c r="Y222" s="46">
        <v>1</v>
      </c>
      <c r="Z222" s="54">
        <v>0.17355660908332818</v>
      </c>
      <c r="AA222" s="15">
        <f t="shared" si="20"/>
        <v>1.4463050756944014E-2</v>
      </c>
      <c r="AB222" s="15">
        <f t="shared" si="21"/>
        <v>0.17355660908332818</v>
      </c>
      <c r="AC222" t="b">
        <f t="shared" si="22"/>
        <v>1</v>
      </c>
    </row>
    <row r="223" spans="1:29" x14ac:dyDescent="0.25">
      <c r="A223" s="52" t="s">
        <v>259</v>
      </c>
      <c r="B223" s="46">
        <v>30013</v>
      </c>
      <c r="C223" s="47">
        <v>45763</v>
      </c>
      <c r="D223" s="46">
        <v>311500</v>
      </c>
      <c r="E223" s="46">
        <v>2</v>
      </c>
      <c r="F223" s="52" t="s">
        <v>1871</v>
      </c>
      <c r="G223" s="46">
        <v>6</v>
      </c>
      <c r="H223" s="52" t="s">
        <v>784</v>
      </c>
      <c r="I223" s="46"/>
      <c r="J223" s="46">
        <v>0</v>
      </c>
      <c r="K223" s="46"/>
      <c r="L223" s="52" t="s">
        <v>261</v>
      </c>
      <c r="M223" s="53">
        <v>1800000</v>
      </c>
      <c r="N223" s="46">
        <v>48</v>
      </c>
      <c r="O223" s="46">
        <v>0</v>
      </c>
      <c r="P223" s="46">
        <v>1</v>
      </c>
      <c r="Q223" s="52">
        <v>12</v>
      </c>
      <c r="R223" s="53">
        <v>53505</v>
      </c>
      <c r="S223" s="46">
        <v>1</v>
      </c>
      <c r="T223" s="53">
        <v>64000</v>
      </c>
      <c r="U223" s="53">
        <f t="shared" si="24"/>
        <v>29700</v>
      </c>
      <c r="V223" s="46">
        <v>1</v>
      </c>
      <c r="W223" s="53">
        <v>49430</v>
      </c>
      <c r="X223" s="46">
        <v>1</v>
      </c>
      <c r="Y223" s="46">
        <v>1</v>
      </c>
      <c r="Z223" s="54">
        <v>0.19012880004020533</v>
      </c>
      <c r="AA223" s="15">
        <f t="shared" si="20"/>
        <v>1.5844066670017112E-2</v>
      </c>
      <c r="AB223" s="15">
        <f t="shared" si="21"/>
        <v>0.19012880004020533</v>
      </c>
      <c r="AC223" t="b">
        <f t="shared" si="22"/>
        <v>1</v>
      </c>
    </row>
    <row r="224" spans="1:29" x14ac:dyDescent="0.25">
      <c r="A224" s="52" t="s">
        <v>259</v>
      </c>
      <c r="B224" s="46">
        <v>30013</v>
      </c>
      <c r="C224" s="47">
        <v>45763</v>
      </c>
      <c r="D224" s="46">
        <v>311500</v>
      </c>
      <c r="E224" s="46">
        <v>2</v>
      </c>
      <c r="F224" s="52" t="s">
        <v>1872</v>
      </c>
      <c r="G224" s="46">
        <v>6</v>
      </c>
      <c r="H224" s="52" t="s">
        <v>784</v>
      </c>
      <c r="I224" s="46"/>
      <c r="J224" s="46">
        <v>0</v>
      </c>
      <c r="K224" s="46"/>
      <c r="L224" s="52" t="s">
        <v>270</v>
      </c>
      <c r="M224" s="55">
        <v>4500000</v>
      </c>
      <c r="N224" s="46">
        <v>72</v>
      </c>
      <c r="O224" s="46">
        <v>0</v>
      </c>
      <c r="P224" s="46">
        <v>1</v>
      </c>
      <c r="Q224" s="52">
        <v>12</v>
      </c>
      <c r="R224" s="55">
        <v>80258</v>
      </c>
      <c r="S224" s="46">
        <v>1</v>
      </c>
      <c r="T224" s="55">
        <v>212500</v>
      </c>
      <c r="U224" s="55">
        <f t="shared" si="24"/>
        <v>56700</v>
      </c>
      <c r="V224" s="46">
        <v>1</v>
      </c>
      <c r="W224" s="55">
        <v>93373</v>
      </c>
      <c r="X224" s="46">
        <v>1</v>
      </c>
      <c r="Y224" s="46">
        <v>1</v>
      </c>
      <c r="Z224" s="54">
        <v>0.17447520097305438</v>
      </c>
      <c r="AA224" s="15">
        <f t="shared" si="20"/>
        <v>1.4539600081087865E-2</v>
      </c>
      <c r="AB224" s="15">
        <f t="shared" si="21"/>
        <v>0.17447520097305438</v>
      </c>
      <c r="AC224" t="b">
        <f t="shared" si="22"/>
        <v>1</v>
      </c>
    </row>
    <row r="225" spans="1:29" x14ac:dyDescent="0.25">
      <c r="A225" s="52" t="s">
        <v>259</v>
      </c>
      <c r="B225" s="46">
        <v>30013</v>
      </c>
      <c r="C225" s="47">
        <v>45763</v>
      </c>
      <c r="D225" s="46">
        <v>311500</v>
      </c>
      <c r="E225" s="46">
        <v>2</v>
      </c>
      <c r="F225" s="52" t="s">
        <v>1873</v>
      </c>
      <c r="G225" s="46">
        <v>6</v>
      </c>
      <c r="H225" s="52" t="s">
        <v>784</v>
      </c>
      <c r="I225" s="46"/>
      <c r="J225" s="46">
        <v>0</v>
      </c>
      <c r="K225" s="46"/>
      <c r="L225" s="52" t="s">
        <v>261</v>
      </c>
      <c r="M225" s="53">
        <v>4000000</v>
      </c>
      <c r="N225" s="46">
        <v>60</v>
      </c>
      <c r="O225" s="46">
        <v>0</v>
      </c>
      <c r="P225" s="46">
        <v>1</v>
      </c>
      <c r="Q225" s="52">
        <v>12</v>
      </c>
      <c r="R225" s="53">
        <v>118900</v>
      </c>
      <c r="S225" s="46">
        <v>1</v>
      </c>
      <c r="T225" s="53">
        <v>160000</v>
      </c>
      <c r="U225" s="53">
        <f t="shared" si="24"/>
        <v>51700</v>
      </c>
      <c r="V225" s="46">
        <v>1</v>
      </c>
      <c r="W225" s="53">
        <v>93630</v>
      </c>
      <c r="X225" s="46">
        <v>1</v>
      </c>
      <c r="Y225" s="46">
        <v>1</v>
      </c>
      <c r="Z225" s="54">
        <v>0.18225820613323224</v>
      </c>
      <c r="AA225" s="15">
        <f t="shared" si="20"/>
        <v>1.5188183844436019E-2</v>
      </c>
      <c r="AB225" s="15">
        <f t="shared" si="21"/>
        <v>0.18225820613323224</v>
      </c>
      <c r="AC225" t="b">
        <f t="shared" si="22"/>
        <v>1</v>
      </c>
    </row>
    <row r="226" spans="1:29" x14ac:dyDescent="0.25">
      <c r="A226" s="52" t="s">
        <v>259</v>
      </c>
      <c r="B226" s="46">
        <v>30013</v>
      </c>
      <c r="C226" s="47">
        <v>45763</v>
      </c>
      <c r="D226" s="46">
        <v>311500</v>
      </c>
      <c r="E226" s="46">
        <v>2</v>
      </c>
      <c r="F226" s="52" t="s">
        <v>1874</v>
      </c>
      <c r="G226" s="46">
        <v>6</v>
      </c>
      <c r="H226" s="52" t="s">
        <v>784</v>
      </c>
      <c r="I226" s="46"/>
      <c r="J226" s="46">
        <v>0</v>
      </c>
      <c r="K226" s="46"/>
      <c r="L226" s="52" t="s">
        <v>261</v>
      </c>
      <c r="M226" s="53">
        <v>5900000</v>
      </c>
      <c r="N226" s="46">
        <v>72</v>
      </c>
      <c r="O226" s="46">
        <v>0</v>
      </c>
      <c r="P226" s="46">
        <v>1</v>
      </c>
      <c r="Q226" s="52">
        <v>12</v>
      </c>
      <c r="R226" s="53">
        <v>105227</v>
      </c>
      <c r="S226" s="46">
        <v>1</v>
      </c>
      <c r="T226" s="53">
        <v>275500</v>
      </c>
      <c r="U226" s="53">
        <f t="shared" si="24"/>
        <v>70700</v>
      </c>
      <c r="V226" s="46">
        <v>1</v>
      </c>
      <c r="W226" s="53">
        <v>122422</v>
      </c>
      <c r="X226" s="46">
        <v>1</v>
      </c>
      <c r="Y226" s="46">
        <v>1</v>
      </c>
      <c r="Z226" s="54">
        <v>0.17397716602820357</v>
      </c>
      <c r="AA226" s="15">
        <f t="shared" si="20"/>
        <v>1.4498097169016965E-2</v>
      </c>
      <c r="AB226" s="15">
        <f t="shared" si="21"/>
        <v>0.17397716602820357</v>
      </c>
      <c r="AC226" t="b">
        <f t="shared" si="22"/>
        <v>1</v>
      </c>
    </row>
    <row r="227" spans="1:29" x14ac:dyDescent="0.25">
      <c r="A227" s="52" t="s">
        <v>259</v>
      </c>
      <c r="B227" s="46">
        <v>30013</v>
      </c>
      <c r="C227" s="47">
        <v>45763</v>
      </c>
      <c r="D227" s="46">
        <v>311500</v>
      </c>
      <c r="E227" s="46">
        <v>2</v>
      </c>
      <c r="F227" s="52" t="s">
        <v>1875</v>
      </c>
      <c r="G227" s="46">
        <v>6</v>
      </c>
      <c r="H227" s="52" t="s">
        <v>784</v>
      </c>
      <c r="I227" s="46"/>
      <c r="J227" s="46">
        <v>0</v>
      </c>
      <c r="K227" s="46"/>
      <c r="L227" s="52" t="s">
        <v>261</v>
      </c>
      <c r="M227" s="53">
        <v>4000000</v>
      </c>
      <c r="N227" s="46">
        <v>72</v>
      </c>
      <c r="O227" s="46">
        <v>0</v>
      </c>
      <c r="P227" s="46">
        <v>1</v>
      </c>
      <c r="Q227" s="52">
        <v>12</v>
      </c>
      <c r="R227" s="53">
        <v>71340</v>
      </c>
      <c r="S227" s="46">
        <v>1</v>
      </c>
      <c r="T227" s="53">
        <v>190000</v>
      </c>
      <c r="U227" s="53">
        <f t="shared" si="24"/>
        <v>51700</v>
      </c>
      <c r="V227" s="46">
        <v>1</v>
      </c>
      <c r="W227" s="53">
        <v>82998</v>
      </c>
      <c r="X227" s="46">
        <v>1</v>
      </c>
      <c r="Y227" s="46">
        <v>1</v>
      </c>
      <c r="Z227" s="54">
        <v>0.17473614584159597</v>
      </c>
      <c r="AA227" s="15">
        <f t="shared" si="20"/>
        <v>1.4561345486799665E-2</v>
      </c>
      <c r="AB227" s="15">
        <f t="shared" si="21"/>
        <v>0.17473614584159597</v>
      </c>
      <c r="AC227" t="b">
        <f t="shared" si="22"/>
        <v>1</v>
      </c>
    </row>
    <row r="228" spans="1:29" x14ac:dyDescent="0.25">
      <c r="A228" s="52" t="s">
        <v>259</v>
      </c>
      <c r="B228" s="46">
        <v>30013</v>
      </c>
      <c r="C228" s="47">
        <v>45763</v>
      </c>
      <c r="D228" s="46">
        <v>311500</v>
      </c>
      <c r="E228" s="46">
        <v>2</v>
      </c>
      <c r="F228" s="52" t="s">
        <v>1876</v>
      </c>
      <c r="G228" s="46">
        <v>6</v>
      </c>
      <c r="H228" s="52" t="s">
        <v>784</v>
      </c>
      <c r="I228" s="46"/>
      <c r="J228" s="46">
        <v>0</v>
      </c>
      <c r="K228" s="46"/>
      <c r="L228" s="52" t="s">
        <v>270</v>
      </c>
      <c r="M228" s="53">
        <v>4400000</v>
      </c>
      <c r="N228" s="46">
        <v>72</v>
      </c>
      <c r="O228" s="46">
        <v>0</v>
      </c>
      <c r="P228" s="46">
        <v>1</v>
      </c>
      <c r="Q228" s="52">
        <v>8</v>
      </c>
      <c r="R228" s="53">
        <v>78474</v>
      </c>
      <c r="S228" s="46">
        <v>1</v>
      </c>
      <c r="T228" s="53">
        <v>208000</v>
      </c>
      <c r="U228" s="53">
        <f t="shared" si="24"/>
        <v>55700</v>
      </c>
      <c r="V228" s="46">
        <v>1</v>
      </c>
      <c r="W228" s="53">
        <v>80435</v>
      </c>
      <c r="X228" s="46">
        <v>1</v>
      </c>
      <c r="Y228" s="46">
        <v>1</v>
      </c>
      <c r="Z228" s="54">
        <v>0.12521014988933923</v>
      </c>
      <c r="AA228" s="15">
        <f t="shared" si="20"/>
        <v>1.0434179157444936E-2</v>
      </c>
      <c r="AB228" s="15">
        <f t="shared" si="21"/>
        <v>0.12521014988933923</v>
      </c>
      <c r="AC228" t="b">
        <f t="shared" si="22"/>
        <v>1</v>
      </c>
    </row>
    <row r="229" spans="1:29" x14ac:dyDescent="0.25">
      <c r="A229" s="52" t="s">
        <v>259</v>
      </c>
      <c r="B229" s="46">
        <v>30013</v>
      </c>
      <c r="C229" s="47">
        <v>45764</v>
      </c>
      <c r="D229" s="46">
        <v>311500</v>
      </c>
      <c r="E229" s="46">
        <v>2</v>
      </c>
      <c r="F229" s="52" t="s">
        <v>1877</v>
      </c>
      <c r="G229" s="46">
        <v>6</v>
      </c>
      <c r="H229" s="52" t="s">
        <v>1642</v>
      </c>
      <c r="I229" s="46"/>
      <c r="J229" s="46">
        <v>0</v>
      </c>
      <c r="K229" s="46"/>
      <c r="L229" s="52" t="s">
        <v>261</v>
      </c>
      <c r="M229" s="53">
        <v>6500000</v>
      </c>
      <c r="N229" s="46">
        <v>72</v>
      </c>
      <c r="O229" s="46">
        <v>0</v>
      </c>
      <c r="P229" s="46">
        <v>1</v>
      </c>
      <c r="Q229" s="52">
        <v>11</v>
      </c>
      <c r="R229" s="53">
        <v>115928</v>
      </c>
      <c r="S229" s="46">
        <v>1</v>
      </c>
      <c r="T229" s="53">
        <v>302500</v>
      </c>
      <c r="U229" s="53">
        <f t="shared" si="24"/>
        <v>76700</v>
      </c>
      <c r="V229" s="46">
        <v>1</v>
      </c>
      <c r="W229" s="53">
        <v>130753</v>
      </c>
      <c r="X229" s="46">
        <v>1</v>
      </c>
      <c r="Y229" s="46">
        <v>1</v>
      </c>
      <c r="Z229" s="54">
        <v>0.16149954924557361</v>
      </c>
      <c r="AA229" s="15">
        <f t="shared" si="20"/>
        <v>1.3458295770464467E-2</v>
      </c>
      <c r="AB229" s="15">
        <f t="shared" si="21"/>
        <v>0.16149954924557361</v>
      </c>
      <c r="AC229" t="b">
        <f t="shared" si="22"/>
        <v>1</v>
      </c>
    </row>
    <row r="230" spans="1:29" x14ac:dyDescent="0.25">
      <c r="A230" s="52" t="s">
        <v>259</v>
      </c>
      <c r="B230" s="46">
        <v>30013</v>
      </c>
      <c r="C230" s="47">
        <v>45764</v>
      </c>
      <c r="D230" s="46">
        <v>311500</v>
      </c>
      <c r="E230" s="46">
        <v>2</v>
      </c>
      <c r="F230" s="52" t="s">
        <v>1878</v>
      </c>
      <c r="G230" s="46">
        <v>6</v>
      </c>
      <c r="H230" s="52" t="s">
        <v>784</v>
      </c>
      <c r="I230" s="46"/>
      <c r="J230" s="46">
        <v>0</v>
      </c>
      <c r="K230" s="46"/>
      <c r="L230" s="52" t="s">
        <v>266</v>
      </c>
      <c r="M230" s="53">
        <v>5000000</v>
      </c>
      <c r="N230" s="46">
        <v>48</v>
      </c>
      <c r="O230" s="46">
        <v>0</v>
      </c>
      <c r="P230" s="46">
        <v>1</v>
      </c>
      <c r="Q230" s="52">
        <v>8</v>
      </c>
      <c r="R230" s="53">
        <v>148625</v>
      </c>
      <c r="S230" s="46">
        <v>1</v>
      </c>
      <c r="T230" s="53">
        <v>160000</v>
      </c>
      <c r="U230" s="53">
        <f t="shared" si="24"/>
        <v>61700</v>
      </c>
      <c r="V230" s="46">
        <v>1</v>
      </c>
      <c r="W230" s="53">
        <v>125644</v>
      </c>
      <c r="X230" s="46">
        <v>1</v>
      </c>
      <c r="Y230" s="46">
        <v>1</v>
      </c>
      <c r="Z230" s="54">
        <v>0.13625201976121146</v>
      </c>
      <c r="AA230" s="15">
        <f t="shared" si="20"/>
        <v>1.1354334980100954E-2</v>
      </c>
      <c r="AB230" s="15">
        <f t="shared" si="21"/>
        <v>0.13625201976121146</v>
      </c>
      <c r="AC230" t="b">
        <f t="shared" si="22"/>
        <v>1</v>
      </c>
    </row>
    <row r="231" spans="1:29" x14ac:dyDescent="0.25">
      <c r="A231" s="52" t="s">
        <v>259</v>
      </c>
      <c r="B231" s="46">
        <v>30013</v>
      </c>
      <c r="C231" s="47">
        <v>45764</v>
      </c>
      <c r="D231" s="46">
        <v>311500</v>
      </c>
      <c r="E231" s="46">
        <v>2</v>
      </c>
      <c r="F231" s="52" t="s">
        <v>1879</v>
      </c>
      <c r="G231" s="46">
        <v>6</v>
      </c>
      <c r="H231" s="52" t="s">
        <v>1689</v>
      </c>
      <c r="I231" s="46"/>
      <c r="J231" s="46">
        <v>0</v>
      </c>
      <c r="K231" s="46"/>
      <c r="L231" s="52" t="s">
        <v>270</v>
      </c>
      <c r="M231" s="53">
        <v>4355000</v>
      </c>
      <c r="N231" s="46">
        <v>84</v>
      </c>
      <c r="O231" s="46">
        <v>0</v>
      </c>
      <c r="P231" s="46">
        <v>1</v>
      </c>
      <c r="Q231" s="52">
        <v>12</v>
      </c>
      <c r="R231" s="53">
        <v>77671</v>
      </c>
      <c r="S231" s="46">
        <v>1</v>
      </c>
      <c r="T231" s="53">
        <v>238638</v>
      </c>
      <c r="U231" s="53">
        <f t="shared" si="24"/>
        <v>55250</v>
      </c>
      <c r="V231" s="46">
        <v>1</v>
      </c>
      <c r="W231" s="53">
        <v>82259</v>
      </c>
      <c r="X231" s="46">
        <v>1</v>
      </c>
      <c r="Y231" s="46">
        <v>1</v>
      </c>
      <c r="Z231" s="54">
        <v>0.17370066393402736</v>
      </c>
      <c r="AA231" s="15">
        <f t="shared" si="20"/>
        <v>1.4475055327835613E-2</v>
      </c>
      <c r="AB231" s="15">
        <f t="shared" si="21"/>
        <v>0.17370066393402736</v>
      </c>
      <c r="AC231" t="b">
        <f t="shared" si="22"/>
        <v>1</v>
      </c>
    </row>
    <row r="232" spans="1:29" x14ac:dyDescent="0.25">
      <c r="A232" s="52" t="s">
        <v>259</v>
      </c>
      <c r="B232" s="46">
        <v>30013</v>
      </c>
      <c r="C232" s="47">
        <v>45764</v>
      </c>
      <c r="D232" s="46">
        <v>311500</v>
      </c>
      <c r="E232" s="46">
        <v>2</v>
      </c>
      <c r="F232" s="52" t="s">
        <v>1880</v>
      </c>
      <c r="G232" s="46">
        <v>6</v>
      </c>
      <c r="H232" s="52" t="s">
        <v>784</v>
      </c>
      <c r="I232" s="46"/>
      <c r="J232" s="46">
        <v>0</v>
      </c>
      <c r="K232" s="46"/>
      <c r="L232" s="52" t="s">
        <v>686</v>
      </c>
      <c r="M232" s="53">
        <v>10000000</v>
      </c>
      <c r="N232" s="46">
        <v>60</v>
      </c>
      <c r="O232" s="46">
        <v>0</v>
      </c>
      <c r="P232" s="46">
        <v>1</v>
      </c>
      <c r="Q232" s="52">
        <v>8</v>
      </c>
      <c r="R232" s="53">
        <v>297250</v>
      </c>
      <c r="S232" s="46">
        <v>1</v>
      </c>
      <c r="T232" s="53">
        <v>390000</v>
      </c>
      <c r="U232" s="53">
        <f t="shared" si="24"/>
        <v>111700</v>
      </c>
      <c r="V232" s="46">
        <v>1</v>
      </c>
      <c r="W232" s="53">
        <v>210077</v>
      </c>
      <c r="X232" s="46">
        <v>1</v>
      </c>
      <c r="Y232" s="46">
        <v>1</v>
      </c>
      <c r="Z232" s="54">
        <v>0.1315373851260413</v>
      </c>
      <c r="AA232" s="15">
        <f t="shared" si="20"/>
        <v>1.096144876050344E-2</v>
      </c>
      <c r="AB232" s="15">
        <f t="shared" si="21"/>
        <v>0.1315373851260413</v>
      </c>
      <c r="AC232" t="b">
        <f t="shared" si="22"/>
        <v>1</v>
      </c>
    </row>
    <row r="233" spans="1:29" x14ac:dyDescent="0.25">
      <c r="A233" s="52" t="s">
        <v>259</v>
      </c>
      <c r="B233" s="46">
        <v>30013</v>
      </c>
      <c r="C233" s="47">
        <v>45764</v>
      </c>
      <c r="D233" s="46">
        <v>311500</v>
      </c>
      <c r="E233" s="46">
        <v>2</v>
      </c>
      <c r="F233" s="52" t="s">
        <v>1881</v>
      </c>
      <c r="G233" s="46">
        <v>6</v>
      </c>
      <c r="H233" s="52" t="s">
        <v>784</v>
      </c>
      <c r="I233" s="46"/>
      <c r="J233" s="46">
        <v>0</v>
      </c>
      <c r="K233" s="46"/>
      <c r="L233" s="52" t="s">
        <v>715</v>
      </c>
      <c r="M233" s="53">
        <v>5100000</v>
      </c>
      <c r="N233" s="46">
        <v>72</v>
      </c>
      <c r="O233" s="46">
        <v>0</v>
      </c>
      <c r="P233" s="46">
        <v>1</v>
      </c>
      <c r="Q233" s="52">
        <v>12</v>
      </c>
      <c r="R233" s="53">
        <v>90959</v>
      </c>
      <c r="S233" s="46">
        <v>1</v>
      </c>
      <c r="T233" s="53">
        <v>239500</v>
      </c>
      <c r="U233" s="53">
        <f t="shared" si="24"/>
        <v>62700</v>
      </c>
      <c r="V233" s="46">
        <v>1</v>
      </c>
      <c r="W233" s="53">
        <v>105823</v>
      </c>
      <c r="X233" s="46">
        <v>1</v>
      </c>
      <c r="Y233" s="46">
        <v>1</v>
      </c>
      <c r="Z233" s="54">
        <v>0.17422978497571545</v>
      </c>
      <c r="AA233" s="15">
        <f t="shared" si="20"/>
        <v>1.4519148747976288E-2</v>
      </c>
      <c r="AB233" s="15">
        <f t="shared" si="21"/>
        <v>0.17422978497571545</v>
      </c>
      <c r="AC233" t="b">
        <f t="shared" si="22"/>
        <v>1</v>
      </c>
    </row>
    <row r="234" spans="1:29" x14ac:dyDescent="0.25">
      <c r="A234" s="52" t="s">
        <v>259</v>
      </c>
      <c r="B234" s="46">
        <v>30013</v>
      </c>
      <c r="C234" s="47">
        <v>45764</v>
      </c>
      <c r="D234" s="46">
        <v>321730</v>
      </c>
      <c r="E234" s="46">
        <v>2</v>
      </c>
      <c r="F234" s="52" t="s">
        <v>1882</v>
      </c>
      <c r="G234" s="46">
        <v>6</v>
      </c>
      <c r="H234" s="52" t="s">
        <v>1650</v>
      </c>
      <c r="I234" s="46"/>
      <c r="J234" s="46">
        <v>0</v>
      </c>
      <c r="K234" s="46"/>
      <c r="L234" s="52" t="s">
        <v>261</v>
      </c>
      <c r="M234" s="53">
        <v>2265315</v>
      </c>
      <c r="N234" s="46">
        <v>24</v>
      </c>
      <c r="O234" s="46">
        <v>0</v>
      </c>
      <c r="P234" s="46">
        <v>1</v>
      </c>
      <c r="Q234" s="52">
        <v>11</v>
      </c>
      <c r="R234" s="53">
        <v>0</v>
      </c>
      <c r="S234" s="46">
        <v>1</v>
      </c>
      <c r="T234" s="53">
        <v>43980</v>
      </c>
      <c r="U234" s="53">
        <f t="shared" si="24"/>
        <v>34353.15</v>
      </c>
      <c r="V234" s="46">
        <v>1</v>
      </c>
      <c r="W234" s="53">
        <v>107781</v>
      </c>
      <c r="X234" s="46">
        <v>1</v>
      </c>
      <c r="Y234" s="46">
        <v>1</v>
      </c>
      <c r="Z234" s="54">
        <v>0.16668210113901966</v>
      </c>
      <c r="AA234" s="15">
        <f t="shared" si="20"/>
        <v>1.3890175094918305E-2</v>
      </c>
      <c r="AB234" s="15">
        <f t="shared" si="21"/>
        <v>0.16668210113901966</v>
      </c>
      <c r="AC234" t="b">
        <f t="shared" si="22"/>
        <v>1</v>
      </c>
    </row>
    <row r="235" spans="1:29" x14ac:dyDescent="0.25">
      <c r="A235" s="52" t="s">
        <v>259</v>
      </c>
      <c r="B235" s="46">
        <v>30013</v>
      </c>
      <c r="C235" s="47">
        <v>45764</v>
      </c>
      <c r="D235" s="46">
        <v>311500</v>
      </c>
      <c r="E235" s="46">
        <v>2</v>
      </c>
      <c r="F235" s="52" t="s">
        <v>1883</v>
      </c>
      <c r="G235" s="46">
        <v>6</v>
      </c>
      <c r="H235" s="52" t="s">
        <v>784</v>
      </c>
      <c r="I235" s="46"/>
      <c r="J235" s="46">
        <v>0</v>
      </c>
      <c r="K235" s="46"/>
      <c r="L235" s="52" t="s">
        <v>693</v>
      </c>
      <c r="M235" s="53">
        <v>10000000</v>
      </c>
      <c r="N235" s="46">
        <v>60</v>
      </c>
      <c r="O235" s="46">
        <v>0</v>
      </c>
      <c r="P235" s="46">
        <v>1</v>
      </c>
      <c r="Q235" s="52">
        <v>8</v>
      </c>
      <c r="R235" s="53">
        <v>297250</v>
      </c>
      <c r="S235" s="46">
        <v>1</v>
      </c>
      <c r="T235" s="53">
        <v>390000</v>
      </c>
      <c r="U235" s="53">
        <f t="shared" si="24"/>
        <v>111700</v>
      </c>
      <c r="V235" s="46">
        <v>1</v>
      </c>
      <c r="W235" s="53">
        <v>210077</v>
      </c>
      <c r="X235" s="46">
        <v>1</v>
      </c>
      <c r="Y235" s="46">
        <v>1</v>
      </c>
      <c r="Z235" s="54">
        <v>0.1315373851260413</v>
      </c>
      <c r="AA235" s="15">
        <f t="shared" si="20"/>
        <v>1.096144876050344E-2</v>
      </c>
      <c r="AB235" s="15">
        <f t="shared" si="21"/>
        <v>0.1315373851260413</v>
      </c>
      <c r="AC235" t="b">
        <f t="shared" si="22"/>
        <v>1</v>
      </c>
    </row>
    <row r="236" spans="1:29" x14ac:dyDescent="0.25">
      <c r="A236" s="52" t="s">
        <v>259</v>
      </c>
      <c r="B236" s="46">
        <v>30013</v>
      </c>
      <c r="C236" s="47">
        <v>45764</v>
      </c>
      <c r="D236" s="46">
        <v>311500</v>
      </c>
      <c r="E236" s="46">
        <v>2</v>
      </c>
      <c r="F236" s="52" t="s">
        <v>1884</v>
      </c>
      <c r="G236" s="46">
        <v>6</v>
      </c>
      <c r="H236" s="52" t="s">
        <v>1642</v>
      </c>
      <c r="I236" s="46"/>
      <c r="J236" s="46">
        <v>0</v>
      </c>
      <c r="K236" s="46"/>
      <c r="L236" s="52" t="s">
        <v>261</v>
      </c>
      <c r="M236" s="53">
        <v>6300000</v>
      </c>
      <c r="N236" s="46">
        <v>72</v>
      </c>
      <c r="O236" s="46">
        <v>0</v>
      </c>
      <c r="P236" s="46">
        <v>1</v>
      </c>
      <c r="Q236" s="52">
        <v>12</v>
      </c>
      <c r="R236" s="53">
        <v>112361</v>
      </c>
      <c r="S236" s="46">
        <v>1</v>
      </c>
      <c r="T236" s="53">
        <v>293500</v>
      </c>
      <c r="U236" s="53">
        <f t="shared" si="24"/>
        <v>74700</v>
      </c>
      <c r="V236" s="46">
        <v>1</v>
      </c>
      <c r="W236" s="53">
        <v>130722</v>
      </c>
      <c r="X236" s="46">
        <v>1</v>
      </c>
      <c r="Y236" s="46">
        <v>1</v>
      </c>
      <c r="Z236" s="54">
        <v>0.17387651349682889</v>
      </c>
      <c r="AA236" s="15">
        <f t="shared" si="20"/>
        <v>1.4489709458069074E-2</v>
      </c>
      <c r="AB236" s="15">
        <f t="shared" si="21"/>
        <v>0.17387651349682889</v>
      </c>
      <c r="AC236" t="b">
        <f t="shared" si="22"/>
        <v>1</v>
      </c>
    </row>
    <row r="237" spans="1:29" x14ac:dyDescent="0.25">
      <c r="A237" s="52" t="s">
        <v>259</v>
      </c>
      <c r="B237" s="46">
        <v>30013</v>
      </c>
      <c r="C237" s="47">
        <v>45764</v>
      </c>
      <c r="D237" s="46">
        <v>311500</v>
      </c>
      <c r="E237" s="46">
        <v>2</v>
      </c>
      <c r="F237" s="52" t="s">
        <v>1885</v>
      </c>
      <c r="G237" s="46">
        <v>6</v>
      </c>
      <c r="H237" s="52" t="s">
        <v>1642</v>
      </c>
      <c r="I237" s="46"/>
      <c r="J237" s="46">
        <v>0</v>
      </c>
      <c r="K237" s="46"/>
      <c r="L237" s="52" t="s">
        <v>700</v>
      </c>
      <c r="M237" s="53">
        <v>5235000</v>
      </c>
      <c r="N237" s="46">
        <v>72</v>
      </c>
      <c r="O237" s="46">
        <v>0</v>
      </c>
      <c r="P237" s="46">
        <v>1</v>
      </c>
      <c r="Q237" s="52">
        <v>11</v>
      </c>
      <c r="R237" s="53">
        <v>93366</v>
      </c>
      <c r="S237" s="46">
        <v>1</v>
      </c>
      <c r="T237" s="53">
        <v>245575</v>
      </c>
      <c r="U237" s="53">
        <f t="shared" si="24"/>
        <v>64050</v>
      </c>
      <c r="V237" s="46">
        <v>1</v>
      </c>
      <c r="W237" s="53">
        <v>105306</v>
      </c>
      <c r="X237" s="46">
        <v>1</v>
      </c>
      <c r="Y237" s="46">
        <v>1</v>
      </c>
      <c r="Z237" s="54">
        <v>0.16184266623464069</v>
      </c>
      <c r="AA237" s="15">
        <f t="shared" si="20"/>
        <v>1.3486888852886724E-2</v>
      </c>
      <c r="AB237" s="15">
        <f t="shared" si="21"/>
        <v>0.16184266623464069</v>
      </c>
      <c r="AC237" t="b">
        <f t="shared" si="22"/>
        <v>1</v>
      </c>
    </row>
    <row r="238" spans="1:29" x14ac:dyDescent="0.25">
      <c r="A238" s="52" t="s">
        <v>259</v>
      </c>
      <c r="B238" s="46">
        <v>30013</v>
      </c>
      <c r="C238" s="47">
        <v>45764</v>
      </c>
      <c r="D238" s="46">
        <v>311500</v>
      </c>
      <c r="E238" s="46">
        <v>2</v>
      </c>
      <c r="F238" s="52" t="s">
        <v>1886</v>
      </c>
      <c r="G238" s="46">
        <v>6</v>
      </c>
      <c r="H238" s="52" t="s">
        <v>784</v>
      </c>
      <c r="I238" s="46"/>
      <c r="J238" s="46">
        <v>0</v>
      </c>
      <c r="K238" s="46"/>
      <c r="L238" s="52" t="s">
        <v>261</v>
      </c>
      <c r="M238" s="53">
        <v>9900000</v>
      </c>
      <c r="N238" s="46">
        <v>60</v>
      </c>
      <c r="O238" s="46">
        <v>0</v>
      </c>
      <c r="P238" s="46">
        <v>1</v>
      </c>
      <c r="Q238" s="52">
        <v>11</v>
      </c>
      <c r="R238" s="53">
        <v>294278</v>
      </c>
      <c r="S238" s="46">
        <v>1</v>
      </c>
      <c r="T238" s="53">
        <v>386250</v>
      </c>
      <c r="U238" s="53">
        <f t="shared" si="24"/>
        <v>110700</v>
      </c>
      <c r="V238" s="46">
        <v>1</v>
      </c>
      <c r="W238" s="53">
        <v>225656</v>
      </c>
      <c r="X238" s="46">
        <v>1</v>
      </c>
      <c r="Y238" s="46">
        <v>1</v>
      </c>
      <c r="Z238" s="54">
        <v>0.16852774661567757</v>
      </c>
      <c r="AA238" s="15">
        <f t="shared" si="20"/>
        <v>1.4043978884639798E-2</v>
      </c>
      <c r="AB238" s="15">
        <f t="shared" si="21"/>
        <v>0.16852774661567757</v>
      </c>
      <c r="AC238" t="b">
        <f t="shared" si="22"/>
        <v>1</v>
      </c>
    </row>
    <row r="239" spans="1:29" x14ac:dyDescent="0.25">
      <c r="A239" s="52" t="s">
        <v>259</v>
      </c>
      <c r="B239" s="46">
        <v>30013</v>
      </c>
      <c r="C239" s="47">
        <v>45764</v>
      </c>
      <c r="D239" s="46">
        <v>311500</v>
      </c>
      <c r="E239" s="46">
        <v>2</v>
      </c>
      <c r="F239" s="52" t="s">
        <v>1887</v>
      </c>
      <c r="G239" s="46">
        <v>6</v>
      </c>
      <c r="H239" s="52" t="s">
        <v>1642</v>
      </c>
      <c r="I239" s="46"/>
      <c r="J239" s="46">
        <v>0</v>
      </c>
      <c r="K239" s="46"/>
      <c r="L239" s="52" t="s">
        <v>715</v>
      </c>
      <c r="M239" s="53">
        <v>5800000</v>
      </c>
      <c r="N239" s="46">
        <v>72</v>
      </c>
      <c r="O239" s="46">
        <v>0</v>
      </c>
      <c r="P239" s="46">
        <v>1</v>
      </c>
      <c r="Q239" s="52">
        <v>11</v>
      </c>
      <c r="R239" s="53">
        <v>103443</v>
      </c>
      <c r="S239" s="46">
        <v>1</v>
      </c>
      <c r="T239" s="53">
        <v>271000</v>
      </c>
      <c r="U239" s="53">
        <f t="shared" si="24"/>
        <v>69700</v>
      </c>
      <c r="V239" s="46">
        <v>1</v>
      </c>
      <c r="W239" s="53">
        <v>116672</v>
      </c>
      <c r="X239" s="46">
        <v>1</v>
      </c>
      <c r="Y239" s="46">
        <v>1</v>
      </c>
      <c r="Z239" s="54">
        <v>0.16167202184686846</v>
      </c>
      <c r="AA239" s="15">
        <f t="shared" si="20"/>
        <v>1.3472668487239037E-2</v>
      </c>
      <c r="AB239" s="15">
        <f t="shared" si="21"/>
        <v>0.16167202184686846</v>
      </c>
      <c r="AC239" t="b">
        <f t="shared" si="22"/>
        <v>1</v>
      </c>
    </row>
    <row r="240" spans="1:29" x14ac:dyDescent="0.25">
      <c r="A240" s="52" t="s">
        <v>259</v>
      </c>
      <c r="B240" s="46">
        <v>30013</v>
      </c>
      <c r="C240" s="47">
        <v>45764</v>
      </c>
      <c r="D240" s="46">
        <v>321600</v>
      </c>
      <c r="E240" s="46">
        <v>2</v>
      </c>
      <c r="F240" s="52" t="s">
        <v>1888</v>
      </c>
      <c r="G240" s="46">
        <v>6</v>
      </c>
      <c r="H240" s="52" t="s">
        <v>1689</v>
      </c>
      <c r="I240" s="46"/>
      <c r="J240" s="46">
        <v>0</v>
      </c>
      <c r="K240" s="46"/>
      <c r="L240" s="52" t="s">
        <v>261</v>
      </c>
      <c r="M240" s="53">
        <v>605000</v>
      </c>
      <c r="N240" s="46">
        <v>12</v>
      </c>
      <c r="O240" s="46">
        <v>0</v>
      </c>
      <c r="P240" s="46">
        <v>1</v>
      </c>
      <c r="Q240" s="52">
        <v>10</v>
      </c>
      <c r="R240" s="53">
        <v>7193</v>
      </c>
      <c r="S240" s="46">
        <v>1</v>
      </c>
      <c r="T240" s="53">
        <v>0</v>
      </c>
      <c r="U240" s="53">
        <v>21700</v>
      </c>
      <c r="V240" s="46">
        <v>1</v>
      </c>
      <c r="W240" s="53">
        <v>53722</v>
      </c>
      <c r="X240" s="46">
        <v>1</v>
      </c>
      <c r="Y240" s="46">
        <v>1</v>
      </c>
      <c r="Z240" s="54">
        <v>0.21283809984141491</v>
      </c>
      <c r="AA240" s="15">
        <f t="shared" si="20"/>
        <v>1.7736508320117909E-2</v>
      </c>
      <c r="AB240" s="15">
        <f t="shared" si="21"/>
        <v>0.21283809984141491</v>
      </c>
      <c r="AC240" t="b">
        <f t="shared" si="22"/>
        <v>1</v>
      </c>
    </row>
    <row r="241" spans="1:29" x14ac:dyDescent="0.25">
      <c r="A241" s="52" t="s">
        <v>259</v>
      </c>
      <c r="B241" s="46">
        <v>30013</v>
      </c>
      <c r="C241" s="47">
        <v>45764</v>
      </c>
      <c r="D241" s="46">
        <v>311500</v>
      </c>
      <c r="E241" s="46">
        <v>2</v>
      </c>
      <c r="F241" s="52" t="s">
        <v>1889</v>
      </c>
      <c r="G241" s="46">
        <v>6</v>
      </c>
      <c r="H241" s="52" t="s">
        <v>784</v>
      </c>
      <c r="I241" s="46"/>
      <c r="J241" s="46">
        <v>0</v>
      </c>
      <c r="K241" s="46"/>
      <c r="L241" s="52" t="s">
        <v>268</v>
      </c>
      <c r="M241" s="53">
        <v>7900000</v>
      </c>
      <c r="N241" s="46">
        <v>72</v>
      </c>
      <c r="O241" s="46">
        <v>0</v>
      </c>
      <c r="P241" s="46">
        <v>1</v>
      </c>
      <c r="Q241" s="52">
        <v>8</v>
      </c>
      <c r="R241" s="53">
        <v>140897</v>
      </c>
      <c r="S241" s="46">
        <v>1</v>
      </c>
      <c r="T241" s="53">
        <v>370500</v>
      </c>
      <c r="U241" s="53">
        <f>M241/100+11700</f>
        <v>90700</v>
      </c>
      <c r="V241" s="46">
        <v>1</v>
      </c>
      <c r="W241" s="53">
        <v>144417</v>
      </c>
      <c r="X241" s="46">
        <v>1</v>
      </c>
      <c r="Y241" s="46">
        <v>1</v>
      </c>
      <c r="Z241" s="54">
        <v>0.12457339465556092</v>
      </c>
      <c r="AA241" s="15">
        <f t="shared" si="20"/>
        <v>1.0381116221296742E-2</v>
      </c>
      <c r="AB241" s="15">
        <f t="shared" si="21"/>
        <v>0.12457339465556092</v>
      </c>
      <c r="AC241" t="b">
        <f t="shared" si="22"/>
        <v>1</v>
      </c>
    </row>
    <row r="242" spans="1:29" x14ac:dyDescent="0.25">
      <c r="A242" s="52" t="s">
        <v>259</v>
      </c>
      <c r="B242" s="46">
        <v>30013</v>
      </c>
      <c r="C242" s="47">
        <v>45764</v>
      </c>
      <c r="D242" s="46">
        <v>321600</v>
      </c>
      <c r="E242" s="46">
        <v>2</v>
      </c>
      <c r="F242" s="52" t="s">
        <v>1890</v>
      </c>
      <c r="G242" s="46">
        <v>6</v>
      </c>
      <c r="H242" s="52" t="s">
        <v>1689</v>
      </c>
      <c r="I242" s="46"/>
      <c r="J242" s="46">
        <v>0</v>
      </c>
      <c r="K242" s="46"/>
      <c r="L242" s="52" t="s">
        <v>261</v>
      </c>
      <c r="M242" s="53">
        <v>550000</v>
      </c>
      <c r="N242" s="46">
        <v>12</v>
      </c>
      <c r="O242" s="46">
        <v>0</v>
      </c>
      <c r="P242" s="46">
        <v>1</v>
      </c>
      <c r="Q242" s="52">
        <v>10</v>
      </c>
      <c r="R242" s="53">
        <v>5232</v>
      </c>
      <c r="S242" s="46">
        <v>1</v>
      </c>
      <c r="T242" s="53">
        <v>0</v>
      </c>
      <c r="U242" s="53">
        <v>21700</v>
      </c>
      <c r="V242" s="46">
        <v>1</v>
      </c>
      <c r="W242" s="53">
        <v>48839</v>
      </c>
      <c r="X242" s="46">
        <v>1</v>
      </c>
      <c r="Y242" s="46">
        <v>1</v>
      </c>
      <c r="Z242" s="54">
        <v>0.21534038061237323</v>
      </c>
      <c r="AA242" s="15">
        <f t="shared" si="20"/>
        <v>1.7945031717697769E-2</v>
      </c>
      <c r="AB242" s="15">
        <f t="shared" si="21"/>
        <v>0.21534038061237323</v>
      </c>
      <c r="AC242" t="b">
        <f t="shared" si="22"/>
        <v>1</v>
      </c>
    </row>
    <row r="243" spans="1:29" x14ac:dyDescent="0.25">
      <c r="A243" s="52" t="s">
        <v>259</v>
      </c>
      <c r="B243" s="46">
        <v>30013</v>
      </c>
      <c r="C243" s="47">
        <v>45764</v>
      </c>
      <c r="D243" s="46">
        <v>311500</v>
      </c>
      <c r="E243" s="46">
        <v>2</v>
      </c>
      <c r="F243" s="52" t="s">
        <v>1891</v>
      </c>
      <c r="G243" s="46">
        <v>6</v>
      </c>
      <c r="H243" s="52" t="s">
        <v>1642</v>
      </c>
      <c r="I243" s="46"/>
      <c r="J243" s="46">
        <v>0</v>
      </c>
      <c r="K243" s="46"/>
      <c r="L243" s="52" t="s">
        <v>690</v>
      </c>
      <c r="M243" s="53">
        <v>10000000</v>
      </c>
      <c r="N243" s="46">
        <v>36</v>
      </c>
      <c r="O243" s="46">
        <v>0</v>
      </c>
      <c r="P243" s="46">
        <v>1</v>
      </c>
      <c r="Q243" s="52">
        <v>9</v>
      </c>
      <c r="R243" s="53">
        <v>297250</v>
      </c>
      <c r="S243" s="46">
        <v>1</v>
      </c>
      <c r="T243" s="53">
        <v>240000</v>
      </c>
      <c r="U243" s="53">
        <f t="shared" ref="U243:U256" si="25">M243/100+11700</f>
        <v>111700</v>
      </c>
      <c r="V243" s="46">
        <v>1</v>
      </c>
      <c r="W243" s="53">
        <v>325973</v>
      </c>
      <c r="X243" s="46">
        <v>1</v>
      </c>
      <c r="Y243" s="46">
        <v>1</v>
      </c>
      <c r="Z243" s="54">
        <v>0.15395882858789056</v>
      </c>
      <c r="AA243" s="15">
        <f t="shared" si="20"/>
        <v>1.2829902382324215E-2</v>
      </c>
      <c r="AB243" s="15">
        <f t="shared" si="21"/>
        <v>0.15395882858789056</v>
      </c>
      <c r="AC243" t="b">
        <f t="shared" si="22"/>
        <v>1</v>
      </c>
    </row>
    <row r="244" spans="1:29" x14ac:dyDescent="0.25">
      <c r="A244" s="52" t="s">
        <v>259</v>
      </c>
      <c r="B244" s="46">
        <v>30013</v>
      </c>
      <c r="C244" s="47">
        <v>45764</v>
      </c>
      <c r="D244" s="46">
        <v>311500</v>
      </c>
      <c r="E244" s="46">
        <v>2</v>
      </c>
      <c r="F244" s="52" t="s">
        <v>1892</v>
      </c>
      <c r="G244" s="46">
        <v>6</v>
      </c>
      <c r="H244" s="52" t="s">
        <v>1642</v>
      </c>
      <c r="I244" s="46"/>
      <c r="J244" s="46">
        <v>0</v>
      </c>
      <c r="K244" s="46"/>
      <c r="L244" s="52" t="s">
        <v>690</v>
      </c>
      <c r="M244" s="53">
        <v>2000000</v>
      </c>
      <c r="N244" s="46">
        <v>60</v>
      </c>
      <c r="O244" s="46">
        <v>0</v>
      </c>
      <c r="P244" s="46">
        <v>1</v>
      </c>
      <c r="Q244" s="52">
        <v>12</v>
      </c>
      <c r="R244" s="53">
        <v>59450</v>
      </c>
      <c r="S244" s="46">
        <v>1</v>
      </c>
      <c r="T244" s="53">
        <v>85000</v>
      </c>
      <c r="U244" s="53">
        <f t="shared" si="25"/>
        <v>31700</v>
      </c>
      <c r="V244" s="46">
        <v>1</v>
      </c>
      <c r="W244" s="53">
        <v>46815</v>
      </c>
      <c r="X244" s="46">
        <v>1</v>
      </c>
      <c r="Y244" s="46">
        <v>1</v>
      </c>
      <c r="Z244" s="54">
        <v>0.18503692157083751</v>
      </c>
      <c r="AA244" s="15">
        <f t="shared" si="20"/>
        <v>1.5419743464236458E-2</v>
      </c>
      <c r="AB244" s="15">
        <f t="shared" si="21"/>
        <v>0.18503692157083751</v>
      </c>
      <c r="AC244" t="b">
        <f t="shared" si="22"/>
        <v>1</v>
      </c>
    </row>
    <row r="245" spans="1:29" x14ac:dyDescent="0.25">
      <c r="A245" s="52" t="s">
        <v>259</v>
      </c>
      <c r="B245" s="46">
        <v>30013</v>
      </c>
      <c r="C245" s="47">
        <v>45764</v>
      </c>
      <c r="D245" s="46">
        <v>321600</v>
      </c>
      <c r="E245" s="46">
        <v>2</v>
      </c>
      <c r="F245" s="52" t="s">
        <v>1893</v>
      </c>
      <c r="G245" s="46">
        <v>6</v>
      </c>
      <c r="H245" s="52" t="s">
        <v>1642</v>
      </c>
      <c r="I245" s="46"/>
      <c r="J245" s="46">
        <v>0</v>
      </c>
      <c r="K245" s="46"/>
      <c r="L245" s="52" t="s">
        <v>685</v>
      </c>
      <c r="M245" s="53">
        <v>1900000</v>
      </c>
      <c r="N245" s="46">
        <v>12</v>
      </c>
      <c r="O245" s="46">
        <v>0</v>
      </c>
      <c r="P245" s="46">
        <v>1</v>
      </c>
      <c r="Q245" s="52">
        <v>10</v>
      </c>
      <c r="R245" s="53">
        <v>22591</v>
      </c>
      <c r="S245" s="46">
        <v>1</v>
      </c>
      <c r="T245" s="53">
        <v>24250</v>
      </c>
      <c r="U245" s="53">
        <f t="shared" si="25"/>
        <v>30700</v>
      </c>
      <c r="V245" s="46">
        <v>1</v>
      </c>
      <c r="W245" s="53">
        <v>168715</v>
      </c>
      <c r="X245" s="46">
        <v>1</v>
      </c>
      <c r="Y245" s="46">
        <v>1</v>
      </c>
      <c r="Z245" s="54">
        <v>0.19876628721268189</v>
      </c>
      <c r="AA245" s="15">
        <f t="shared" si="20"/>
        <v>1.656385726772349E-2</v>
      </c>
      <c r="AB245" s="15">
        <f t="shared" si="21"/>
        <v>0.19876628721268189</v>
      </c>
      <c r="AC245" t="b">
        <f t="shared" si="22"/>
        <v>1</v>
      </c>
    </row>
    <row r="246" spans="1:29" x14ac:dyDescent="0.25">
      <c r="A246" s="52" t="s">
        <v>259</v>
      </c>
      <c r="B246" s="46">
        <v>30013</v>
      </c>
      <c r="C246" s="47">
        <v>45765</v>
      </c>
      <c r="D246" s="46">
        <v>311500</v>
      </c>
      <c r="E246" s="46">
        <v>2</v>
      </c>
      <c r="F246" s="52" t="s">
        <v>1894</v>
      </c>
      <c r="G246" s="46">
        <v>6</v>
      </c>
      <c r="H246" s="52" t="s">
        <v>784</v>
      </c>
      <c r="I246" s="46"/>
      <c r="J246" s="46">
        <v>0</v>
      </c>
      <c r="K246" s="46"/>
      <c r="L246" s="52" t="s">
        <v>686</v>
      </c>
      <c r="M246" s="53">
        <v>5800000</v>
      </c>
      <c r="N246" s="46">
        <v>84</v>
      </c>
      <c r="O246" s="46">
        <v>0</v>
      </c>
      <c r="P246" s="46">
        <v>1</v>
      </c>
      <c r="Q246" s="52">
        <v>12</v>
      </c>
      <c r="R246" s="53">
        <v>103443</v>
      </c>
      <c r="S246" s="46">
        <v>1</v>
      </c>
      <c r="T246" s="53">
        <v>314500</v>
      </c>
      <c r="U246" s="53">
        <f t="shared" si="25"/>
        <v>69700</v>
      </c>
      <c r="V246" s="46">
        <v>1</v>
      </c>
      <c r="W246" s="53">
        <v>109553</v>
      </c>
      <c r="X246" s="46">
        <v>1</v>
      </c>
      <c r="Y246" s="46">
        <v>1</v>
      </c>
      <c r="Z246" s="54">
        <v>0.17321957043534295</v>
      </c>
      <c r="AA246" s="15">
        <f t="shared" si="20"/>
        <v>1.4434964202945245E-2</v>
      </c>
      <c r="AB246" s="15">
        <f t="shared" si="21"/>
        <v>0.17321957043534295</v>
      </c>
      <c r="AC246" t="b">
        <f t="shared" si="22"/>
        <v>1</v>
      </c>
    </row>
    <row r="247" spans="1:29" x14ac:dyDescent="0.25">
      <c r="A247" s="52" t="s">
        <v>259</v>
      </c>
      <c r="B247" s="46">
        <v>30013</v>
      </c>
      <c r="C247" s="47">
        <v>45765</v>
      </c>
      <c r="D247" s="46">
        <v>311500</v>
      </c>
      <c r="E247" s="46">
        <v>2</v>
      </c>
      <c r="F247" s="52" t="s">
        <v>1895</v>
      </c>
      <c r="G247" s="46">
        <v>6</v>
      </c>
      <c r="H247" s="52" t="s">
        <v>1650</v>
      </c>
      <c r="I247" s="46"/>
      <c r="J247" s="46">
        <v>0</v>
      </c>
      <c r="K247" s="46"/>
      <c r="L247" s="52" t="s">
        <v>270</v>
      </c>
      <c r="M247" s="53">
        <v>8730000</v>
      </c>
      <c r="N247" s="46">
        <v>84</v>
      </c>
      <c r="O247" s="46">
        <v>0</v>
      </c>
      <c r="P247" s="46">
        <v>1</v>
      </c>
      <c r="Q247" s="52">
        <v>8</v>
      </c>
      <c r="R247" s="53">
        <v>155700</v>
      </c>
      <c r="S247" s="46">
        <v>1</v>
      </c>
      <c r="T247" s="53">
        <v>473325</v>
      </c>
      <c r="U247" s="53">
        <f t="shared" si="25"/>
        <v>99000</v>
      </c>
      <c r="V247" s="46">
        <v>1</v>
      </c>
      <c r="W247" s="53">
        <v>142737</v>
      </c>
      <c r="X247" s="46">
        <v>1</v>
      </c>
      <c r="Y247" s="46">
        <v>1</v>
      </c>
      <c r="Z247" s="54">
        <v>0.12344921286748944</v>
      </c>
      <c r="AA247" s="15">
        <f t="shared" si="20"/>
        <v>1.0287434405624121E-2</v>
      </c>
      <c r="AB247" s="15">
        <f t="shared" si="21"/>
        <v>0.12344921286748944</v>
      </c>
      <c r="AC247" t="b">
        <f t="shared" si="22"/>
        <v>1</v>
      </c>
    </row>
    <row r="248" spans="1:29" x14ac:dyDescent="0.25">
      <c r="A248" s="52" t="s">
        <v>259</v>
      </c>
      <c r="B248" s="46">
        <v>30013</v>
      </c>
      <c r="C248" s="47">
        <v>45765</v>
      </c>
      <c r="D248" s="46">
        <v>311500</v>
      </c>
      <c r="E248" s="46">
        <v>2</v>
      </c>
      <c r="F248" s="52" t="s">
        <v>1896</v>
      </c>
      <c r="G248" s="46">
        <v>6</v>
      </c>
      <c r="H248" s="52" t="s">
        <v>784</v>
      </c>
      <c r="I248" s="46"/>
      <c r="J248" s="46">
        <v>0</v>
      </c>
      <c r="K248" s="46"/>
      <c r="L248" s="52" t="s">
        <v>261</v>
      </c>
      <c r="M248" s="53">
        <v>3800000</v>
      </c>
      <c r="N248" s="46">
        <v>72</v>
      </c>
      <c r="O248" s="46">
        <v>0</v>
      </c>
      <c r="P248" s="46">
        <v>1</v>
      </c>
      <c r="Q248" s="52">
        <v>12</v>
      </c>
      <c r="R248" s="53">
        <v>67773</v>
      </c>
      <c r="S248" s="46">
        <v>1</v>
      </c>
      <c r="T248" s="53">
        <v>181000</v>
      </c>
      <c r="U248" s="53">
        <f t="shared" si="25"/>
        <v>49700</v>
      </c>
      <c r="V248" s="46">
        <v>1</v>
      </c>
      <c r="W248" s="53">
        <v>78848</v>
      </c>
      <c r="X248" s="46">
        <v>1</v>
      </c>
      <c r="Y248" s="46">
        <v>1</v>
      </c>
      <c r="Z248" s="54">
        <v>0.17485986230848488</v>
      </c>
      <c r="AA248" s="15">
        <f t="shared" si="20"/>
        <v>1.457165519237374E-2</v>
      </c>
      <c r="AB248" s="15">
        <f t="shared" si="21"/>
        <v>0.17485986230848488</v>
      </c>
      <c r="AC248" t="b">
        <f t="shared" si="22"/>
        <v>1</v>
      </c>
    </row>
    <row r="249" spans="1:29" x14ac:dyDescent="0.25">
      <c r="A249" s="52" t="s">
        <v>259</v>
      </c>
      <c r="B249" s="46">
        <v>30013</v>
      </c>
      <c r="C249" s="47">
        <v>45765</v>
      </c>
      <c r="D249" s="46">
        <v>311500</v>
      </c>
      <c r="E249" s="46">
        <v>2</v>
      </c>
      <c r="F249" s="52" t="s">
        <v>1897</v>
      </c>
      <c r="G249" s="46">
        <v>6</v>
      </c>
      <c r="H249" s="52" t="s">
        <v>784</v>
      </c>
      <c r="I249" s="46"/>
      <c r="J249" s="46">
        <v>0</v>
      </c>
      <c r="K249" s="46"/>
      <c r="L249" s="52" t="s">
        <v>261</v>
      </c>
      <c r="M249" s="53">
        <v>4900000</v>
      </c>
      <c r="N249" s="46">
        <v>72</v>
      </c>
      <c r="O249" s="46">
        <v>0</v>
      </c>
      <c r="P249" s="46">
        <v>1</v>
      </c>
      <c r="Q249" s="52">
        <v>12</v>
      </c>
      <c r="R249" s="53">
        <v>87392</v>
      </c>
      <c r="S249" s="46">
        <v>1</v>
      </c>
      <c r="T249" s="53">
        <v>230500</v>
      </c>
      <c r="U249" s="53">
        <f t="shared" si="25"/>
        <v>60700</v>
      </c>
      <c r="V249" s="46">
        <v>1</v>
      </c>
      <c r="W249" s="53">
        <v>101673</v>
      </c>
      <c r="X249" s="46">
        <v>1</v>
      </c>
      <c r="Y249" s="46">
        <v>1</v>
      </c>
      <c r="Z249" s="54">
        <v>0.17430488862194526</v>
      </c>
      <c r="AA249" s="15">
        <f t="shared" si="20"/>
        <v>1.4525407385162104E-2</v>
      </c>
      <c r="AB249" s="15">
        <f t="shared" si="21"/>
        <v>0.17430488862194526</v>
      </c>
      <c r="AC249" t="b">
        <f t="shared" si="22"/>
        <v>1</v>
      </c>
    </row>
    <row r="250" spans="1:29" x14ac:dyDescent="0.25">
      <c r="A250" s="52" t="s">
        <v>259</v>
      </c>
      <c r="B250" s="46">
        <v>30013</v>
      </c>
      <c r="C250" s="47">
        <v>45765</v>
      </c>
      <c r="D250" s="46">
        <v>311500</v>
      </c>
      <c r="E250" s="46">
        <v>2</v>
      </c>
      <c r="F250" s="52" t="s">
        <v>1898</v>
      </c>
      <c r="G250" s="46">
        <v>6</v>
      </c>
      <c r="H250" s="52" t="s">
        <v>784</v>
      </c>
      <c r="I250" s="46"/>
      <c r="J250" s="46">
        <v>0</v>
      </c>
      <c r="K250" s="46"/>
      <c r="L250" s="52" t="s">
        <v>261</v>
      </c>
      <c r="M250" s="53">
        <v>3200000</v>
      </c>
      <c r="N250" s="46">
        <v>48</v>
      </c>
      <c r="O250" s="46">
        <v>0</v>
      </c>
      <c r="P250" s="46">
        <v>1</v>
      </c>
      <c r="Q250" s="52">
        <v>12</v>
      </c>
      <c r="R250" s="53">
        <v>95120</v>
      </c>
      <c r="S250" s="46">
        <v>1</v>
      </c>
      <c r="T250" s="53">
        <v>106000</v>
      </c>
      <c r="U250" s="53">
        <f t="shared" si="25"/>
        <v>43700</v>
      </c>
      <c r="V250" s="46">
        <v>1</v>
      </c>
      <c r="W250" s="53">
        <v>87876</v>
      </c>
      <c r="X250" s="46">
        <v>1</v>
      </c>
      <c r="Y250" s="46">
        <v>1</v>
      </c>
      <c r="Z250" s="54">
        <v>0.18689008057319803</v>
      </c>
      <c r="AA250" s="15">
        <f t="shared" si="20"/>
        <v>1.5574173381099836E-2</v>
      </c>
      <c r="AB250" s="15">
        <f t="shared" si="21"/>
        <v>0.18689008057319803</v>
      </c>
      <c r="AC250" t="b">
        <f t="shared" si="22"/>
        <v>1</v>
      </c>
    </row>
    <row r="251" spans="1:29" x14ac:dyDescent="0.25">
      <c r="A251" s="52" t="s">
        <v>259</v>
      </c>
      <c r="B251" s="46">
        <v>30013</v>
      </c>
      <c r="C251" s="47">
        <v>45765</v>
      </c>
      <c r="D251" s="46">
        <v>311500</v>
      </c>
      <c r="E251" s="46">
        <v>2</v>
      </c>
      <c r="F251" s="52" t="s">
        <v>1899</v>
      </c>
      <c r="G251" s="46">
        <v>6</v>
      </c>
      <c r="H251" s="52" t="s">
        <v>1642</v>
      </c>
      <c r="I251" s="46"/>
      <c r="J251" s="46">
        <v>0</v>
      </c>
      <c r="K251" s="46"/>
      <c r="L251" s="52" t="s">
        <v>686</v>
      </c>
      <c r="M251" s="53">
        <v>2774000</v>
      </c>
      <c r="N251" s="46">
        <v>60</v>
      </c>
      <c r="O251" s="46">
        <v>0</v>
      </c>
      <c r="P251" s="46">
        <v>1</v>
      </c>
      <c r="Q251" s="52">
        <v>10</v>
      </c>
      <c r="R251" s="53">
        <v>82457</v>
      </c>
      <c r="S251" s="46">
        <v>1</v>
      </c>
      <c r="T251" s="53">
        <v>114025</v>
      </c>
      <c r="U251" s="53">
        <f t="shared" si="25"/>
        <v>39440</v>
      </c>
      <c r="V251" s="46">
        <v>1</v>
      </c>
      <c r="W251" s="53">
        <v>61552</v>
      </c>
      <c r="X251" s="46">
        <v>1</v>
      </c>
      <c r="Y251" s="46">
        <v>1</v>
      </c>
      <c r="Z251" s="54">
        <v>0.15874493385420435</v>
      </c>
      <c r="AA251" s="15">
        <f t="shared" si="20"/>
        <v>1.3228744487850361E-2</v>
      </c>
      <c r="AB251" s="15">
        <f t="shared" si="21"/>
        <v>0.15874493385420435</v>
      </c>
      <c r="AC251" t="b">
        <f t="shared" si="22"/>
        <v>1</v>
      </c>
    </row>
    <row r="252" spans="1:29" x14ac:dyDescent="0.25">
      <c r="A252" s="52" t="s">
        <v>259</v>
      </c>
      <c r="B252" s="46">
        <v>30013</v>
      </c>
      <c r="C252" s="47">
        <v>45765</v>
      </c>
      <c r="D252" s="46">
        <v>311500</v>
      </c>
      <c r="E252" s="46">
        <v>2</v>
      </c>
      <c r="F252" s="52" t="s">
        <v>1900</v>
      </c>
      <c r="G252" s="46">
        <v>6</v>
      </c>
      <c r="H252" s="52" t="s">
        <v>784</v>
      </c>
      <c r="I252" s="46"/>
      <c r="J252" s="46">
        <v>0</v>
      </c>
      <c r="K252" s="46"/>
      <c r="L252" s="52" t="s">
        <v>270</v>
      </c>
      <c r="M252" s="53">
        <v>3390000</v>
      </c>
      <c r="N252" s="46">
        <v>60</v>
      </c>
      <c r="O252" s="46">
        <v>0</v>
      </c>
      <c r="P252" s="46">
        <v>1</v>
      </c>
      <c r="Q252" s="52">
        <v>12</v>
      </c>
      <c r="R252" s="53">
        <v>100768</v>
      </c>
      <c r="S252" s="46">
        <v>1</v>
      </c>
      <c r="T252" s="53">
        <v>137125</v>
      </c>
      <c r="U252" s="53">
        <f t="shared" si="25"/>
        <v>45600</v>
      </c>
      <c r="V252" s="46">
        <v>1</v>
      </c>
      <c r="W252" s="53">
        <v>79351</v>
      </c>
      <c r="X252" s="46">
        <v>1</v>
      </c>
      <c r="Y252" s="46">
        <v>1</v>
      </c>
      <c r="Z252" s="54">
        <v>0.18275396437698216</v>
      </c>
      <c r="AA252" s="15">
        <f t="shared" si="20"/>
        <v>1.5229497031415179E-2</v>
      </c>
      <c r="AB252" s="15">
        <f t="shared" si="21"/>
        <v>0.18275396437698216</v>
      </c>
      <c r="AC252" t="b">
        <f t="shared" si="22"/>
        <v>1</v>
      </c>
    </row>
    <row r="253" spans="1:29" x14ac:dyDescent="0.25">
      <c r="A253" s="52" t="s">
        <v>259</v>
      </c>
      <c r="B253" s="46">
        <v>30013</v>
      </c>
      <c r="C253" s="47">
        <v>45765</v>
      </c>
      <c r="D253" s="46">
        <v>311500</v>
      </c>
      <c r="E253" s="46">
        <v>2</v>
      </c>
      <c r="F253" s="52" t="s">
        <v>1901</v>
      </c>
      <c r="G253" s="46">
        <v>6</v>
      </c>
      <c r="H253" s="52" t="s">
        <v>1642</v>
      </c>
      <c r="I253" s="46"/>
      <c r="J253" s="46">
        <v>0</v>
      </c>
      <c r="K253" s="46"/>
      <c r="L253" s="52" t="s">
        <v>231</v>
      </c>
      <c r="M253" s="53">
        <v>3632000</v>
      </c>
      <c r="N253" s="46">
        <v>48</v>
      </c>
      <c r="O253" s="46">
        <v>0</v>
      </c>
      <c r="P253" s="46">
        <v>1</v>
      </c>
      <c r="Q253" s="52">
        <v>8</v>
      </c>
      <c r="R253" s="53">
        <v>107961</v>
      </c>
      <c r="S253" s="46">
        <v>1</v>
      </c>
      <c r="T253" s="53">
        <v>118960</v>
      </c>
      <c r="U253" s="53">
        <f t="shared" si="25"/>
        <v>48020</v>
      </c>
      <c r="V253" s="46">
        <v>1</v>
      </c>
      <c r="W253" s="53">
        <v>91268</v>
      </c>
      <c r="X253" s="46">
        <v>1</v>
      </c>
      <c r="Y253" s="46">
        <v>1</v>
      </c>
      <c r="Z253" s="54">
        <v>0.13721328707821134</v>
      </c>
      <c r="AA253" s="15">
        <f t="shared" si="20"/>
        <v>1.1434440589850945E-2</v>
      </c>
      <c r="AB253" s="15">
        <f t="shared" si="21"/>
        <v>0.13721328707821134</v>
      </c>
      <c r="AC253" t="b">
        <f t="shared" si="22"/>
        <v>1</v>
      </c>
    </row>
    <row r="254" spans="1:29" x14ac:dyDescent="0.25">
      <c r="A254" s="52" t="s">
        <v>259</v>
      </c>
      <c r="B254" s="46">
        <v>30013</v>
      </c>
      <c r="C254" s="47">
        <v>45765</v>
      </c>
      <c r="D254" s="46">
        <v>311500</v>
      </c>
      <c r="E254" s="46">
        <v>2</v>
      </c>
      <c r="F254" s="52" t="s">
        <v>722</v>
      </c>
      <c r="G254" s="46">
        <v>6</v>
      </c>
      <c r="H254" s="52" t="s">
        <v>1642</v>
      </c>
      <c r="I254" s="46"/>
      <c r="J254" s="46">
        <v>0</v>
      </c>
      <c r="K254" s="46"/>
      <c r="L254" s="52" t="s">
        <v>266</v>
      </c>
      <c r="M254" s="53">
        <v>10000000</v>
      </c>
      <c r="N254" s="46">
        <v>60</v>
      </c>
      <c r="O254" s="46">
        <v>0</v>
      </c>
      <c r="P254" s="46">
        <v>1</v>
      </c>
      <c r="Q254" s="52">
        <v>10</v>
      </c>
      <c r="R254" s="53">
        <v>297250</v>
      </c>
      <c r="S254" s="46">
        <v>1</v>
      </c>
      <c r="T254" s="53">
        <v>390000</v>
      </c>
      <c r="U254" s="53">
        <f t="shared" si="25"/>
        <v>111700</v>
      </c>
      <c r="V254" s="46">
        <v>1</v>
      </c>
      <c r="W254" s="53">
        <v>221889</v>
      </c>
      <c r="X254" s="46">
        <v>1</v>
      </c>
      <c r="Y254" s="46">
        <v>1</v>
      </c>
      <c r="Z254" s="54">
        <v>0.15618117627512212</v>
      </c>
      <c r="AA254" s="15">
        <f t="shared" si="20"/>
        <v>1.3015098022926844E-2</v>
      </c>
      <c r="AB254" s="15">
        <f t="shared" si="21"/>
        <v>0.15618117627512212</v>
      </c>
      <c r="AC254" t="b">
        <f t="shared" si="22"/>
        <v>1</v>
      </c>
    </row>
    <row r="255" spans="1:29" x14ac:dyDescent="0.25">
      <c r="A255" s="52" t="s">
        <v>259</v>
      </c>
      <c r="B255" s="46">
        <v>30013</v>
      </c>
      <c r="C255" s="47">
        <v>45765</v>
      </c>
      <c r="D255" s="46">
        <v>311500</v>
      </c>
      <c r="E255" s="46">
        <v>2</v>
      </c>
      <c r="F255" s="52" t="s">
        <v>1902</v>
      </c>
      <c r="G255" s="46">
        <v>6</v>
      </c>
      <c r="H255" s="52" t="s">
        <v>784</v>
      </c>
      <c r="I255" s="46"/>
      <c r="J255" s="46">
        <v>0</v>
      </c>
      <c r="K255" s="46"/>
      <c r="L255" s="52" t="s">
        <v>700</v>
      </c>
      <c r="M255" s="53">
        <v>2300000</v>
      </c>
      <c r="N255" s="46">
        <v>48</v>
      </c>
      <c r="O255" s="46">
        <v>0</v>
      </c>
      <c r="P255" s="46">
        <v>1</v>
      </c>
      <c r="Q255" s="52">
        <v>12</v>
      </c>
      <c r="R255" s="53">
        <v>68368</v>
      </c>
      <c r="S255" s="46">
        <v>1</v>
      </c>
      <c r="T255" s="53">
        <v>79000</v>
      </c>
      <c r="U255" s="53">
        <f t="shared" si="25"/>
        <v>34700</v>
      </c>
      <c r="V255" s="46">
        <v>1</v>
      </c>
      <c r="W255" s="53">
        <v>63161</v>
      </c>
      <c r="X255" s="46">
        <v>1</v>
      </c>
      <c r="Y255" s="46">
        <v>1</v>
      </c>
      <c r="Z255" s="54">
        <v>0.18851883154649757</v>
      </c>
      <c r="AA255" s="15">
        <f t="shared" si="20"/>
        <v>1.5709902628874797E-2</v>
      </c>
      <c r="AB255" s="15">
        <f t="shared" si="21"/>
        <v>0.18851883154649757</v>
      </c>
      <c r="AC255" t="b">
        <f t="shared" si="22"/>
        <v>1</v>
      </c>
    </row>
    <row r="256" spans="1:29" x14ac:dyDescent="0.25">
      <c r="A256" s="52" t="s">
        <v>259</v>
      </c>
      <c r="B256" s="46">
        <v>30013</v>
      </c>
      <c r="C256" s="47">
        <v>45765</v>
      </c>
      <c r="D256" s="46">
        <v>321300</v>
      </c>
      <c r="E256" s="46">
        <v>2</v>
      </c>
      <c r="F256" s="52" t="s">
        <v>1903</v>
      </c>
      <c r="G256" s="46">
        <v>6</v>
      </c>
      <c r="H256" s="52" t="s">
        <v>784</v>
      </c>
      <c r="I256" s="46"/>
      <c r="J256" s="46">
        <v>0</v>
      </c>
      <c r="K256" s="46"/>
      <c r="L256" s="52" t="s">
        <v>266</v>
      </c>
      <c r="M256" s="55">
        <v>2243000</v>
      </c>
      <c r="N256" s="46">
        <v>24</v>
      </c>
      <c r="O256" s="46">
        <v>0</v>
      </c>
      <c r="P256" s="46">
        <v>1</v>
      </c>
      <c r="Q256" s="52">
        <v>3.5</v>
      </c>
      <c r="R256" s="55">
        <v>0</v>
      </c>
      <c r="S256" s="46">
        <v>1</v>
      </c>
      <c r="T256" s="55">
        <v>38000</v>
      </c>
      <c r="U256" s="55">
        <f t="shared" si="25"/>
        <v>34130</v>
      </c>
      <c r="V256" s="46">
        <v>1</v>
      </c>
      <c r="W256" s="55">
        <v>97595</v>
      </c>
      <c r="X256" s="46">
        <v>1</v>
      </c>
      <c r="Y256" s="46">
        <v>1</v>
      </c>
      <c r="Z256" s="54">
        <v>7.4054906192680348E-2</v>
      </c>
      <c r="AA256" s="15">
        <f t="shared" si="20"/>
        <v>6.171242182723362E-3</v>
      </c>
      <c r="AB256" s="15">
        <f t="shared" si="21"/>
        <v>7.4054906192680348E-2</v>
      </c>
      <c r="AC256" t="b">
        <f t="shared" si="22"/>
        <v>1</v>
      </c>
    </row>
    <row r="257" spans="1:29" x14ac:dyDescent="0.25">
      <c r="A257" s="52" t="s">
        <v>259</v>
      </c>
      <c r="B257" s="46">
        <v>30013</v>
      </c>
      <c r="C257" s="47">
        <v>45765</v>
      </c>
      <c r="D257" s="46">
        <v>301200</v>
      </c>
      <c r="E257" s="46">
        <v>3</v>
      </c>
      <c r="F257" s="52" t="s">
        <v>1904</v>
      </c>
      <c r="G257" s="46">
        <v>6</v>
      </c>
      <c r="H257" s="52" t="s">
        <v>784</v>
      </c>
      <c r="I257" s="46"/>
      <c r="J257" s="46">
        <v>0</v>
      </c>
      <c r="K257" s="46"/>
      <c r="L257" s="52" t="s">
        <v>706</v>
      </c>
      <c r="M257" s="55">
        <v>10244000</v>
      </c>
      <c r="N257" s="46">
        <v>96</v>
      </c>
      <c r="O257" s="46">
        <v>0</v>
      </c>
      <c r="P257" s="46">
        <v>1</v>
      </c>
      <c r="Q257" s="52">
        <v>3.5</v>
      </c>
      <c r="R257" s="55">
        <v>0</v>
      </c>
      <c r="S257" s="46">
        <v>1</v>
      </c>
      <c r="T257" s="55">
        <v>571500</v>
      </c>
      <c r="U257" s="55">
        <v>119855</v>
      </c>
      <c r="V257" s="46">
        <v>1</v>
      </c>
      <c r="W257" s="55">
        <v>125638</v>
      </c>
      <c r="X257" s="46">
        <v>1</v>
      </c>
      <c r="Y257" s="46">
        <v>1</v>
      </c>
      <c r="Z257" s="54">
        <v>6.0220490907526777E-2</v>
      </c>
      <c r="AA257" s="15">
        <f t="shared" si="20"/>
        <v>5.0183742422938984E-3</v>
      </c>
      <c r="AB257" s="15">
        <f t="shared" si="21"/>
        <v>6.0220490907526777E-2</v>
      </c>
      <c r="AC257" t="b">
        <f t="shared" si="22"/>
        <v>1</v>
      </c>
    </row>
    <row r="258" spans="1:29" x14ac:dyDescent="0.25">
      <c r="A258" s="52" t="s">
        <v>259</v>
      </c>
      <c r="B258" s="46">
        <v>30013</v>
      </c>
      <c r="C258" s="47">
        <v>45765</v>
      </c>
      <c r="D258" s="46">
        <v>311500</v>
      </c>
      <c r="E258" s="46">
        <v>2</v>
      </c>
      <c r="F258" s="52" t="s">
        <v>1905</v>
      </c>
      <c r="G258" s="46">
        <v>6</v>
      </c>
      <c r="H258" s="52" t="s">
        <v>784</v>
      </c>
      <c r="I258" s="46"/>
      <c r="J258" s="46">
        <v>0</v>
      </c>
      <c r="K258" s="46"/>
      <c r="L258" s="52" t="s">
        <v>261</v>
      </c>
      <c r="M258" s="53">
        <v>5200000</v>
      </c>
      <c r="N258" s="46">
        <v>60</v>
      </c>
      <c r="O258" s="46">
        <v>0</v>
      </c>
      <c r="P258" s="46">
        <v>1</v>
      </c>
      <c r="Q258" s="52">
        <v>12</v>
      </c>
      <c r="R258" s="53">
        <v>154570</v>
      </c>
      <c r="S258" s="46">
        <v>1</v>
      </c>
      <c r="T258" s="55">
        <v>205000</v>
      </c>
      <c r="U258" s="55">
        <f t="shared" ref="U258:U275" si="26">M258/100+11700</f>
        <v>63700</v>
      </c>
      <c r="V258" s="46">
        <v>1</v>
      </c>
      <c r="W258" s="53">
        <v>121719</v>
      </c>
      <c r="X258" s="46">
        <v>1</v>
      </c>
      <c r="Y258" s="46">
        <v>1</v>
      </c>
      <c r="Z258" s="54">
        <v>0.18162037769564066</v>
      </c>
      <c r="AA258" s="15">
        <f t="shared" si="20"/>
        <v>1.5135031474636722E-2</v>
      </c>
      <c r="AB258" s="15">
        <f t="shared" si="21"/>
        <v>0.18162037769564066</v>
      </c>
      <c r="AC258" t="b">
        <f t="shared" si="22"/>
        <v>1</v>
      </c>
    </row>
    <row r="259" spans="1:29" x14ac:dyDescent="0.25">
      <c r="A259" s="52" t="s">
        <v>259</v>
      </c>
      <c r="B259" s="46">
        <v>30013</v>
      </c>
      <c r="C259" s="47">
        <v>45765</v>
      </c>
      <c r="D259" s="46">
        <v>311500</v>
      </c>
      <c r="E259" s="46">
        <v>2</v>
      </c>
      <c r="F259" s="52" t="s">
        <v>1906</v>
      </c>
      <c r="G259" s="46">
        <v>6</v>
      </c>
      <c r="H259" s="52" t="s">
        <v>784</v>
      </c>
      <c r="I259" s="46"/>
      <c r="J259" s="46">
        <v>0</v>
      </c>
      <c r="K259" s="46"/>
      <c r="L259" s="52" t="s">
        <v>261</v>
      </c>
      <c r="M259" s="53">
        <v>5600000</v>
      </c>
      <c r="N259" s="46">
        <v>72</v>
      </c>
      <c r="O259" s="46">
        <v>0</v>
      </c>
      <c r="P259" s="46">
        <v>1</v>
      </c>
      <c r="Q259" s="52">
        <v>12</v>
      </c>
      <c r="R259" s="53">
        <v>99876</v>
      </c>
      <c r="S259" s="46">
        <v>1</v>
      </c>
      <c r="T259" s="55">
        <v>262000</v>
      </c>
      <c r="U259" s="55">
        <f t="shared" si="26"/>
        <v>67700</v>
      </c>
      <c r="V259" s="46">
        <v>1</v>
      </c>
      <c r="W259" s="53">
        <v>116197</v>
      </c>
      <c r="X259" s="46">
        <v>1</v>
      </c>
      <c r="Y259" s="46">
        <v>1</v>
      </c>
      <c r="Z259" s="54">
        <v>0.17406208215931823</v>
      </c>
      <c r="AA259" s="15">
        <f t="shared" si="20"/>
        <v>1.4505173513276518E-2</v>
      </c>
      <c r="AB259" s="15">
        <f t="shared" si="21"/>
        <v>0.17406208215931823</v>
      </c>
      <c r="AC259" t="b">
        <f t="shared" si="22"/>
        <v>1</v>
      </c>
    </row>
    <row r="260" spans="1:29" x14ac:dyDescent="0.25">
      <c r="A260" s="52" t="s">
        <v>259</v>
      </c>
      <c r="B260" s="46">
        <v>30013</v>
      </c>
      <c r="C260" s="47">
        <v>45765</v>
      </c>
      <c r="D260" s="46">
        <v>311500</v>
      </c>
      <c r="E260" s="46">
        <v>2</v>
      </c>
      <c r="F260" s="52" t="s">
        <v>1907</v>
      </c>
      <c r="G260" s="46">
        <v>6</v>
      </c>
      <c r="H260" s="52" t="s">
        <v>784</v>
      </c>
      <c r="I260" s="46"/>
      <c r="J260" s="46">
        <v>0</v>
      </c>
      <c r="K260" s="46"/>
      <c r="L260" s="52" t="s">
        <v>270</v>
      </c>
      <c r="M260" s="53">
        <v>2000000</v>
      </c>
      <c r="N260" s="46">
        <v>48</v>
      </c>
      <c r="O260" s="46">
        <v>0</v>
      </c>
      <c r="P260" s="46">
        <v>1</v>
      </c>
      <c r="Q260" s="52">
        <v>13</v>
      </c>
      <c r="R260" s="53">
        <v>59450</v>
      </c>
      <c r="S260" s="46">
        <v>1</v>
      </c>
      <c r="T260" s="55">
        <v>70000</v>
      </c>
      <c r="U260" s="55">
        <f t="shared" si="26"/>
        <v>31700</v>
      </c>
      <c r="V260" s="46">
        <v>1</v>
      </c>
      <c r="W260" s="53">
        <v>56126</v>
      </c>
      <c r="X260" s="46">
        <v>1</v>
      </c>
      <c r="Y260" s="46">
        <v>1</v>
      </c>
      <c r="Z260" s="54">
        <v>0.2017248544611179</v>
      </c>
      <c r="AA260" s="15">
        <f t="shared" ref="AA260:AA323" si="27">RATE(N260,-W260,M260-R260-T260-U260)</f>
        <v>1.6810404538426492E-2</v>
      </c>
      <c r="AB260" s="15">
        <f t="shared" ref="AB260:AB323" si="28">IF(P260=1,AA260*12,IF(P260=2,AA260*4,IF(P260=3,AA260*2,AA260)))</f>
        <v>0.2017248544611179</v>
      </c>
      <c r="AC260" t="b">
        <f t="shared" ref="AC260:AC323" si="29">AB260=Z260</f>
        <v>1</v>
      </c>
    </row>
    <row r="261" spans="1:29" x14ac:dyDescent="0.25">
      <c r="A261" s="52" t="s">
        <v>259</v>
      </c>
      <c r="B261" s="46">
        <v>30013</v>
      </c>
      <c r="C261" s="47">
        <v>45765</v>
      </c>
      <c r="D261" s="46">
        <v>311500</v>
      </c>
      <c r="E261" s="46">
        <v>2</v>
      </c>
      <c r="F261" s="52" t="s">
        <v>1908</v>
      </c>
      <c r="G261" s="46">
        <v>6</v>
      </c>
      <c r="H261" s="52" t="s">
        <v>784</v>
      </c>
      <c r="I261" s="46"/>
      <c r="J261" s="46">
        <v>0</v>
      </c>
      <c r="K261" s="46"/>
      <c r="L261" s="52" t="s">
        <v>261</v>
      </c>
      <c r="M261" s="53">
        <v>1700000</v>
      </c>
      <c r="N261" s="46">
        <v>40</v>
      </c>
      <c r="O261" s="46">
        <v>0</v>
      </c>
      <c r="P261" s="46">
        <v>1</v>
      </c>
      <c r="Q261" s="52">
        <v>12</v>
      </c>
      <c r="R261" s="53">
        <v>50533</v>
      </c>
      <c r="S261" s="46">
        <v>1</v>
      </c>
      <c r="T261" s="55">
        <v>52500</v>
      </c>
      <c r="U261" s="55">
        <f t="shared" si="26"/>
        <v>28700</v>
      </c>
      <c r="V261" s="46">
        <v>1</v>
      </c>
      <c r="W261" s="53">
        <v>53652</v>
      </c>
      <c r="X261" s="46">
        <v>1</v>
      </c>
      <c r="Y261" s="46">
        <v>1</v>
      </c>
      <c r="Z261" s="54">
        <v>0.19531625341382519</v>
      </c>
      <c r="AA261" s="15">
        <f t="shared" si="27"/>
        <v>1.6276354451152098E-2</v>
      </c>
      <c r="AB261" s="15">
        <f t="shared" si="28"/>
        <v>0.19531625341382519</v>
      </c>
      <c r="AC261" t="b">
        <f t="shared" si="29"/>
        <v>1</v>
      </c>
    </row>
    <row r="262" spans="1:29" x14ac:dyDescent="0.25">
      <c r="A262" s="52" t="s">
        <v>259</v>
      </c>
      <c r="B262" s="46">
        <v>30013</v>
      </c>
      <c r="C262" s="47">
        <v>45765</v>
      </c>
      <c r="D262" s="46">
        <v>311500</v>
      </c>
      <c r="E262" s="46">
        <v>2</v>
      </c>
      <c r="F262" s="52" t="s">
        <v>1909</v>
      </c>
      <c r="G262" s="46">
        <v>6</v>
      </c>
      <c r="H262" s="52" t="s">
        <v>784</v>
      </c>
      <c r="I262" s="46"/>
      <c r="J262" s="46">
        <v>0</v>
      </c>
      <c r="K262" s="46"/>
      <c r="L262" s="52" t="s">
        <v>261</v>
      </c>
      <c r="M262" s="53">
        <v>2200000</v>
      </c>
      <c r="N262" s="46">
        <v>48</v>
      </c>
      <c r="O262" s="46">
        <v>0</v>
      </c>
      <c r="P262" s="46">
        <v>1</v>
      </c>
      <c r="Q262" s="52">
        <v>12</v>
      </c>
      <c r="R262" s="53">
        <v>65395</v>
      </c>
      <c r="S262" s="46">
        <v>1</v>
      </c>
      <c r="T262" s="55">
        <v>76000</v>
      </c>
      <c r="U262" s="55">
        <f t="shared" si="26"/>
        <v>33700</v>
      </c>
      <c r="V262" s="46">
        <v>1</v>
      </c>
      <c r="W262" s="53">
        <v>60414</v>
      </c>
      <c r="X262" s="46">
        <v>1</v>
      </c>
      <c r="Y262" s="46">
        <v>1</v>
      </c>
      <c r="Z262" s="54">
        <v>0.18877421812183873</v>
      </c>
      <c r="AA262" s="15">
        <f t="shared" si="27"/>
        <v>1.5731184843486561E-2</v>
      </c>
      <c r="AB262" s="15">
        <f t="shared" si="28"/>
        <v>0.18877421812183873</v>
      </c>
      <c r="AC262" t="b">
        <f t="shared" si="29"/>
        <v>1</v>
      </c>
    </row>
    <row r="263" spans="1:29" x14ac:dyDescent="0.25">
      <c r="A263" s="52" t="s">
        <v>259</v>
      </c>
      <c r="B263" s="46">
        <v>30013</v>
      </c>
      <c r="C263" s="47">
        <v>45765</v>
      </c>
      <c r="D263" s="46">
        <v>311500</v>
      </c>
      <c r="E263" s="46">
        <v>2</v>
      </c>
      <c r="F263" s="52" t="s">
        <v>1910</v>
      </c>
      <c r="G263" s="46">
        <v>6</v>
      </c>
      <c r="H263" s="52" t="s">
        <v>784</v>
      </c>
      <c r="I263" s="46"/>
      <c r="J263" s="46">
        <v>0</v>
      </c>
      <c r="K263" s="46"/>
      <c r="L263" s="52" t="s">
        <v>231</v>
      </c>
      <c r="M263" s="53">
        <v>2850000</v>
      </c>
      <c r="N263" s="46">
        <v>48</v>
      </c>
      <c r="O263" s="46">
        <v>0</v>
      </c>
      <c r="P263" s="46">
        <v>1</v>
      </c>
      <c r="Q263" s="52">
        <v>8</v>
      </c>
      <c r="R263" s="53">
        <v>84716</v>
      </c>
      <c r="S263" s="46">
        <v>1</v>
      </c>
      <c r="T263" s="55">
        <v>95500</v>
      </c>
      <c r="U263" s="55">
        <f t="shared" si="26"/>
        <v>40200</v>
      </c>
      <c r="V263" s="46">
        <v>1</v>
      </c>
      <c r="W263" s="53">
        <v>71617</v>
      </c>
      <c r="X263" s="46">
        <v>1</v>
      </c>
      <c r="Y263" s="46">
        <v>1</v>
      </c>
      <c r="Z263" s="54">
        <v>0.13817678622379506</v>
      </c>
      <c r="AA263" s="15">
        <f t="shared" si="27"/>
        <v>1.1514732185316255E-2</v>
      </c>
      <c r="AB263" s="15">
        <f t="shared" si="28"/>
        <v>0.13817678622379506</v>
      </c>
      <c r="AC263" t="b">
        <f t="shared" si="29"/>
        <v>1</v>
      </c>
    </row>
    <row r="264" spans="1:29" x14ac:dyDescent="0.25">
      <c r="A264" s="52" t="s">
        <v>259</v>
      </c>
      <c r="B264" s="46">
        <v>30013</v>
      </c>
      <c r="C264" s="47">
        <v>45769</v>
      </c>
      <c r="D264" s="46">
        <v>311500</v>
      </c>
      <c r="E264" s="46">
        <v>2</v>
      </c>
      <c r="F264" s="52" t="s">
        <v>1911</v>
      </c>
      <c r="G264" s="46">
        <v>6</v>
      </c>
      <c r="H264" s="52" t="s">
        <v>1650</v>
      </c>
      <c r="I264" s="46"/>
      <c r="J264" s="46">
        <v>0</v>
      </c>
      <c r="K264" s="46"/>
      <c r="L264" s="52" t="s">
        <v>690</v>
      </c>
      <c r="M264" s="53">
        <v>10000000</v>
      </c>
      <c r="N264" s="46">
        <v>72</v>
      </c>
      <c r="O264" s="46">
        <v>0</v>
      </c>
      <c r="P264" s="46">
        <v>1</v>
      </c>
      <c r="Q264" s="52">
        <v>8</v>
      </c>
      <c r="R264" s="53">
        <v>178350</v>
      </c>
      <c r="S264" s="46">
        <v>1</v>
      </c>
      <c r="T264" s="55">
        <v>465000</v>
      </c>
      <c r="U264" s="55">
        <f t="shared" si="26"/>
        <v>111700</v>
      </c>
      <c r="V264" s="46">
        <v>1</v>
      </c>
      <c r="W264" s="53">
        <v>182807</v>
      </c>
      <c r="X264" s="46">
        <v>1</v>
      </c>
      <c r="Y264" s="46">
        <v>1</v>
      </c>
      <c r="Z264" s="54">
        <v>0.12428453650454652</v>
      </c>
      <c r="AA264" s="15">
        <f t="shared" si="27"/>
        <v>1.035704470871221E-2</v>
      </c>
      <c r="AB264" s="15">
        <f t="shared" si="28"/>
        <v>0.12428453650454652</v>
      </c>
      <c r="AC264" t="b">
        <f t="shared" si="29"/>
        <v>1</v>
      </c>
    </row>
    <row r="265" spans="1:29" x14ac:dyDescent="0.25">
      <c r="A265" s="52" t="s">
        <v>259</v>
      </c>
      <c r="B265" s="46">
        <v>30013</v>
      </c>
      <c r="C265" s="47">
        <v>45769</v>
      </c>
      <c r="D265" s="46">
        <v>311500</v>
      </c>
      <c r="E265" s="46">
        <v>2</v>
      </c>
      <c r="F265" s="52" t="s">
        <v>1912</v>
      </c>
      <c r="G265" s="46">
        <v>6</v>
      </c>
      <c r="H265" s="52" t="s">
        <v>784</v>
      </c>
      <c r="I265" s="46"/>
      <c r="J265" s="46">
        <v>0</v>
      </c>
      <c r="K265" s="46"/>
      <c r="L265" s="52" t="s">
        <v>270</v>
      </c>
      <c r="M265" s="53">
        <v>6200000</v>
      </c>
      <c r="N265" s="46">
        <v>36</v>
      </c>
      <c r="O265" s="46">
        <v>0</v>
      </c>
      <c r="P265" s="46">
        <v>1</v>
      </c>
      <c r="Q265" s="52">
        <v>8</v>
      </c>
      <c r="R265" s="53">
        <v>184295</v>
      </c>
      <c r="S265" s="46">
        <v>1</v>
      </c>
      <c r="T265" s="55">
        <v>149500</v>
      </c>
      <c r="U265" s="55">
        <f t="shared" si="26"/>
        <v>73700</v>
      </c>
      <c r="V265" s="46">
        <v>1</v>
      </c>
      <c r="W265" s="53">
        <v>198639</v>
      </c>
      <c r="X265" s="46">
        <v>1</v>
      </c>
      <c r="Y265" s="46">
        <v>1</v>
      </c>
      <c r="Z265" s="54">
        <v>0.14236108525961769</v>
      </c>
      <c r="AA265" s="15">
        <f t="shared" si="27"/>
        <v>1.1863423771634808E-2</v>
      </c>
      <c r="AB265" s="15">
        <f t="shared" si="28"/>
        <v>0.14236108525961769</v>
      </c>
      <c r="AC265" t="b">
        <f t="shared" si="29"/>
        <v>1</v>
      </c>
    </row>
    <row r="266" spans="1:29" x14ac:dyDescent="0.25">
      <c r="A266" s="52" t="s">
        <v>259</v>
      </c>
      <c r="B266" s="46">
        <v>30013</v>
      </c>
      <c r="C266" s="47">
        <v>45769</v>
      </c>
      <c r="D266" s="46">
        <v>321300</v>
      </c>
      <c r="E266" s="46">
        <v>2</v>
      </c>
      <c r="F266" s="52" t="s">
        <v>1913</v>
      </c>
      <c r="G266" s="46">
        <v>6</v>
      </c>
      <c r="H266" s="52" t="s">
        <v>1642</v>
      </c>
      <c r="I266" s="46"/>
      <c r="J266" s="46">
        <v>0</v>
      </c>
      <c r="K266" s="46"/>
      <c r="L266" s="52" t="s">
        <v>717</v>
      </c>
      <c r="M266" s="55">
        <v>5000000</v>
      </c>
      <c r="N266" s="46">
        <v>8</v>
      </c>
      <c r="O266" s="46">
        <v>0</v>
      </c>
      <c r="P266" s="46">
        <v>2</v>
      </c>
      <c r="Q266" s="52">
        <v>12</v>
      </c>
      <c r="R266" s="55">
        <v>148625</v>
      </c>
      <c r="S266" s="46">
        <v>1</v>
      </c>
      <c r="T266" s="55">
        <v>85000</v>
      </c>
      <c r="U266" s="55">
        <f t="shared" si="26"/>
        <v>61700</v>
      </c>
      <c r="V266" s="46">
        <v>1</v>
      </c>
      <c r="W266" s="55">
        <v>729419</v>
      </c>
      <c r="X266" s="46">
        <v>1</v>
      </c>
      <c r="Y266" s="46">
        <v>1</v>
      </c>
      <c r="Z266" s="54">
        <v>0.20204235131493789</v>
      </c>
      <c r="AA266" s="15">
        <f t="shared" si="27"/>
        <v>5.0510587828734473E-2</v>
      </c>
      <c r="AB266" s="15">
        <f t="shared" si="28"/>
        <v>0.20204235131493789</v>
      </c>
      <c r="AC266" t="b">
        <f t="shared" si="29"/>
        <v>1</v>
      </c>
    </row>
    <row r="267" spans="1:29" x14ac:dyDescent="0.25">
      <c r="A267" s="52" t="s">
        <v>259</v>
      </c>
      <c r="B267" s="46">
        <v>30013</v>
      </c>
      <c r="C267" s="47">
        <v>45769</v>
      </c>
      <c r="D267" s="46">
        <v>311500</v>
      </c>
      <c r="E267" s="46">
        <v>2</v>
      </c>
      <c r="F267" s="52" t="s">
        <v>1914</v>
      </c>
      <c r="G267" s="46">
        <v>6</v>
      </c>
      <c r="H267" s="52" t="s">
        <v>1642</v>
      </c>
      <c r="I267" s="46"/>
      <c r="J267" s="46">
        <v>0</v>
      </c>
      <c r="K267" s="46"/>
      <c r="L267" s="52" t="s">
        <v>685</v>
      </c>
      <c r="M267" s="53">
        <v>7500000</v>
      </c>
      <c r="N267" s="46">
        <v>84</v>
      </c>
      <c r="O267" s="46">
        <v>0</v>
      </c>
      <c r="P267" s="46">
        <v>1</v>
      </c>
      <c r="Q267" s="52">
        <v>8</v>
      </c>
      <c r="R267" s="53">
        <v>133763</v>
      </c>
      <c r="S267" s="46">
        <v>1</v>
      </c>
      <c r="T267" s="55">
        <v>408750</v>
      </c>
      <c r="U267" s="55">
        <f t="shared" si="26"/>
        <v>86700</v>
      </c>
      <c r="V267" s="46">
        <v>1</v>
      </c>
      <c r="W267" s="53">
        <v>122626</v>
      </c>
      <c r="X267" s="46">
        <v>1</v>
      </c>
      <c r="Y267" s="46">
        <v>1</v>
      </c>
      <c r="Z267" s="54">
        <v>0.12362999017337425</v>
      </c>
      <c r="AA267" s="15">
        <f t="shared" si="27"/>
        <v>1.0302499181114521E-2</v>
      </c>
      <c r="AB267" s="15">
        <f t="shared" si="28"/>
        <v>0.12362999017337425</v>
      </c>
      <c r="AC267" t="b">
        <f t="shared" si="29"/>
        <v>1</v>
      </c>
    </row>
    <row r="268" spans="1:29" x14ac:dyDescent="0.25">
      <c r="A268" s="52" t="s">
        <v>259</v>
      </c>
      <c r="B268" s="46">
        <v>30013</v>
      </c>
      <c r="C268" s="47">
        <v>45769</v>
      </c>
      <c r="D268" s="46">
        <v>311500</v>
      </c>
      <c r="E268" s="46">
        <v>2</v>
      </c>
      <c r="F268" s="52" t="s">
        <v>1915</v>
      </c>
      <c r="G268" s="46">
        <v>6</v>
      </c>
      <c r="H268" s="52" t="s">
        <v>784</v>
      </c>
      <c r="I268" s="46"/>
      <c r="J268" s="46">
        <v>0</v>
      </c>
      <c r="K268" s="46"/>
      <c r="L268" s="52" t="s">
        <v>693</v>
      </c>
      <c r="M268" s="53">
        <v>3700000</v>
      </c>
      <c r="N268" s="46">
        <v>72</v>
      </c>
      <c r="O268" s="46">
        <v>0</v>
      </c>
      <c r="P268" s="46">
        <v>1</v>
      </c>
      <c r="Q268" s="52">
        <v>12</v>
      </c>
      <c r="R268" s="53">
        <v>65990</v>
      </c>
      <c r="S268" s="46">
        <v>1</v>
      </c>
      <c r="T268" s="55">
        <v>176500</v>
      </c>
      <c r="U268" s="55">
        <f t="shared" si="26"/>
        <v>48700</v>
      </c>
      <c r="V268" s="46">
        <v>1</v>
      </c>
      <c r="W268" s="53">
        <v>76773</v>
      </c>
      <c r="X268" s="46">
        <v>1</v>
      </c>
      <c r="Y268" s="46">
        <v>1</v>
      </c>
      <c r="Z268" s="54">
        <v>0.17492681850935726</v>
      </c>
      <c r="AA268" s="15">
        <f t="shared" si="27"/>
        <v>1.4577234875779771E-2</v>
      </c>
      <c r="AB268" s="15">
        <f t="shared" si="28"/>
        <v>0.17492681850935726</v>
      </c>
      <c r="AC268" t="b">
        <f t="shared" si="29"/>
        <v>1</v>
      </c>
    </row>
    <row r="269" spans="1:29" x14ac:dyDescent="0.25">
      <c r="A269" s="52" t="s">
        <v>259</v>
      </c>
      <c r="B269" s="46">
        <v>30013</v>
      </c>
      <c r="C269" s="47">
        <v>45769</v>
      </c>
      <c r="D269" s="46">
        <v>321600</v>
      </c>
      <c r="E269" s="46">
        <v>2</v>
      </c>
      <c r="F269" s="52" t="s">
        <v>1916</v>
      </c>
      <c r="G269" s="46">
        <v>6</v>
      </c>
      <c r="H269" s="52" t="s">
        <v>1642</v>
      </c>
      <c r="I269" s="46"/>
      <c r="J269" s="46">
        <v>0</v>
      </c>
      <c r="K269" s="46"/>
      <c r="L269" s="52" t="s">
        <v>685</v>
      </c>
      <c r="M269" s="53">
        <v>1500000</v>
      </c>
      <c r="N269" s="46">
        <v>12</v>
      </c>
      <c r="O269" s="46">
        <v>0</v>
      </c>
      <c r="P269" s="46">
        <v>1</v>
      </c>
      <c r="Q269" s="52">
        <v>10</v>
      </c>
      <c r="R269" s="53">
        <v>17835</v>
      </c>
      <c r="S269" s="46">
        <v>1</v>
      </c>
      <c r="T269" s="53">
        <v>0</v>
      </c>
      <c r="U269" s="53">
        <f t="shared" si="26"/>
        <v>26700</v>
      </c>
      <c r="V269" s="46">
        <v>1</v>
      </c>
      <c r="W269" s="53">
        <v>133196</v>
      </c>
      <c r="X269" s="46">
        <v>1</v>
      </c>
      <c r="Y269" s="46">
        <v>1</v>
      </c>
      <c r="Z269" s="54">
        <v>0.17651872294516485</v>
      </c>
      <c r="AA269" s="15">
        <f t="shared" si="27"/>
        <v>1.4709893578763738E-2</v>
      </c>
      <c r="AB269" s="15">
        <f t="shared" si="28"/>
        <v>0.17651872294516485</v>
      </c>
      <c r="AC269" t="b">
        <f t="shared" si="29"/>
        <v>1</v>
      </c>
    </row>
    <row r="270" spans="1:29" x14ac:dyDescent="0.25">
      <c r="A270" s="52" t="s">
        <v>259</v>
      </c>
      <c r="B270" s="46">
        <v>30013</v>
      </c>
      <c r="C270" s="47">
        <v>45769</v>
      </c>
      <c r="D270" s="46">
        <v>311500</v>
      </c>
      <c r="E270" s="46">
        <v>2</v>
      </c>
      <c r="F270" s="52" t="s">
        <v>1917</v>
      </c>
      <c r="G270" s="46">
        <v>6</v>
      </c>
      <c r="H270" s="52" t="s">
        <v>784</v>
      </c>
      <c r="I270" s="46"/>
      <c r="J270" s="46">
        <v>0</v>
      </c>
      <c r="K270" s="46"/>
      <c r="L270" s="52" t="s">
        <v>231</v>
      </c>
      <c r="M270" s="53">
        <v>6200000</v>
      </c>
      <c r="N270" s="46">
        <v>84</v>
      </c>
      <c r="O270" s="46">
        <v>0</v>
      </c>
      <c r="P270" s="46">
        <v>1</v>
      </c>
      <c r="Q270" s="52">
        <v>8</v>
      </c>
      <c r="R270" s="53">
        <v>110577</v>
      </c>
      <c r="S270" s="46">
        <v>1</v>
      </c>
      <c r="T270" s="53">
        <v>335500</v>
      </c>
      <c r="U270" s="53">
        <f t="shared" si="26"/>
        <v>73700</v>
      </c>
      <c r="V270" s="46">
        <v>1</v>
      </c>
      <c r="W270" s="53">
        <v>101371</v>
      </c>
      <c r="X270" s="46">
        <v>1</v>
      </c>
      <c r="Y270" s="46">
        <v>1</v>
      </c>
      <c r="Z270" s="54">
        <v>0.1236088079951482</v>
      </c>
      <c r="AA270" s="15">
        <f t="shared" si="27"/>
        <v>1.0300733999595683E-2</v>
      </c>
      <c r="AB270" s="15">
        <f t="shared" si="28"/>
        <v>0.1236088079951482</v>
      </c>
      <c r="AC270" t="b">
        <f t="shared" si="29"/>
        <v>1</v>
      </c>
    </row>
    <row r="271" spans="1:29" x14ac:dyDescent="0.25">
      <c r="A271" s="52" t="s">
        <v>259</v>
      </c>
      <c r="B271" s="46">
        <v>30013</v>
      </c>
      <c r="C271" s="47">
        <v>45769</v>
      </c>
      <c r="D271" s="46">
        <v>311500</v>
      </c>
      <c r="E271" s="46">
        <v>2</v>
      </c>
      <c r="F271" s="52" t="s">
        <v>1918</v>
      </c>
      <c r="G271" s="46">
        <v>6</v>
      </c>
      <c r="H271" s="52" t="s">
        <v>784</v>
      </c>
      <c r="I271" s="46"/>
      <c r="J271" s="46">
        <v>0</v>
      </c>
      <c r="K271" s="46"/>
      <c r="L271" s="52" t="s">
        <v>261</v>
      </c>
      <c r="M271" s="53">
        <v>5700000</v>
      </c>
      <c r="N271" s="46">
        <v>72</v>
      </c>
      <c r="O271" s="46">
        <v>0</v>
      </c>
      <c r="P271" s="46">
        <v>1</v>
      </c>
      <c r="Q271" s="52">
        <v>12</v>
      </c>
      <c r="R271" s="53">
        <v>101660</v>
      </c>
      <c r="S271" s="46">
        <v>1</v>
      </c>
      <c r="T271" s="53">
        <v>266500</v>
      </c>
      <c r="U271" s="53">
        <f t="shared" si="26"/>
        <v>68700</v>
      </c>
      <c r="V271" s="46">
        <v>1</v>
      </c>
      <c r="W271" s="53">
        <v>118272</v>
      </c>
      <c r="X271" s="46">
        <v>1</v>
      </c>
      <c r="Y271" s="46">
        <v>1</v>
      </c>
      <c r="Z271" s="54">
        <v>0.17403280595418541</v>
      </c>
      <c r="AA271" s="15">
        <f t="shared" si="27"/>
        <v>1.450273382951545E-2</v>
      </c>
      <c r="AB271" s="15">
        <f t="shared" si="28"/>
        <v>0.17403280595418541</v>
      </c>
      <c r="AC271" t="b">
        <f t="shared" si="29"/>
        <v>1</v>
      </c>
    </row>
    <row r="272" spans="1:29" x14ac:dyDescent="0.25">
      <c r="A272" s="52" t="s">
        <v>259</v>
      </c>
      <c r="B272" s="46">
        <v>30013</v>
      </c>
      <c r="C272" s="47">
        <v>45769</v>
      </c>
      <c r="D272" s="46">
        <v>311500</v>
      </c>
      <c r="E272" s="46">
        <v>2</v>
      </c>
      <c r="F272" s="52" t="s">
        <v>1919</v>
      </c>
      <c r="G272" s="46">
        <v>6</v>
      </c>
      <c r="H272" s="52" t="s">
        <v>784</v>
      </c>
      <c r="I272" s="46"/>
      <c r="J272" s="46">
        <v>0</v>
      </c>
      <c r="K272" s="46"/>
      <c r="L272" s="52" t="s">
        <v>261</v>
      </c>
      <c r="M272" s="53">
        <v>2250000</v>
      </c>
      <c r="N272" s="46">
        <v>48</v>
      </c>
      <c r="O272" s="46">
        <v>0</v>
      </c>
      <c r="P272" s="46">
        <v>1</v>
      </c>
      <c r="Q272" s="52">
        <v>13</v>
      </c>
      <c r="R272" s="53">
        <v>66881</v>
      </c>
      <c r="S272" s="46">
        <v>1</v>
      </c>
      <c r="T272" s="53">
        <v>77500</v>
      </c>
      <c r="U272" s="53">
        <f t="shared" si="26"/>
        <v>34200</v>
      </c>
      <c r="V272" s="46">
        <v>1</v>
      </c>
      <c r="W272" s="53">
        <v>63142</v>
      </c>
      <c r="X272" s="46">
        <v>1</v>
      </c>
      <c r="Y272" s="46">
        <v>1</v>
      </c>
      <c r="Z272" s="54">
        <v>0.20097784412258846</v>
      </c>
      <c r="AA272" s="15">
        <f t="shared" si="27"/>
        <v>1.6748153676882371E-2</v>
      </c>
      <c r="AB272" s="15">
        <f t="shared" si="28"/>
        <v>0.20097784412258846</v>
      </c>
      <c r="AC272" t="b">
        <f t="shared" si="29"/>
        <v>1</v>
      </c>
    </row>
    <row r="273" spans="1:29" x14ac:dyDescent="0.25">
      <c r="A273" s="52" t="s">
        <v>259</v>
      </c>
      <c r="B273" s="46">
        <v>30013</v>
      </c>
      <c r="C273" s="47">
        <v>45769</v>
      </c>
      <c r="D273" s="46">
        <v>311500</v>
      </c>
      <c r="E273" s="46">
        <v>2</v>
      </c>
      <c r="F273" s="52" t="s">
        <v>1920</v>
      </c>
      <c r="G273" s="46">
        <v>6</v>
      </c>
      <c r="H273" s="52" t="s">
        <v>1642</v>
      </c>
      <c r="I273" s="46"/>
      <c r="J273" s="46">
        <v>0</v>
      </c>
      <c r="K273" s="46"/>
      <c r="L273" s="52" t="s">
        <v>231</v>
      </c>
      <c r="M273" s="53">
        <v>8780000</v>
      </c>
      <c r="N273" s="46">
        <v>84</v>
      </c>
      <c r="O273" s="46">
        <v>0</v>
      </c>
      <c r="P273" s="46">
        <v>1</v>
      </c>
      <c r="Q273" s="52">
        <v>8</v>
      </c>
      <c r="R273" s="53">
        <v>156591</v>
      </c>
      <c r="S273" s="46">
        <v>1</v>
      </c>
      <c r="T273" s="53">
        <v>475950</v>
      </c>
      <c r="U273" s="53">
        <f t="shared" si="26"/>
        <v>99500</v>
      </c>
      <c r="V273" s="46">
        <v>1</v>
      </c>
      <c r="W273" s="53">
        <v>143554</v>
      </c>
      <c r="X273" s="46">
        <v>1</v>
      </c>
      <c r="Y273" s="46">
        <v>1</v>
      </c>
      <c r="Z273" s="54">
        <v>0.12344170522835229</v>
      </c>
      <c r="AA273" s="15">
        <f t="shared" si="27"/>
        <v>1.0286808769029357E-2</v>
      </c>
      <c r="AB273" s="15">
        <f t="shared" si="28"/>
        <v>0.12344170522835229</v>
      </c>
      <c r="AC273" t="b">
        <f t="shared" si="29"/>
        <v>1</v>
      </c>
    </row>
    <row r="274" spans="1:29" x14ac:dyDescent="0.25">
      <c r="A274" s="52" t="s">
        <v>259</v>
      </c>
      <c r="B274" s="46">
        <v>30013</v>
      </c>
      <c r="C274" s="47">
        <v>45769</v>
      </c>
      <c r="D274" s="46">
        <v>311500</v>
      </c>
      <c r="E274" s="46">
        <v>2</v>
      </c>
      <c r="F274" s="52" t="s">
        <v>1921</v>
      </c>
      <c r="G274" s="46">
        <v>6</v>
      </c>
      <c r="H274" s="52" t="s">
        <v>784</v>
      </c>
      <c r="I274" s="46"/>
      <c r="J274" s="46">
        <v>0</v>
      </c>
      <c r="K274" s="46"/>
      <c r="L274" s="52" t="s">
        <v>261</v>
      </c>
      <c r="M274" s="53">
        <v>3000000</v>
      </c>
      <c r="N274" s="46">
        <v>36</v>
      </c>
      <c r="O274" s="46">
        <v>0</v>
      </c>
      <c r="P274" s="46">
        <v>1</v>
      </c>
      <c r="Q274" s="52">
        <v>12</v>
      </c>
      <c r="R274" s="53">
        <v>89175</v>
      </c>
      <c r="S274" s="46">
        <v>1</v>
      </c>
      <c r="T274" s="53">
        <v>77500</v>
      </c>
      <c r="U274" s="53">
        <f t="shared" si="26"/>
        <v>41700</v>
      </c>
      <c r="V274" s="46">
        <v>1</v>
      </c>
      <c r="W274" s="53">
        <v>102924</v>
      </c>
      <c r="X274" s="46">
        <v>1</v>
      </c>
      <c r="Y274" s="46">
        <v>1</v>
      </c>
      <c r="Z274" s="54">
        <v>0.19420258016823416</v>
      </c>
      <c r="AA274" s="15">
        <f t="shared" si="27"/>
        <v>1.6183548347352847E-2</v>
      </c>
      <c r="AB274" s="15">
        <f t="shared" si="28"/>
        <v>0.19420258016823416</v>
      </c>
      <c r="AC274" t="b">
        <f t="shared" si="29"/>
        <v>1</v>
      </c>
    </row>
    <row r="275" spans="1:29" x14ac:dyDescent="0.25">
      <c r="A275" s="52" t="s">
        <v>259</v>
      </c>
      <c r="B275" s="46">
        <v>30013</v>
      </c>
      <c r="C275" s="47">
        <v>45769</v>
      </c>
      <c r="D275" s="46">
        <v>311500</v>
      </c>
      <c r="E275" s="46">
        <v>2</v>
      </c>
      <c r="F275" s="52" t="s">
        <v>1922</v>
      </c>
      <c r="G275" s="46">
        <v>6</v>
      </c>
      <c r="H275" s="52" t="s">
        <v>784</v>
      </c>
      <c r="I275" s="46"/>
      <c r="J275" s="46">
        <v>0</v>
      </c>
      <c r="K275" s="46"/>
      <c r="L275" s="52" t="s">
        <v>270</v>
      </c>
      <c r="M275" s="53">
        <v>2000000</v>
      </c>
      <c r="N275" s="46">
        <v>36</v>
      </c>
      <c r="O275" s="46">
        <v>0</v>
      </c>
      <c r="P275" s="46">
        <v>1</v>
      </c>
      <c r="Q275" s="52">
        <v>12</v>
      </c>
      <c r="R275" s="53">
        <v>59450</v>
      </c>
      <c r="S275" s="46">
        <v>1</v>
      </c>
      <c r="T275" s="53">
        <v>55000</v>
      </c>
      <c r="U275" s="53">
        <f t="shared" si="26"/>
        <v>31700</v>
      </c>
      <c r="V275" s="46">
        <v>1</v>
      </c>
      <c r="W275" s="53">
        <v>68616</v>
      </c>
      <c r="X275" s="46">
        <v>1</v>
      </c>
      <c r="Y275" s="46">
        <v>1</v>
      </c>
      <c r="Z275" s="54">
        <v>0.19703543655796024</v>
      </c>
      <c r="AA275" s="15">
        <f t="shared" si="27"/>
        <v>1.6419619713163355E-2</v>
      </c>
      <c r="AB275" s="15">
        <f t="shared" si="28"/>
        <v>0.19703543655796024</v>
      </c>
      <c r="AC275" t="b">
        <f t="shared" si="29"/>
        <v>1</v>
      </c>
    </row>
    <row r="276" spans="1:29" x14ac:dyDescent="0.25">
      <c r="A276" s="52" t="s">
        <v>259</v>
      </c>
      <c r="B276" s="46">
        <v>30013</v>
      </c>
      <c r="C276" s="47">
        <v>45769</v>
      </c>
      <c r="D276" s="46">
        <v>321600</v>
      </c>
      <c r="E276" s="46">
        <v>2</v>
      </c>
      <c r="F276" s="52" t="s">
        <v>1923</v>
      </c>
      <c r="G276" s="46">
        <v>6</v>
      </c>
      <c r="H276" s="52" t="s">
        <v>1642</v>
      </c>
      <c r="I276" s="46"/>
      <c r="J276" s="46">
        <v>0</v>
      </c>
      <c r="K276" s="46"/>
      <c r="L276" s="52" t="s">
        <v>261</v>
      </c>
      <c r="M276" s="53">
        <v>450000</v>
      </c>
      <c r="N276" s="46">
        <v>12</v>
      </c>
      <c r="O276" s="46">
        <v>0</v>
      </c>
      <c r="P276" s="46">
        <v>1</v>
      </c>
      <c r="Q276" s="52">
        <v>10</v>
      </c>
      <c r="R276" s="53">
        <v>2675</v>
      </c>
      <c r="S276" s="46">
        <v>1</v>
      </c>
      <c r="T276" s="53">
        <v>0</v>
      </c>
      <c r="U276" s="53">
        <v>21700</v>
      </c>
      <c r="V276" s="46">
        <v>1</v>
      </c>
      <c r="W276" s="53">
        <v>39959</v>
      </c>
      <c r="X276" s="46">
        <v>1</v>
      </c>
      <c r="Y276" s="46">
        <v>1</v>
      </c>
      <c r="Z276" s="54">
        <v>0.22599436948153737</v>
      </c>
      <c r="AA276" s="15">
        <f t="shared" si="27"/>
        <v>1.8832864123461447E-2</v>
      </c>
      <c r="AB276" s="15">
        <f t="shared" si="28"/>
        <v>0.22599436948153737</v>
      </c>
      <c r="AC276" t="b">
        <f t="shared" si="29"/>
        <v>1</v>
      </c>
    </row>
    <row r="277" spans="1:29" x14ac:dyDescent="0.25">
      <c r="A277" s="52" t="s">
        <v>259</v>
      </c>
      <c r="B277" s="46">
        <v>30013</v>
      </c>
      <c r="C277" s="47">
        <v>45769</v>
      </c>
      <c r="D277" s="46">
        <v>321600</v>
      </c>
      <c r="E277" s="46">
        <v>2</v>
      </c>
      <c r="F277" s="52" t="s">
        <v>1924</v>
      </c>
      <c r="G277" s="46">
        <v>6</v>
      </c>
      <c r="H277" s="52" t="s">
        <v>1925</v>
      </c>
      <c r="I277" s="46"/>
      <c r="J277" s="46">
        <v>0</v>
      </c>
      <c r="K277" s="46"/>
      <c r="L277" s="52" t="s">
        <v>261</v>
      </c>
      <c r="M277" s="53">
        <v>710000</v>
      </c>
      <c r="N277" s="46">
        <v>12</v>
      </c>
      <c r="O277" s="46">
        <v>0</v>
      </c>
      <c r="P277" s="46">
        <v>1</v>
      </c>
      <c r="Q277" s="52">
        <v>10</v>
      </c>
      <c r="R277" s="53">
        <v>8442</v>
      </c>
      <c r="S277" s="46">
        <v>1</v>
      </c>
      <c r="T277" s="53">
        <v>0</v>
      </c>
      <c r="U277" s="53">
        <v>21700</v>
      </c>
      <c r="V277" s="46">
        <v>1</v>
      </c>
      <c r="W277" s="53">
        <v>63046</v>
      </c>
      <c r="X277" s="46">
        <v>1</v>
      </c>
      <c r="Y277" s="46">
        <v>1</v>
      </c>
      <c r="Z277" s="54">
        <v>0.20207974194459594</v>
      </c>
      <c r="AA277" s="15">
        <f t="shared" si="27"/>
        <v>1.6839978495382994E-2</v>
      </c>
      <c r="AB277" s="15">
        <f t="shared" si="28"/>
        <v>0.20207974194459594</v>
      </c>
      <c r="AC277" t="b">
        <f t="shared" si="29"/>
        <v>1</v>
      </c>
    </row>
    <row r="278" spans="1:29" x14ac:dyDescent="0.25">
      <c r="A278" s="52" t="s">
        <v>259</v>
      </c>
      <c r="B278" s="46">
        <v>30013</v>
      </c>
      <c r="C278" s="47">
        <v>45769</v>
      </c>
      <c r="D278" s="46">
        <v>311500</v>
      </c>
      <c r="E278" s="46">
        <v>2</v>
      </c>
      <c r="F278" s="52" t="s">
        <v>1926</v>
      </c>
      <c r="G278" s="46">
        <v>6</v>
      </c>
      <c r="H278" s="52" t="s">
        <v>784</v>
      </c>
      <c r="I278" s="46"/>
      <c r="J278" s="46">
        <v>0</v>
      </c>
      <c r="K278" s="46"/>
      <c r="L278" s="52" t="s">
        <v>261</v>
      </c>
      <c r="M278" s="53">
        <v>3750000</v>
      </c>
      <c r="N278" s="46">
        <v>72</v>
      </c>
      <c r="O278" s="46">
        <v>0</v>
      </c>
      <c r="P278" s="46">
        <v>1</v>
      </c>
      <c r="Q278" s="52">
        <v>11</v>
      </c>
      <c r="R278" s="53">
        <v>66881</v>
      </c>
      <c r="S278" s="46">
        <v>1</v>
      </c>
      <c r="T278" s="53">
        <v>178750</v>
      </c>
      <c r="U278" s="53">
        <f t="shared" ref="U278:U283" si="30">M278/100+11700</f>
        <v>49200</v>
      </c>
      <c r="V278" s="46">
        <v>1</v>
      </c>
      <c r="W278" s="53">
        <v>75434</v>
      </c>
      <c r="X278" s="46">
        <v>1</v>
      </c>
      <c r="Y278" s="46">
        <v>1</v>
      </c>
      <c r="Z278" s="54">
        <v>0.16254525297783051</v>
      </c>
      <c r="AA278" s="15">
        <f t="shared" si="27"/>
        <v>1.3545437748152542E-2</v>
      </c>
      <c r="AB278" s="15">
        <f t="shared" si="28"/>
        <v>0.16254525297783051</v>
      </c>
      <c r="AC278" t="b">
        <f t="shared" si="29"/>
        <v>1</v>
      </c>
    </row>
    <row r="279" spans="1:29" x14ac:dyDescent="0.25">
      <c r="A279" s="52" t="s">
        <v>259</v>
      </c>
      <c r="B279" s="46">
        <v>30013</v>
      </c>
      <c r="C279" s="47">
        <v>45769</v>
      </c>
      <c r="D279" s="46">
        <v>311500</v>
      </c>
      <c r="E279" s="46">
        <v>2</v>
      </c>
      <c r="F279" s="52" t="s">
        <v>1927</v>
      </c>
      <c r="G279" s="46">
        <v>6</v>
      </c>
      <c r="H279" s="52" t="s">
        <v>784</v>
      </c>
      <c r="I279" s="46"/>
      <c r="J279" s="46">
        <v>0</v>
      </c>
      <c r="K279" s="46"/>
      <c r="L279" s="52" t="s">
        <v>261</v>
      </c>
      <c r="M279" s="53">
        <v>3800000</v>
      </c>
      <c r="N279" s="46">
        <v>60</v>
      </c>
      <c r="O279" s="46">
        <v>0</v>
      </c>
      <c r="P279" s="46">
        <v>1</v>
      </c>
      <c r="Q279" s="52">
        <v>13</v>
      </c>
      <c r="R279" s="53">
        <v>112955</v>
      </c>
      <c r="S279" s="46">
        <v>1</v>
      </c>
      <c r="T279" s="53">
        <v>152500</v>
      </c>
      <c r="U279" s="53">
        <f t="shared" si="30"/>
        <v>49700</v>
      </c>
      <c r="V279" s="46">
        <v>1</v>
      </c>
      <c r="W279" s="53">
        <v>91316</v>
      </c>
      <c r="X279" s="46">
        <v>1</v>
      </c>
      <c r="Y279" s="46">
        <v>1</v>
      </c>
      <c r="Z279" s="54">
        <v>0.19477050009124924</v>
      </c>
      <c r="AA279" s="15">
        <f t="shared" si="27"/>
        <v>1.6230875007604104E-2</v>
      </c>
      <c r="AB279" s="15">
        <f t="shared" si="28"/>
        <v>0.19477050009124924</v>
      </c>
      <c r="AC279" t="b">
        <f t="shared" si="29"/>
        <v>1</v>
      </c>
    </row>
    <row r="280" spans="1:29" x14ac:dyDescent="0.25">
      <c r="A280" s="52" t="s">
        <v>259</v>
      </c>
      <c r="B280" s="46">
        <v>30013</v>
      </c>
      <c r="C280" s="47">
        <v>45769</v>
      </c>
      <c r="D280" s="46">
        <v>311500</v>
      </c>
      <c r="E280" s="46">
        <v>2</v>
      </c>
      <c r="F280" s="52" t="s">
        <v>1928</v>
      </c>
      <c r="G280" s="46">
        <v>6</v>
      </c>
      <c r="H280" s="52" t="s">
        <v>1642</v>
      </c>
      <c r="I280" s="46"/>
      <c r="J280" s="46">
        <v>0</v>
      </c>
      <c r="K280" s="46"/>
      <c r="L280" s="52" t="s">
        <v>690</v>
      </c>
      <c r="M280" s="53">
        <v>5000000</v>
      </c>
      <c r="N280" s="46">
        <v>48</v>
      </c>
      <c r="O280" s="46">
        <v>0</v>
      </c>
      <c r="P280" s="46">
        <v>1</v>
      </c>
      <c r="Q280" s="52">
        <v>9</v>
      </c>
      <c r="R280" s="53">
        <v>148625</v>
      </c>
      <c r="S280" s="46">
        <v>1</v>
      </c>
      <c r="T280" s="53">
        <v>160000</v>
      </c>
      <c r="U280" s="53">
        <f t="shared" si="30"/>
        <v>61700</v>
      </c>
      <c r="V280" s="46">
        <v>1</v>
      </c>
      <c r="W280" s="53">
        <v>128503</v>
      </c>
      <c r="X280" s="46">
        <v>1</v>
      </c>
      <c r="Y280" s="46">
        <v>1</v>
      </c>
      <c r="Z280" s="54">
        <v>0.14853170394247581</v>
      </c>
      <c r="AA280" s="15">
        <f t="shared" si="27"/>
        <v>1.2377641995206317E-2</v>
      </c>
      <c r="AB280" s="15">
        <f t="shared" si="28"/>
        <v>0.14853170394247581</v>
      </c>
      <c r="AC280" t="b">
        <f t="shared" si="29"/>
        <v>1</v>
      </c>
    </row>
    <row r="281" spans="1:29" x14ac:dyDescent="0.25">
      <c r="A281" s="52" t="s">
        <v>259</v>
      </c>
      <c r="B281" s="46">
        <v>30013</v>
      </c>
      <c r="C281" s="47">
        <v>45769</v>
      </c>
      <c r="D281" s="46">
        <v>311500</v>
      </c>
      <c r="E281" s="46">
        <v>2</v>
      </c>
      <c r="F281" s="52" t="s">
        <v>1929</v>
      </c>
      <c r="G281" s="46">
        <v>6</v>
      </c>
      <c r="H281" s="52" t="s">
        <v>784</v>
      </c>
      <c r="I281" s="46"/>
      <c r="J281" s="46">
        <v>0</v>
      </c>
      <c r="K281" s="46"/>
      <c r="L281" s="52" t="s">
        <v>261</v>
      </c>
      <c r="M281" s="53">
        <v>2500000</v>
      </c>
      <c r="N281" s="46">
        <v>48</v>
      </c>
      <c r="O281" s="46">
        <v>0</v>
      </c>
      <c r="P281" s="46">
        <v>1</v>
      </c>
      <c r="Q281" s="52">
        <v>12</v>
      </c>
      <c r="R281" s="53">
        <v>74313</v>
      </c>
      <c r="S281" s="46">
        <v>1</v>
      </c>
      <c r="T281" s="53">
        <v>85000</v>
      </c>
      <c r="U281" s="53">
        <f t="shared" si="30"/>
        <v>36700</v>
      </c>
      <c r="V281" s="46">
        <v>1</v>
      </c>
      <c r="W281" s="53">
        <v>68653</v>
      </c>
      <c r="X281" s="46">
        <v>1</v>
      </c>
      <c r="Y281" s="46">
        <v>1</v>
      </c>
      <c r="Z281" s="54">
        <v>0.18805304726808938</v>
      </c>
      <c r="AA281" s="15">
        <f t="shared" si="27"/>
        <v>1.5671087272340782E-2</v>
      </c>
      <c r="AB281" s="15">
        <f t="shared" si="28"/>
        <v>0.18805304726808938</v>
      </c>
      <c r="AC281" t="b">
        <f t="shared" si="29"/>
        <v>1</v>
      </c>
    </row>
    <row r="282" spans="1:29" x14ac:dyDescent="0.25">
      <c r="A282" s="52" t="s">
        <v>259</v>
      </c>
      <c r="B282" s="46">
        <v>30013</v>
      </c>
      <c r="C282" s="47">
        <v>45769</v>
      </c>
      <c r="D282" s="46">
        <v>321600</v>
      </c>
      <c r="E282" s="46">
        <v>2</v>
      </c>
      <c r="F282" s="52" t="s">
        <v>1930</v>
      </c>
      <c r="G282" s="46">
        <v>6</v>
      </c>
      <c r="H282" s="52" t="s">
        <v>784</v>
      </c>
      <c r="I282" s="46"/>
      <c r="J282" s="46">
        <v>0</v>
      </c>
      <c r="K282" s="46"/>
      <c r="L282" s="52" t="s">
        <v>261</v>
      </c>
      <c r="M282" s="53">
        <v>1060000</v>
      </c>
      <c r="N282" s="46">
        <v>12</v>
      </c>
      <c r="O282" s="46">
        <v>0</v>
      </c>
      <c r="P282" s="46">
        <v>1</v>
      </c>
      <c r="Q282" s="52">
        <v>10</v>
      </c>
      <c r="R282" s="53">
        <v>12603</v>
      </c>
      <c r="S282" s="46">
        <v>1</v>
      </c>
      <c r="T282" s="53">
        <v>0</v>
      </c>
      <c r="U282" s="53">
        <f t="shared" si="30"/>
        <v>22300</v>
      </c>
      <c r="V282" s="46">
        <v>1</v>
      </c>
      <c r="W282" s="53">
        <v>94125</v>
      </c>
      <c r="X282" s="46">
        <v>1</v>
      </c>
      <c r="Y282" s="46">
        <v>1</v>
      </c>
      <c r="Z282" s="54">
        <v>0.18295279376625456</v>
      </c>
      <c r="AA282" s="15">
        <f t="shared" si="27"/>
        <v>1.5246066147187879E-2</v>
      </c>
      <c r="AB282" s="15">
        <f t="shared" si="28"/>
        <v>0.18295279376625456</v>
      </c>
      <c r="AC282" t="b">
        <f t="shared" si="29"/>
        <v>1</v>
      </c>
    </row>
    <row r="283" spans="1:29" x14ac:dyDescent="0.25">
      <c r="A283" s="52" t="s">
        <v>259</v>
      </c>
      <c r="B283" s="46">
        <v>30013</v>
      </c>
      <c r="C283" s="47">
        <v>45770</v>
      </c>
      <c r="D283" s="46">
        <v>311500</v>
      </c>
      <c r="E283" s="46">
        <v>2</v>
      </c>
      <c r="F283" s="52" t="s">
        <v>1931</v>
      </c>
      <c r="G283" s="46">
        <v>6</v>
      </c>
      <c r="H283" s="52" t="s">
        <v>784</v>
      </c>
      <c r="I283" s="46"/>
      <c r="J283" s="46">
        <v>0</v>
      </c>
      <c r="K283" s="46"/>
      <c r="L283" s="52" t="s">
        <v>261</v>
      </c>
      <c r="M283" s="53">
        <v>5800000</v>
      </c>
      <c r="N283" s="46">
        <v>72</v>
      </c>
      <c r="O283" s="46">
        <v>0</v>
      </c>
      <c r="P283" s="46">
        <v>1</v>
      </c>
      <c r="Q283" s="52">
        <v>12</v>
      </c>
      <c r="R283" s="53">
        <v>103443</v>
      </c>
      <c r="S283" s="46">
        <v>1</v>
      </c>
      <c r="T283" s="53">
        <v>271000</v>
      </c>
      <c r="U283" s="53">
        <f t="shared" si="30"/>
        <v>69700</v>
      </c>
      <c r="V283" s="46">
        <v>1</v>
      </c>
      <c r="W283" s="53">
        <v>120347</v>
      </c>
      <c r="X283" s="46">
        <v>1</v>
      </c>
      <c r="Y283" s="46">
        <v>1</v>
      </c>
      <c r="Z283" s="54">
        <v>0.1740044675019721</v>
      </c>
      <c r="AA283" s="15">
        <f t="shared" si="27"/>
        <v>1.4500372291831008E-2</v>
      </c>
      <c r="AB283" s="15">
        <f t="shared" si="28"/>
        <v>0.1740044675019721</v>
      </c>
      <c r="AC283" t="b">
        <f t="shared" si="29"/>
        <v>1</v>
      </c>
    </row>
    <row r="284" spans="1:29" x14ac:dyDescent="0.25">
      <c r="A284" s="52" t="s">
        <v>259</v>
      </c>
      <c r="B284" s="46">
        <v>30013</v>
      </c>
      <c r="C284" s="47">
        <v>45770</v>
      </c>
      <c r="D284" s="46">
        <v>321600</v>
      </c>
      <c r="E284" s="46">
        <v>2</v>
      </c>
      <c r="F284" s="52" t="s">
        <v>1932</v>
      </c>
      <c r="G284" s="46">
        <v>6</v>
      </c>
      <c r="H284" s="52" t="s">
        <v>784</v>
      </c>
      <c r="I284" s="46"/>
      <c r="J284" s="46">
        <v>0</v>
      </c>
      <c r="K284" s="46"/>
      <c r="L284" s="52" t="s">
        <v>261</v>
      </c>
      <c r="M284" s="53">
        <v>660000</v>
      </c>
      <c r="N284" s="46">
        <v>12</v>
      </c>
      <c r="O284" s="46">
        <v>0</v>
      </c>
      <c r="P284" s="46">
        <v>1</v>
      </c>
      <c r="Q284" s="52">
        <v>10</v>
      </c>
      <c r="R284" s="53">
        <v>7847</v>
      </c>
      <c r="S284" s="46">
        <v>1</v>
      </c>
      <c r="T284" s="53">
        <v>0</v>
      </c>
      <c r="U284" s="53">
        <v>21700</v>
      </c>
      <c r="V284" s="46">
        <v>1</v>
      </c>
      <c r="W284" s="53">
        <v>58606</v>
      </c>
      <c r="X284" s="46">
        <v>1</v>
      </c>
      <c r="Y284" s="46">
        <v>1</v>
      </c>
      <c r="Z284" s="54">
        <v>0.20676439741596772</v>
      </c>
      <c r="AA284" s="15">
        <f t="shared" si="27"/>
        <v>1.7230366451330643E-2</v>
      </c>
      <c r="AB284" s="15">
        <f t="shared" si="28"/>
        <v>0.20676439741596772</v>
      </c>
      <c r="AC284" t="b">
        <f t="shared" si="29"/>
        <v>1</v>
      </c>
    </row>
    <row r="285" spans="1:29" x14ac:dyDescent="0.25">
      <c r="A285" s="52" t="s">
        <v>259</v>
      </c>
      <c r="B285" s="46">
        <v>30013</v>
      </c>
      <c r="C285" s="47">
        <v>45770</v>
      </c>
      <c r="D285" s="46">
        <v>311500</v>
      </c>
      <c r="E285" s="46">
        <v>2</v>
      </c>
      <c r="F285" s="52" t="s">
        <v>1933</v>
      </c>
      <c r="G285" s="46">
        <v>6</v>
      </c>
      <c r="H285" s="52" t="s">
        <v>1642</v>
      </c>
      <c r="I285" s="46"/>
      <c r="J285" s="46">
        <v>0</v>
      </c>
      <c r="K285" s="46"/>
      <c r="L285" s="52" t="s">
        <v>700</v>
      </c>
      <c r="M285" s="53">
        <v>6000000</v>
      </c>
      <c r="N285" s="46">
        <v>72</v>
      </c>
      <c r="O285" s="46">
        <v>0</v>
      </c>
      <c r="P285" s="46">
        <v>1</v>
      </c>
      <c r="Q285" s="52">
        <v>12</v>
      </c>
      <c r="R285" s="53">
        <v>107010</v>
      </c>
      <c r="S285" s="46">
        <v>1</v>
      </c>
      <c r="T285" s="53">
        <v>280000</v>
      </c>
      <c r="U285" s="53">
        <f t="shared" ref="U285:U290" si="31">M285/100+11700</f>
        <v>71700</v>
      </c>
      <c r="V285" s="46">
        <v>1</v>
      </c>
      <c r="W285" s="53">
        <v>124497</v>
      </c>
      <c r="X285" s="46">
        <v>1</v>
      </c>
      <c r="Y285" s="46">
        <v>1</v>
      </c>
      <c r="Z285" s="54">
        <v>0.17395070495049128</v>
      </c>
      <c r="AA285" s="15">
        <f t="shared" si="27"/>
        <v>1.4495892079207607E-2</v>
      </c>
      <c r="AB285" s="15">
        <f t="shared" si="28"/>
        <v>0.17395070495049128</v>
      </c>
      <c r="AC285" t="b">
        <f t="shared" si="29"/>
        <v>1</v>
      </c>
    </row>
    <row r="286" spans="1:29" x14ac:dyDescent="0.25">
      <c r="A286" s="52" t="s">
        <v>259</v>
      </c>
      <c r="B286" s="46">
        <v>30013</v>
      </c>
      <c r="C286" s="47">
        <v>45770</v>
      </c>
      <c r="D286" s="46">
        <v>311500</v>
      </c>
      <c r="E286" s="46">
        <v>2</v>
      </c>
      <c r="F286" s="52" t="s">
        <v>1934</v>
      </c>
      <c r="G286" s="46">
        <v>6</v>
      </c>
      <c r="H286" s="52" t="s">
        <v>1642</v>
      </c>
      <c r="I286" s="46"/>
      <c r="J286" s="46">
        <v>0</v>
      </c>
      <c r="K286" s="46"/>
      <c r="L286" s="52" t="s">
        <v>693</v>
      </c>
      <c r="M286" s="53">
        <v>10000000</v>
      </c>
      <c r="N286" s="46">
        <v>84</v>
      </c>
      <c r="O286" s="46">
        <v>0</v>
      </c>
      <c r="P286" s="46">
        <v>1</v>
      </c>
      <c r="Q286" s="52">
        <v>10</v>
      </c>
      <c r="R286" s="53">
        <v>178350</v>
      </c>
      <c r="S286" s="46">
        <v>1</v>
      </c>
      <c r="T286" s="53">
        <v>540000</v>
      </c>
      <c r="U286" s="53">
        <f t="shared" si="31"/>
        <v>111700</v>
      </c>
      <c r="V286" s="46">
        <v>1</v>
      </c>
      <c r="W286" s="53">
        <v>175940</v>
      </c>
      <c r="X286" s="46">
        <v>1</v>
      </c>
      <c r="Y286" s="46">
        <v>1</v>
      </c>
      <c r="Z286" s="54">
        <v>0.14803335394980047</v>
      </c>
      <c r="AA286" s="15">
        <f t="shared" si="27"/>
        <v>1.2336112829150038E-2</v>
      </c>
      <c r="AB286" s="15">
        <f t="shared" si="28"/>
        <v>0.14803335394980047</v>
      </c>
      <c r="AC286" t="b">
        <f t="shared" si="29"/>
        <v>1</v>
      </c>
    </row>
    <row r="287" spans="1:29" x14ac:dyDescent="0.25">
      <c r="A287" s="52" t="s">
        <v>259</v>
      </c>
      <c r="B287" s="46">
        <v>30013</v>
      </c>
      <c r="C287" s="47">
        <v>45770</v>
      </c>
      <c r="D287" s="46">
        <v>311500</v>
      </c>
      <c r="E287" s="46">
        <v>2</v>
      </c>
      <c r="F287" s="52" t="s">
        <v>1935</v>
      </c>
      <c r="G287" s="46">
        <v>6</v>
      </c>
      <c r="H287" s="52" t="s">
        <v>784</v>
      </c>
      <c r="I287" s="46"/>
      <c r="J287" s="46">
        <v>0</v>
      </c>
      <c r="K287" s="46"/>
      <c r="L287" s="52" t="s">
        <v>261</v>
      </c>
      <c r="M287" s="53">
        <v>2300000</v>
      </c>
      <c r="N287" s="46">
        <v>48</v>
      </c>
      <c r="O287" s="46">
        <v>0</v>
      </c>
      <c r="P287" s="46">
        <v>1</v>
      </c>
      <c r="Q287" s="52">
        <v>12</v>
      </c>
      <c r="R287" s="53">
        <v>68368</v>
      </c>
      <c r="S287" s="46">
        <v>1</v>
      </c>
      <c r="T287" s="53">
        <v>79000</v>
      </c>
      <c r="U287" s="53">
        <f t="shared" si="31"/>
        <v>34700</v>
      </c>
      <c r="V287" s="46">
        <v>1</v>
      </c>
      <c r="W287" s="53">
        <v>63161</v>
      </c>
      <c r="X287" s="46">
        <v>1</v>
      </c>
      <c r="Y287" s="46">
        <v>1</v>
      </c>
      <c r="Z287" s="54">
        <v>0.18851883154649757</v>
      </c>
      <c r="AA287" s="15">
        <f t="shared" si="27"/>
        <v>1.5709902628874797E-2</v>
      </c>
      <c r="AB287" s="15">
        <f t="shared" si="28"/>
        <v>0.18851883154649757</v>
      </c>
      <c r="AC287" t="b">
        <f t="shared" si="29"/>
        <v>1</v>
      </c>
    </row>
    <row r="288" spans="1:29" x14ac:dyDescent="0.25">
      <c r="A288" s="52" t="s">
        <v>259</v>
      </c>
      <c r="B288" s="46">
        <v>30013</v>
      </c>
      <c r="C288" s="47">
        <v>45770</v>
      </c>
      <c r="D288" s="46">
        <v>311500</v>
      </c>
      <c r="E288" s="46">
        <v>2</v>
      </c>
      <c r="F288" s="52" t="s">
        <v>1936</v>
      </c>
      <c r="G288" s="46">
        <v>6</v>
      </c>
      <c r="H288" s="52" t="s">
        <v>784</v>
      </c>
      <c r="I288" s="46"/>
      <c r="J288" s="46">
        <v>0</v>
      </c>
      <c r="K288" s="46"/>
      <c r="L288" s="52" t="s">
        <v>261</v>
      </c>
      <c r="M288" s="53">
        <v>10000000</v>
      </c>
      <c r="N288" s="46">
        <v>84</v>
      </c>
      <c r="O288" s="46">
        <v>0</v>
      </c>
      <c r="P288" s="46">
        <v>1</v>
      </c>
      <c r="Q288" s="52">
        <v>10</v>
      </c>
      <c r="R288" s="53">
        <v>178350</v>
      </c>
      <c r="S288" s="46">
        <v>1</v>
      </c>
      <c r="T288" s="53">
        <v>540000</v>
      </c>
      <c r="U288" s="53">
        <f t="shared" si="31"/>
        <v>111700</v>
      </c>
      <c r="V288" s="46">
        <v>1</v>
      </c>
      <c r="W288" s="53">
        <v>175940</v>
      </c>
      <c r="X288" s="46">
        <v>1</v>
      </c>
      <c r="Y288" s="46">
        <v>1</v>
      </c>
      <c r="Z288" s="54">
        <v>0.14803335394980047</v>
      </c>
      <c r="AA288" s="15">
        <f t="shared" si="27"/>
        <v>1.2336112829150038E-2</v>
      </c>
      <c r="AB288" s="15">
        <f t="shared" si="28"/>
        <v>0.14803335394980047</v>
      </c>
      <c r="AC288" t="b">
        <f t="shared" si="29"/>
        <v>1</v>
      </c>
    </row>
    <row r="289" spans="1:29" x14ac:dyDescent="0.25">
      <c r="A289" s="52" t="s">
        <v>259</v>
      </c>
      <c r="B289" s="46">
        <v>30013</v>
      </c>
      <c r="C289" s="47">
        <v>45770</v>
      </c>
      <c r="D289" s="46">
        <v>311500</v>
      </c>
      <c r="E289" s="46">
        <v>2</v>
      </c>
      <c r="F289" s="52" t="s">
        <v>1937</v>
      </c>
      <c r="G289" s="46">
        <v>6</v>
      </c>
      <c r="H289" s="52" t="s">
        <v>1642</v>
      </c>
      <c r="I289" s="46"/>
      <c r="J289" s="46">
        <v>0</v>
      </c>
      <c r="K289" s="46"/>
      <c r="L289" s="52" t="s">
        <v>686</v>
      </c>
      <c r="M289" s="53">
        <v>10000000</v>
      </c>
      <c r="N289" s="46">
        <v>60</v>
      </c>
      <c r="O289" s="46">
        <v>0</v>
      </c>
      <c r="P289" s="46">
        <v>1</v>
      </c>
      <c r="Q289" s="52">
        <v>9</v>
      </c>
      <c r="R289" s="53">
        <v>297250</v>
      </c>
      <c r="S289" s="46">
        <v>1</v>
      </c>
      <c r="T289" s="53">
        <v>390000</v>
      </c>
      <c r="U289" s="53">
        <f t="shared" si="31"/>
        <v>111700</v>
      </c>
      <c r="V289" s="46">
        <v>1</v>
      </c>
      <c r="W289" s="53">
        <v>215936</v>
      </c>
      <c r="X289" s="46">
        <v>1</v>
      </c>
      <c r="Y289" s="46">
        <v>1</v>
      </c>
      <c r="Z289" s="54">
        <v>0.14385566902641317</v>
      </c>
      <c r="AA289" s="15">
        <f t="shared" si="27"/>
        <v>1.1987972418867763E-2</v>
      </c>
      <c r="AB289" s="15">
        <f t="shared" si="28"/>
        <v>0.14385566902641317</v>
      </c>
      <c r="AC289" t="b">
        <f t="shared" si="29"/>
        <v>1</v>
      </c>
    </row>
    <row r="290" spans="1:29" x14ac:dyDescent="0.25">
      <c r="A290" s="52" t="s">
        <v>259</v>
      </c>
      <c r="B290" s="46">
        <v>30013</v>
      </c>
      <c r="C290" s="47">
        <v>45770</v>
      </c>
      <c r="D290" s="46">
        <v>321300</v>
      </c>
      <c r="E290" s="46">
        <v>2</v>
      </c>
      <c r="F290" s="52" t="s">
        <v>1938</v>
      </c>
      <c r="G290" s="46">
        <v>6</v>
      </c>
      <c r="H290" s="52" t="s">
        <v>1642</v>
      </c>
      <c r="I290" s="46"/>
      <c r="J290" s="46">
        <v>0</v>
      </c>
      <c r="K290" s="46"/>
      <c r="L290" s="52" t="s">
        <v>686</v>
      </c>
      <c r="M290" s="53">
        <v>8700000</v>
      </c>
      <c r="N290" s="46">
        <v>24</v>
      </c>
      <c r="O290" s="46">
        <v>0</v>
      </c>
      <c r="P290" s="46">
        <v>1</v>
      </c>
      <c r="Q290" s="52">
        <v>10</v>
      </c>
      <c r="R290" s="53">
        <v>258608</v>
      </c>
      <c r="S290" s="46">
        <v>1</v>
      </c>
      <c r="T290" s="53">
        <v>145500</v>
      </c>
      <c r="U290" s="53">
        <f t="shared" si="31"/>
        <v>98700</v>
      </c>
      <c r="V290" s="46">
        <v>1</v>
      </c>
      <c r="W290" s="53">
        <v>409092</v>
      </c>
      <c r="X290" s="46">
        <v>1</v>
      </c>
      <c r="Y290" s="46">
        <v>1</v>
      </c>
      <c r="Z290" s="54">
        <v>0.17963273146358175</v>
      </c>
      <c r="AA290" s="15">
        <f t="shared" si="27"/>
        <v>1.4969394288631812E-2</v>
      </c>
      <c r="AB290" s="15">
        <f t="shared" si="28"/>
        <v>0.17963273146358175</v>
      </c>
      <c r="AC290" t="b">
        <f t="shared" si="29"/>
        <v>1</v>
      </c>
    </row>
    <row r="291" spans="1:29" x14ac:dyDescent="0.25">
      <c r="A291" s="52" t="s">
        <v>259</v>
      </c>
      <c r="B291" s="46">
        <v>30013</v>
      </c>
      <c r="C291" s="47">
        <v>45770</v>
      </c>
      <c r="D291" s="46">
        <v>321300</v>
      </c>
      <c r="E291" s="46">
        <v>2</v>
      </c>
      <c r="F291" s="52" t="s">
        <v>1939</v>
      </c>
      <c r="G291" s="46">
        <v>6</v>
      </c>
      <c r="H291" s="52" t="s">
        <v>784</v>
      </c>
      <c r="I291" s="46"/>
      <c r="J291" s="46">
        <v>0</v>
      </c>
      <c r="K291" s="46"/>
      <c r="L291" s="52" t="s">
        <v>266</v>
      </c>
      <c r="M291" s="55">
        <v>850000</v>
      </c>
      <c r="N291" s="46">
        <v>9</v>
      </c>
      <c r="O291" s="46">
        <v>0</v>
      </c>
      <c r="P291" s="46">
        <v>1</v>
      </c>
      <c r="Q291" s="52">
        <v>1.5</v>
      </c>
      <c r="R291" s="55">
        <v>0</v>
      </c>
      <c r="S291" s="46">
        <v>1</v>
      </c>
      <c r="T291" s="55">
        <v>0</v>
      </c>
      <c r="U291" s="55">
        <v>21700</v>
      </c>
      <c r="V291" s="46">
        <v>1</v>
      </c>
      <c r="W291" s="55">
        <v>95148</v>
      </c>
      <c r="X291" s="46">
        <v>1</v>
      </c>
      <c r="Y291" s="46">
        <v>1</v>
      </c>
      <c r="Z291" s="54">
        <v>8.0505075456277858E-2</v>
      </c>
      <c r="AA291" s="15">
        <f t="shared" si="27"/>
        <v>6.7087562880231554E-3</v>
      </c>
      <c r="AB291" s="15">
        <f t="shared" si="28"/>
        <v>8.0505075456277858E-2</v>
      </c>
      <c r="AC291" t="b">
        <f t="shared" si="29"/>
        <v>1</v>
      </c>
    </row>
    <row r="292" spans="1:29" x14ac:dyDescent="0.25">
      <c r="A292" s="52" t="s">
        <v>259</v>
      </c>
      <c r="B292" s="46">
        <v>30013</v>
      </c>
      <c r="C292" s="47">
        <v>45771</v>
      </c>
      <c r="D292" s="46">
        <v>311500</v>
      </c>
      <c r="E292" s="46">
        <v>2</v>
      </c>
      <c r="F292" s="52" t="s">
        <v>1940</v>
      </c>
      <c r="G292" s="46">
        <v>6</v>
      </c>
      <c r="H292" s="52" t="s">
        <v>1642</v>
      </c>
      <c r="I292" s="46"/>
      <c r="J292" s="46">
        <v>0</v>
      </c>
      <c r="K292" s="46"/>
      <c r="L292" s="52" t="s">
        <v>698</v>
      </c>
      <c r="M292" s="53">
        <v>3210000</v>
      </c>
      <c r="N292" s="46">
        <v>60</v>
      </c>
      <c r="O292" s="46">
        <v>0</v>
      </c>
      <c r="P292" s="46">
        <v>1</v>
      </c>
      <c r="Q292" s="52">
        <v>8</v>
      </c>
      <c r="R292" s="53">
        <v>95417</v>
      </c>
      <c r="S292" s="46">
        <v>1</v>
      </c>
      <c r="T292" s="53">
        <v>130375</v>
      </c>
      <c r="U292" s="53">
        <f>M292/100+11700</f>
        <v>43800</v>
      </c>
      <c r="V292" s="46">
        <v>1</v>
      </c>
      <c r="W292" s="53">
        <v>67435</v>
      </c>
      <c r="X292" s="46">
        <v>1</v>
      </c>
      <c r="Y292" s="46">
        <v>1</v>
      </c>
      <c r="Z292" s="54">
        <v>0.13352430294244139</v>
      </c>
      <c r="AA292" s="15">
        <f t="shared" si="27"/>
        <v>1.112702524520345E-2</v>
      </c>
      <c r="AB292" s="15">
        <f t="shared" si="28"/>
        <v>0.13352430294244139</v>
      </c>
      <c r="AC292" t="b">
        <f t="shared" si="29"/>
        <v>1</v>
      </c>
    </row>
    <row r="293" spans="1:29" x14ac:dyDescent="0.25">
      <c r="A293" s="52" t="s">
        <v>259</v>
      </c>
      <c r="B293" s="46">
        <v>30013</v>
      </c>
      <c r="C293" s="47">
        <v>45771</v>
      </c>
      <c r="D293" s="46">
        <v>311500</v>
      </c>
      <c r="E293" s="46">
        <v>2</v>
      </c>
      <c r="F293" s="52" t="s">
        <v>1941</v>
      </c>
      <c r="G293" s="46">
        <v>6</v>
      </c>
      <c r="H293" s="52" t="s">
        <v>1642</v>
      </c>
      <c r="I293" s="46"/>
      <c r="J293" s="46">
        <v>0</v>
      </c>
      <c r="K293" s="46"/>
      <c r="L293" s="52" t="s">
        <v>231</v>
      </c>
      <c r="M293" s="53">
        <v>2500000</v>
      </c>
      <c r="N293" s="46">
        <v>48</v>
      </c>
      <c r="O293" s="46">
        <v>0</v>
      </c>
      <c r="P293" s="46">
        <v>1</v>
      </c>
      <c r="Q293" s="52">
        <v>8</v>
      </c>
      <c r="R293" s="53">
        <v>74313</v>
      </c>
      <c r="S293" s="46">
        <v>1</v>
      </c>
      <c r="T293" s="53">
        <v>85000</v>
      </c>
      <c r="U293" s="53">
        <f>M293/100+11700</f>
        <v>36700</v>
      </c>
      <c r="V293" s="46">
        <v>1</v>
      </c>
      <c r="W293" s="53">
        <v>62822</v>
      </c>
      <c r="X293" s="46">
        <v>1</v>
      </c>
      <c r="Y293" s="46">
        <v>1</v>
      </c>
      <c r="Z293" s="54">
        <v>0.13880654771819706</v>
      </c>
      <c r="AA293" s="15">
        <f t="shared" si="27"/>
        <v>1.1567212309849754E-2</v>
      </c>
      <c r="AB293" s="15">
        <f t="shared" si="28"/>
        <v>0.13880654771819706</v>
      </c>
      <c r="AC293" t="b">
        <f t="shared" si="29"/>
        <v>1</v>
      </c>
    </row>
    <row r="294" spans="1:29" x14ac:dyDescent="0.25">
      <c r="A294" s="52" t="s">
        <v>259</v>
      </c>
      <c r="B294" s="46">
        <v>30013</v>
      </c>
      <c r="C294" s="47">
        <v>45771</v>
      </c>
      <c r="D294" s="46">
        <v>311500</v>
      </c>
      <c r="E294" s="46">
        <v>2</v>
      </c>
      <c r="F294" s="52" t="s">
        <v>1942</v>
      </c>
      <c r="G294" s="46">
        <v>6</v>
      </c>
      <c r="H294" s="52" t="s">
        <v>1642</v>
      </c>
      <c r="I294" s="46"/>
      <c r="J294" s="46">
        <v>0</v>
      </c>
      <c r="K294" s="46"/>
      <c r="L294" s="52" t="s">
        <v>231</v>
      </c>
      <c r="M294" s="53">
        <v>10000000</v>
      </c>
      <c r="N294" s="46">
        <v>42</v>
      </c>
      <c r="O294" s="46">
        <v>0</v>
      </c>
      <c r="P294" s="46">
        <v>1</v>
      </c>
      <c r="Q294" s="52">
        <v>9</v>
      </c>
      <c r="R294" s="53">
        <v>297250</v>
      </c>
      <c r="S294" s="46">
        <v>1</v>
      </c>
      <c r="T294" s="53">
        <v>277500</v>
      </c>
      <c r="U294" s="53">
        <f>M294/100+11700</f>
        <v>111700</v>
      </c>
      <c r="V294" s="46">
        <v>1</v>
      </c>
      <c r="W294" s="53">
        <v>286507</v>
      </c>
      <c r="X294" s="46">
        <v>1</v>
      </c>
      <c r="Y294" s="46">
        <v>1</v>
      </c>
      <c r="Z294" s="54">
        <v>0.15026742751557018</v>
      </c>
      <c r="AA294" s="15">
        <f t="shared" si="27"/>
        <v>1.2522285626297515E-2</v>
      </c>
      <c r="AB294" s="15">
        <f t="shared" si="28"/>
        <v>0.15026742751557018</v>
      </c>
      <c r="AC294" t="b">
        <f t="shared" si="29"/>
        <v>1</v>
      </c>
    </row>
    <row r="295" spans="1:29" x14ac:dyDescent="0.25">
      <c r="A295" s="52" t="s">
        <v>259</v>
      </c>
      <c r="B295" s="46">
        <v>30013</v>
      </c>
      <c r="C295" s="47">
        <v>45771</v>
      </c>
      <c r="D295" s="46">
        <v>321600</v>
      </c>
      <c r="E295" s="46">
        <v>2</v>
      </c>
      <c r="F295" s="52" t="s">
        <v>1943</v>
      </c>
      <c r="G295" s="46">
        <v>6</v>
      </c>
      <c r="H295" s="52" t="s">
        <v>784</v>
      </c>
      <c r="I295" s="46"/>
      <c r="J295" s="46">
        <v>0</v>
      </c>
      <c r="K295" s="46"/>
      <c r="L295" s="52" t="s">
        <v>687</v>
      </c>
      <c r="M295" s="53">
        <v>600000</v>
      </c>
      <c r="N295" s="46">
        <v>12</v>
      </c>
      <c r="O295" s="46">
        <v>0</v>
      </c>
      <c r="P295" s="46">
        <v>1</v>
      </c>
      <c r="Q295" s="52">
        <v>10</v>
      </c>
      <c r="R295" s="53">
        <v>5707</v>
      </c>
      <c r="S295" s="46">
        <v>1</v>
      </c>
      <c r="T295" s="53">
        <v>0</v>
      </c>
      <c r="U295" s="53">
        <v>21700</v>
      </c>
      <c r="V295" s="46">
        <v>1</v>
      </c>
      <c r="W295" s="53">
        <v>53278</v>
      </c>
      <c r="X295" s="46">
        <v>1</v>
      </c>
      <c r="Y295" s="46">
        <v>1</v>
      </c>
      <c r="Z295" s="54">
        <v>0.20860621217938491</v>
      </c>
      <c r="AA295" s="15">
        <f t="shared" si="27"/>
        <v>1.7383851014948742E-2</v>
      </c>
      <c r="AB295" s="15">
        <f t="shared" si="28"/>
        <v>0.20860621217938491</v>
      </c>
      <c r="AC295" t="b">
        <f t="shared" si="29"/>
        <v>1</v>
      </c>
    </row>
    <row r="296" spans="1:29" x14ac:dyDescent="0.25">
      <c r="A296" s="52" t="s">
        <v>259</v>
      </c>
      <c r="B296" s="46">
        <v>30013</v>
      </c>
      <c r="C296" s="47">
        <v>45771</v>
      </c>
      <c r="D296" s="46">
        <v>311500</v>
      </c>
      <c r="E296" s="46">
        <v>2</v>
      </c>
      <c r="F296" s="52" t="s">
        <v>1944</v>
      </c>
      <c r="G296" s="46">
        <v>6</v>
      </c>
      <c r="H296" s="52" t="s">
        <v>1642</v>
      </c>
      <c r="I296" s="46"/>
      <c r="J296" s="46">
        <v>0</v>
      </c>
      <c r="K296" s="46"/>
      <c r="L296" s="52" t="s">
        <v>270</v>
      </c>
      <c r="M296" s="53">
        <v>6000000</v>
      </c>
      <c r="N296" s="46">
        <v>72</v>
      </c>
      <c r="O296" s="46">
        <v>0</v>
      </c>
      <c r="P296" s="46">
        <v>1</v>
      </c>
      <c r="Q296" s="52">
        <v>12</v>
      </c>
      <c r="R296" s="53">
        <v>107010</v>
      </c>
      <c r="S296" s="46">
        <v>1</v>
      </c>
      <c r="T296" s="53">
        <v>280000</v>
      </c>
      <c r="U296" s="53">
        <f t="shared" ref="U296:U305" si="32">M296/100+11700</f>
        <v>71700</v>
      </c>
      <c r="V296" s="46">
        <v>1</v>
      </c>
      <c r="W296" s="53">
        <v>124497</v>
      </c>
      <c r="X296" s="46">
        <v>1</v>
      </c>
      <c r="Y296" s="46">
        <v>1</v>
      </c>
      <c r="Z296" s="54">
        <v>0.17395070495049128</v>
      </c>
      <c r="AA296" s="15">
        <f t="shared" si="27"/>
        <v>1.4495892079207607E-2</v>
      </c>
      <c r="AB296" s="15">
        <f t="shared" si="28"/>
        <v>0.17395070495049128</v>
      </c>
      <c r="AC296" t="b">
        <f t="shared" si="29"/>
        <v>1</v>
      </c>
    </row>
    <row r="297" spans="1:29" x14ac:dyDescent="0.25">
      <c r="A297" s="52" t="s">
        <v>259</v>
      </c>
      <c r="B297" s="46">
        <v>30013</v>
      </c>
      <c r="C297" s="47">
        <v>45771</v>
      </c>
      <c r="D297" s="46">
        <v>321300</v>
      </c>
      <c r="E297" s="46">
        <v>2</v>
      </c>
      <c r="F297" s="52" t="s">
        <v>1945</v>
      </c>
      <c r="G297" s="46">
        <v>6</v>
      </c>
      <c r="H297" s="52" t="s">
        <v>1642</v>
      </c>
      <c r="I297" s="46"/>
      <c r="J297" s="46">
        <v>0</v>
      </c>
      <c r="K297" s="46"/>
      <c r="L297" s="52" t="s">
        <v>686</v>
      </c>
      <c r="M297" s="53">
        <v>1100000</v>
      </c>
      <c r="N297" s="46">
        <v>24</v>
      </c>
      <c r="O297" s="46">
        <v>0</v>
      </c>
      <c r="P297" s="46">
        <v>1</v>
      </c>
      <c r="Q297" s="52">
        <v>10</v>
      </c>
      <c r="R297" s="53">
        <v>32698</v>
      </c>
      <c r="S297" s="46">
        <v>1</v>
      </c>
      <c r="T297" s="53">
        <v>26500</v>
      </c>
      <c r="U297" s="53">
        <f t="shared" si="32"/>
        <v>22700</v>
      </c>
      <c r="V297" s="46">
        <v>1</v>
      </c>
      <c r="W297" s="53">
        <v>51724</v>
      </c>
      <c r="X297" s="46">
        <v>1</v>
      </c>
      <c r="Y297" s="46">
        <v>1</v>
      </c>
      <c r="Z297" s="54">
        <v>0.19812679350488954</v>
      </c>
      <c r="AA297" s="15">
        <f t="shared" si="27"/>
        <v>1.6510566125407463E-2</v>
      </c>
      <c r="AB297" s="15">
        <f t="shared" si="28"/>
        <v>0.19812679350488954</v>
      </c>
      <c r="AC297" t="b">
        <f t="shared" si="29"/>
        <v>1</v>
      </c>
    </row>
    <row r="298" spans="1:29" x14ac:dyDescent="0.25">
      <c r="A298" s="52" t="s">
        <v>259</v>
      </c>
      <c r="B298" s="46">
        <v>30013</v>
      </c>
      <c r="C298" s="47">
        <v>45771</v>
      </c>
      <c r="D298" s="46">
        <v>321500</v>
      </c>
      <c r="E298" s="46">
        <v>2</v>
      </c>
      <c r="F298" s="52" t="s">
        <v>1946</v>
      </c>
      <c r="G298" s="46">
        <v>6</v>
      </c>
      <c r="H298" s="52" t="s">
        <v>1642</v>
      </c>
      <c r="I298" s="46"/>
      <c r="J298" s="46">
        <v>0</v>
      </c>
      <c r="K298" s="46"/>
      <c r="L298" s="52" t="s">
        <v>270</v>
      </c>
      <c r="M298" s="53">
        <v>4000000</v>
      </c>
      <c r="N298" s="46">
        <v>12</v>
      </c>
      <c r="O298" s="46">
        <v>0</v>
      </c>
      <c r="P298" s="46">
        <v>1</v>
      </c>
      <c r="Q298" s="52">
        <v>10</v>
      </c>
      <c r="R298" s="53">
        <v>47560</v>
      </c>
      <c r="S298" s="46">
        <v>1</v>
      </c>
      <c r="T298" s="53">
        <v>40000</v>
      </c>
      <c r="U298" s="53">
        <f t="shared" si="32"/>
        <v>51700</v>
      </c>
      <c r="V298" s="46">
        <v>1</v>
      </c>
      <c r="W298" s="53">
        <v>355189</v>
      </c>
      <c r="X298" s="46">
        <v>1</v>
      </c>
      <c r="Y298" s="46">
        <v>1</v>
      </c>
      <c r="Z298" s="54">
        <v>0.18672268653444085</v>
      </c>
      <c r="AA298" s="15">
        <f t="shared" si="27"/>
        <v>1.5560223877870072E-2</v>
      </c>
      <c r="AB298" s="15">
        <f t="shared" si="28"/>
        <v>0.18672268653444085</v>
      </c>
      <c r="AC298" t="b">
        <f t="shared" si="29"/>
        <v>1</v>
      </c>
    </row>
    <row r="299" spans="1:29" x14ac:dyDescent="0.25">
      <c r="A299" s="52" t="s">
        <v>259</v>
      </c>
      <c r="B299" s="46">
        <v>30013</v>
      </c>
      <c r="C299" s="47">
        <v>45771</v>
      </c>
      <c r="D299" s="46">
        <v>311500</v>
      </c>
      <c r="E299" s="46">
        <v>2</v>
      </c>
      <c r="F299" s="52" t="s">
        <v>1947</v>
      </c>
      <c r="G299" s="46">
        <v>6</v>
      </c>
      <c r="H299" s="52" t="s">
        <v>1642</v>
      </c>
      <c r="I299" s="46"/>
      <c r="J299" s="46">
        <v>0</v>
      </c>
      <c r="K299" s="46"/>
      <c r="L299" s="52" t="s">
        <v>231</v>
      </c>
      <c r="M299" s="53">
        <v>4000000</v>
      </c>
      <c r="N299" s="46">
        <v>48</v>
      </c>
      <c r="O299" s="46">
        <v>0</v>
      </c>
      <c r="P299" s="46">
        <v>1</v>
      </c>
      <c r="Q299" s="52">
        <v>8</v>
      </c>
      <c r="R299" s="53">
        <v>118900</v>
      </c>
      <c r="S299" s="46">
        <v>1</v>
      </c>
      <c r="T299" s="53">
        <v>130000</v>
      </c>
      <c r="U299" s="53">
        <f t="shared" si="32"/>
        <v>51700</v>
      </c>
      <c r="V299" s="46">
        <v>1</v>
      </c>
      <c r="W299" s="53">
        <v>100515</v>
      </c>
      <c r="X299" s="46">
        <v>1</v>
      </c>
      <c r="Y299" s="46">
        <v>1</v>
      </c>
      <c r="Z299" s="54">
        <v>0.13688794019924269</v>
      </c>
      <c r="AA299" s="15">
        <f t="shared" si="27"/>
        <v>1.1407328349936892E-2</v>
      </c>
      <c r="AB299" s="15">
        <f t="shared" si="28"/>
        <v>0.13688794019924269</v>
      </c>
      <c r="AC299" t="b">
        <f t="shared" si="29"/>
        <v>1</v>
      </c>
    </row>
    <row r="300" spans="1:29" x14ac:dyDescent="0.25">
      <c r="A300" s="52" t="s">
        <v>259</v>
      </c>
      <c r="B300" s="46">
        <v>30013</v>
      </c>
      <c r="C300" s="47">
        <v>45771</v>
      </c>
      <c r="D300" s="46">
        <v>311500</v>
      </c>
      <c r="E300" s="46">
        <v>2</v>
      </c>
      <c r="F300" s="52" t="s">
        <v>1948</v>
      </c>
      <c r="G300" s="46">
        <v>6</v>
      </c>
      <c r="H300" s="52" t="s">
        <v>1642</v>
      </c>
      <c r="I300" s="46"/>
      <c r="J300" s="46">
        <v>0</v>
      </c>
      <c r="K300" s="46"/>
      <c r="L300" s="52" t="s">
        <v>686</v>
      </c>
      <c r="M300" s="53">
        <v>10000000</v>
      </c>
      <c r="N300" s="46">
        <v>60</v>
      </c>
      <c r="O300" s="46">
        <v>0</v>
      </c>
      <c r="P300" s="46">
        <v>1</v>
      </c>
      <c r="Q300" s="52">
        <v>8</v>
      </c>
      <c r="R300" s="53">
        <v>297250</v>
      </c>
      <c r="S300" s="46">
        <v>1</v>
      </c>
      <c r="T300" s="53">
        <v>390000</v>
      </c>
      <c r="U300" s="53">
        <f t="shared" si="32"/>
        <v>111700</v>
      </c>
      <c r="V300" s="46">
        <v>1</v>
      </c>
      <c r="W300" s="53">
        <v>210077</v>
      </c>
      <c r="X300" s="46">
        <v>1</v>
      </c>
      <c r="Y300" s="46">
        <v>1</v>
      </c>
      <c r="Z300" s="54">
        <v>0.1315373851260413</v>
      </c>
      <c r="AA300" s="15">
        <f t="shared" si="27"/>
        <v>1.096144876050344E-2</v>
      </c>
      <c r="AB300" s="15">
        <f t="shared" si="28"/>
        <v>0.1315373851260413</v>
      </c>
      <c r="AC300" t="b">
        <f t="shared" si="29"/>
        <v>1</v>
      </c>
    </row>
    <row r="301" spans="1:29" x14ac:dyDescent="0.25">
      <c r="A301" s="52" t="s">
        <v>259</v>
      </c>
      <c r="B301" s="46">
        <v>30013</v>
      </c>
      <c r="C301" s="47">
        <v>45771</v>
      </c>
      <c r="D301" s="46">
        <v>311500</v>
      </c>
      <c r="E301" s="46">
        <v>2</v>
      </c>
      <c r="F301" s="52" t="s">
        <v>1949</v>
      </c>
      <c r="G301" s="46">
        <v>6</v>
      </c>
      <c r="H301" s="52" t="s">
        <v>1642</v>
      </c>
      <c r="I301" s="46"/>
      <c r="J301" s="46">
        <v>0</v>
      </c>
      <c r="K301" s="46"/>
      <c r="L301" s="52" t="s">
        <v>686</v>
      </c>
      <c r="M301" s="53">
        <v>2000000</v>
      </c>
      <c r="N301" s="46">
        <v>60</v>
      </c>
      <c r="O301" s="46">
        <v>0</v>
      </c>
      <c r="P301" s="46">
        <v>1</v>
      </c>
      <c r="Q301" s="52">
        <v>12</v>
      </c>
      <c r="R301" s="53">
        <v>59450</v>
      </c>
      <c r="S301" s="46">
        <v>1</v>
      </c>
      <c r="T301" s="53">
        <v>85000</v>
      </c>
      <c r="U301" s="53">
        <f t="shared" si="32"/>
        <v>31700</v>
      </c>
      <c r="V301" s="46">
        <v>1</v>
      </c>
      <c r="W301" s="53">
        <v>46815</v>
      </c>
      <c r="X301" s="46">
        <v>1</v>
      </c>
      <c r="Y301" s="46">
        <v>1</v>
      </c>
      <c r="Z301" s="54">
        <v>0.18503692157083751</v>
      </c>
      <c r="AA301" s="15">
        <f t="shared" si="27"/>
        <v>1.5419743464236458E-2</v>
      </c>
      <c r="AB301" s="15">
        <f t="shared" si="28"/>
        <v>0.18503692157083751</v>
      </c>
      <c r="AC301" t="b">
        <f t="shared" si="29"/>
        <v>1</v>
      </c>
    </row>
    <row r="302" spans="1:29" x14ac:dyDescent="0.25">
      <c r="A302" s="52" t="s">
        <v>259</v>
      </c>
      <c r="B302" s="46">
        <v>30013</v>
      </c>
      <c r="C302" s="47">
        <v>45771</v>
      </c>
      <c r="D302" s="46">
        <v>311500</v>
      </c>
      <c r="E302" s="46">
        <v>2</v>
      </c>
      <c r="F302" s="52" t="s">
        <v>1950</v>
      </c>
      <c r="G302" s="46">
        <v>6</v>
      </c>
      <c r="H302" s="52" t="s">
        <v>1642</v>
      </c>
      <c r="I302" s="46"/>
      <c r="J302" s="46">
        <v>0</v>
      </c>
      <c r="K302" s="46"/>
      <c r="L302" s="52" t="s">
        <v>261</v>
      </c>
      <c r="M302" s="53">
        <v>5800000</v>
      </c>
      <c r="N302" s="46">
        <v>72</v>
      </c>
      <c r="O302" s="46">
        <v>0</v>
      </c>
      <c r="P302" s="46">
        <v>1</v>
      </c>
      <c r="Q302" s="52">
        <v>12</v>
      </c>
      <c r="R302" s="53">
        <v>103443</v>
      </c>
      <c r="S302" s="46">
        <v>1</v>
      </c>
      <c r="T302" s="53">
        <v>271000</v>
      </c>
      <c r="U302" s="53">
        <f t="shared" si="32"/>
        <v>69700</v>
      </c>
      <c r="V302" s="46">
        <v>1</v>
      </c>
      <c r="W302" s="53">
        <v>120347</v>
      </c>
      <c r="X302" s="46">
        <v>1</v>
      </c>
      <c r="Y302" s="46">
        <v>1</v>
      </c>
      <c r="Z302" s="54">
        <v>0.1740044675019721</v>
      </c>
      <c r="AA302" s="15">
        <f t="shared" si="27"/>
        <v>1.4500372291831008E-2</v>
      </c>
      <c r="AB302" s="15">
        <f t="shared" si="28"/>
        <v>0.1740044675019721</v>
      </c>
      <c r="AC302" t="b">
        <f t="shared" si="29"/>
        <v>1</v>
      </c>
    </row>
    <row r="303" spans="1:29" x14ac:dyDescent="0.25">
      <c r="A303" s="52" t="s">
        <v>259</v>
      </c>
      <c r="B303" s="46">
        <v>30013</v>
      </c>
      <c r="C303" s="47">
        <v>45771</v>
      </c>
      <c r="D303" s="46">
        <v>311500</v>
      </c>
      <c r="E303" s="46">
        <v>2</v>
      </c>
      <c r="F303" s="52" t="s">
        <v>1951</v>
      </c>
      <c r="G303" s="46">
        <v>6</v>
      </c>
      <c r="H303" s="52" t="s">
        <v>784</v>
      </c>
      <c r="I303" s="46"/>
      <c r="J303" s="46">
        <v>0</v>
      </c>
      <c r="K303" s="46"/>
      <c r="L303" s="52" t="s">
        <v>687</v>
      </c>
      <c r="M303" s="53">
        <v>4250000</v>
      </c>
      <c r="N303" s="46">
        <v>60</v>
      </c>
      <c r="O303" s="46">
        <v>0</v>
      </c>
      <c r="P303" s="46">
        <v>1</v>
      </c>
      <c r="Q303" s="52">
        <v>13</v>
      </c>
      <c r="R303" s="53">
        <v>126331</v>
      </c>
      <c r="S303" s="46">
        <v>1</v>
      </c>
      <c r="T303" s="53">
        <v>169375</v>
      </c>
      <c r="U303" s="53">
        <f t="shared" si="32"/>
        <v>54200</v>
      </c>
      <c r="V303" s="46">
        <v>1</v>
      </c>
      <c r="W303" s="53">
        <v>102130</v>
      </c>
      <c r="X303" s="46">
        <v>1</v>
      </c>
      <c r="Y303" s="46">
        <v>1</v>
      </c>
      <c r="Z303" s="54">
        <v>0.19445953104728458</v>
      </c>
      <c r="AA303" s="15">
        <f t="shared" si="27"/>
        <v>1.620496092060705E-2</v>
      </c>
      <c r="AB303" s="15">
        <f t="shared" si="28"/>
        <v>0.19445953104728458</v>
      </c>
      <c r="AC303" t="b">
        <f t="shared" si="29"/>
        <v>1</v>
      </c>
    </row>
    <row r="304" spans="1:29" x14ac:dyDescent="0.25">
      <c r="A304" s="52" t="s">
        <v>259</v>
      </c>
      <c r="B304" s="46">
        <v>30013</v>
      </c>
      <c r="C304" s="47">
        <v>45771</v>
      </c>
      <c r="D304" s="46">
        <v>311500</v>
      </c>
      <c r="E304" s="46">
        <v>2</v>
      </c>
      <c r="F304" s="52" t="s">
        <v>1952</v>
      </c>
      <c r="G304" s="46">
        <v>6</v>
      </c>
      <c r="H304" s="52" t="s">
        <v>784</v>
      </c>
      <c r="I304" s="46"/>
      <c r="J304" s="46">
        <v>0</v>
      </c>
      <c r="K304" s="46"/>
      <c r="L304" s="52" t="s">
        <v>261</v>
      </c>
      <c r="M304" s="53">
        <v>5100000</v>
      </c>
      <c r="N304" s="46">
        <v>72</v>
      </c>
      <c r="O304" s="46">
        <v>0</v>
      </c>
      <c r="P304" s="46">
        <v>1</v>
      </c>
      <c r="Q304" s="52">
        <v>11</v>
      </c>
      <c r="R304" s="53">
        <v>90959</v>
      </c>
      <c r="S304" s="46">
        <v>1</v>
      </c>
      <c r="T304" s="53">
        <v>239500</v>
      </c>
      <c r="U304" s="53">
        <f t="shared" si="32"/>
        <v>62700</v>
      </c>
      <c r="V304" s="46">
        <v>1</v>
      </c>
      <c r="W304" s="53">
        <v>102591</v>
      </c>
      <c r="X304" s="46">
        <v>1</v>
      </c>
      <c r="Y304" s="46">
        <v>1</v>
      </c>
      <c r="Z304" s="54">
        <v>0.16189208372848998</v>
      </c>
      <c r="AA304" s="15">
        <f t="shared" si="27"/>
        <v>1.3491006977374166E-2</v>
      </c>
      <c r="AB304" s="15">
        <f t="shared" si="28"/>
        <v>0.16189208372848998</v>
      </c>
      <c r="AC304" t="b">
        <f t="shared" si="29"/>
        <v>1</v>
      </c>
    </row>
    <row r="305" spans="1:29" x14ac:dyDescent="0.25">
      <c r="A305" s="52" t="s">
        <v>259</v>
      </c>
      <c r="B305" s="46">
        <v>30013</v>
      </c>
      <c r="C305" s="47">
        <v>45771</v>
      </c>
      <c r="D305" s="46">
        <v>311500</v>
      </c>
      <c r="E305" s="46">
        <v>2</v>
      </c>
      <c r="F305" s="52" t="s">
        <v>1953</v>
      </c>
      <c r="G305" s="46">
        <v>6</v>
      </c>
      <c r="H305" s="52" t="s">
        <v>1642</v>
      </c>
      <c r="I305" s="46"/>
      <c r="J305" s="46">
        <v>0</v>
      </c>
      <c r="K305" s="46"/>
      <c r="L305" s="52" t="s">
        <v>270</v>
      </c>
      <c r="M305" s="53">
        <v>10000000</v>
      </c>
      <c r="N305" s="46">
        <v>60</v>
      </c>
      <c r="O305" s="46">
        <v>0</v>
      </c>
      <c r="P305" s="46">
        <v>1</v>
      </c>
      <c r="Q305" s="52">
        <v>9</v>
      </c>
      <c r="R305" s="53">
        <v>297250</v>
      </c>
      <c r="S305" s="46">
        <v>1</v>
      </c>
      <c r="T305" s="53">
        <v>390000</v>
      </c>
      <c r="U305" s="53">
        <f t="shared" si="32"/>
        <v>111700</v>
      </c>
      <c r="V305" s="46">
        <v>1</v>
      </c>
      <c r="W305" s="53">
        <v>215936</v>
      </c>
      <c r="X305" s="46">
        <v>1</v>
      </c>
      <c r="Y305" s="46">
        <v>1</v>
      </c>
      <c r="Z305" s="54">
        <v>0.14385566902641317</v>
      </c>
      <c r="AA305" s="15">
        <f t="shared" si="27"/>
        <v>1.1987972418867763E-2</v>
      </c>
      <c r="AB305" s="15">
        <f t="shared" si="28"/>
        <v>0.14385566902641317</v>
      </c>
      <c r="AC305" t="b">
        <f t="shared" si="29"/>
        <v>1</v>
      </c>
    </row>
    <row r="306" spans="1:29" x14ac:dyDescent="0.25">
      <c r="A306" s="52" t="s">
        <v>259</v>
      </c>
      <c r="B306" s="46">
        <v>30013</v>
      </c>
      <c r="C306" s="47">
        <v>45771</v>
      </c>
      <c r="D306" s="46">
        <v>321600</v>
      </c>
      <c r="E306" s="46">
        <v>2</v>
      </c>
      <c r="F306" s="52" t="s">
        <v>1954</v>
      </c>
      <c r="G306" s="46">
        <v>6</v>
      </c>
      <c r="H306" s="52" t="s">
        <v>784</v>
      </c>
      <c r="I306" s="46"/>
      <c r="J306" s="46">
        <v>0</v>
      </c>
      <c r="K306" s="46"/>
      <c r="L306" s="52" t="s">
        <v>709</v>
      </c>
      <c r="M306" s="53">
        <v>730000</v>
      </c>
      <c r="N306" s="46">
        <v>12</v>
      </c>
      <c r="O306" s="46">
        <v>0</v>
      </c>
      <c r="P306" s="46">
        <v>1</v>
      </c>
      <c r="Q306" s="52">
        <v>10</v>
      </c>
      <c r="R306" s="53">
        <v>8680</v>
      </c>
      <c r="S306" s="46">
        <v>1</v>
      </c>
      <c r="T306" s="53">
        <v>0</v>
      </c>
      <c r="U306" s="53">
        <v>21700</v>
      </c>
      <c r="V306" s="46">
        <v>1</v>
      </c>
      <c r="W306" s="53">
        <v>64822</v>
      </c>
      <c r="X306" s="46">
        <v>1</v>
      </c>
      <c r="Y306" s="46">
        <v>1</v>
      </c>
      <c r="Z306" s="54">
        <v>0.20038963075902627</v>
      </c>
      <c r="AA306" s="15">
        <f t="shared" si="27"/>
        <v>1.6699135896585521E-2</v>
      </c>
      <c r="AB306" s="15">
        <f t="shared" si="28"/>
        <v>0.20038963075902627</v>
      </c>
      <c r="AC306" t="b">
        <f t="shared" si="29"/>
        <v>1</v>
      </c>
    </row>
    <row r="307" spans="1:29" x14ac:dyDescent="0.25">
      <c r="A307" s="52" t="s">
        <v>259</v>
      </c>
      <c r="B307" s="46">
        <v>30013</v>
      </c>
      <c r="C307" s="47">
        <v>45771</v>
      </c>
      <c r="D307" s="46">
        <v>321300</v>
      </c>
      <c r="E307" s="46">
        <v>2</v>
      </c>
      <c r="F307" s="52" t="s">
        <v>1955</v>
      </c>
      <c r="G307" s="46">
        <v>6</v>
      </c>
      <c r="H307" s="52" t="s">
        <v>1642</v>
      </c>
      <c r="I307" s="46"/>
      <c r="J307" s="46">
        <v>0</v>
      </c>
      <c r="K307" s="46"/>
      <c r="L307" s="52" t="s">
        <v>270</v>
      </c>
      <c r="M307" s="53">
        <v>7000000</v>
      </c>
      <c r="N307" s="46">
        <v>24</v>
      </c>
      <c r="O307" s="46">
        <v>0</v>
      </c>
      <c r="P307" s="46">
        <v>1</v>
      </c>
      <c r="Q307" s="52">
        <v>10</v>
      </c>
      <c r="R307" s="53">
        <v>208075</v>
      </c>
      <c r="S307" s="46">
        <v>1</v>
      </c>
      <c r="T307" s="53">
        <v>115000</v>
      </c>
      <c r="U307" s="53">
        <f>M307/100+11700</f>
        <v>81700</v>
      </c>
      <c r="V307" s="46">
        <v>1</v>
      </c>
      <c r="W307" s="53">
        <v>329155</v>
      </c>
      <c r="X307" s="46">
        <v>1</v>
      </c>
      <c r="Y307" s="46">
        <v>1</v>
      </c>
      <c r="Z307" s="54">
        <v>0.17966832065590749</v>
      </c>
      <c r="AA307" s="15">
        <f t="shared" si="27"/>
        <v>1.4972360054658957E-2</v>
      </c>
      <c r="AB307" s="15">
        <f t="shared" si="28"/>
        <v>0.17966832065590749</v>
      </c>
      <c r="AC307" t="b">
        <f t="shared" si="29"/>
        <v>1</v>
      </c>
    </row>
    <row r="308" spans="1:29" x14ac:dyDescent="0.25">
      <c r="A308" s="52" t="s">
        <v>259</v>
      </c>
      <c r="B308" s="46">
        <v>30013</v>
      </c>
      <c r="C308" s="47">
        <v>45772</v>
      </c>
      <c r="D308" s="46">
        <v>311500</v>
      </c>
      <c r="E308" s="46">
        <v>2</v>
      </c>
      <c r="F308" s="52" t="s">
        <v>1956</v>
      </c>
      <c r="G308" s="46">
        <v>6</v>
      </c>
      <c r="H308" s="52" t="s">
        <v>784</v>
      </c>
      <c r="I308" s="46"/>
      <c r="J308" s="46">
        <v>0</v>
      </c>
      <c r="K308" s="46"/>
      <c r="L308" s="52" t="s">
        <v>690</v>
      </c>
      <c r="M308" s="53">
        <v>2000000</v>
      </c>
      <c r="N308" s="46">
        <v>48</v>
      </c>
      <c r="O308" s="46">
        <v>0</v>
      </c>
      <c r="P308" s="46">
        <v>1</v>
      </c>
      <c r="Q308" s="52">
        <v>12</v>
      </c>
      <c r="R308" s="53">
        <v>59450</v>
      </c>
      <c r="S308" s="46">
        <v>1</v>
      </c>
      <c r="T308" s="53">
        <v>70000</v>
      </c>
      <c r="U308" s="53">
        <f>M308/100+11700</f>
        <v>31700</v>
      </c>
      <c r="V308" s="46">
        <v>1</v>
      </c>
      <c r="W308" s="53">
        <v>54922</v>
      </c>
      <c r="X308" s="46">
        <v>1</v>
      </c>
      <c r="Y308" s="46">
        <v>1</v>
      </c>
      <c r="Z308" s="54">
        <v>0.18938320145239776</v>
      </c>
      <c r="AA308" s="15">
        <f t="shared" si="27"/>
        <v>1.578193345436648E-2</v>
      </c>
      <c r="AB308" s="15">
        <f t="shared" si="28"/>
        <v>0.18938320145239776</v>
      </c>
      <c r="AC308" t="b">
        <f t="shared" si="29"/>
        <v>1</v>
      </c>
    </row>
    <row r="309" spans="1:29" x14ac:dyDescent="0.25">
      <c r="A309" s="52" t="s">
        <v>259</v>
      </c>
      <c r="B309" s="46">
        <v>30013</v>
      </c>
      <c r="C309" s="47">
        <v>45772</v>
      </c>
      <c r="D309" s="46">
        <v>311500</v>
      </c>
      <c r="E309" s="46">
        <v>2</v>
      </c>
      <c r="F309" s="52" t="s">
        <v>1957</v>
      </c>
      <c r="G309" s="46">
        <v>6</v>
      </c>
      <c r="H309" s="52" t="s">
        <v>784</v>
      </c>
      <c r="I309" s="46"/>
      <c r="J309" s="46">
        <v>0</v>
      </c>
      <c r="K309" s="46"/>
      <c r="L309" s="52" t="s">
        <v>688</v>
      </c>
      <c r="M309" s="53">
        <v>10000000</v>
      </c>
      <c r="N309" s="46">
        <v>80</v>
      </c>
      <c r="O309" s="46">
        <v>0</v>
      </c>
      <c r="P309" s="46">
        <v>1</v>
      </c>
      <c r="Q309" s="52">
        <v>8</v>
      </c>
      <c r="R309" s="53">
        <v>178350</v>
      </c>
      <c r="S309" s="46">
        <v>1</v>
      </c>
      <c r="T309" s="53">
        <v>384631</v>
      </c>
      <c r="U309" s="53">
        <f>M309/100+11700</f>
        <v>111700</v>
      </c>
      <c r="V309" s="46">
        <v>1</v>
      </c>
      <c r="W309" s="53">
        <v>169273</v>
      </c>
      <c r="X309" s="46">
        <v>1</v>
      </c>
      <c r="Y309" s="46">
        <v>1</v>
      </c>
      <c r="Z309" s="54">
        <v>0.1187366867574611</v>
      </c>
      <c r="AA309" s="15">
        <f t="shared" si="27"/>
        <v>9.8947238964550918E-3</v>
      </c>
      <c r="AB309" s="15">
        <f t="shared" si="28"/>
        <v>0.1187366867574611</v>
      </c>
      <c r="AC309" t="b">
        <f t="shared" si="29"/>
        <v>1</v>
      </c>
    </row>
    <row r="310" spans="1:29" x14ac:dyDescent="0.25">
      <c r="A310" s="52" t="s">
        <v>259</v>
      </c>
      <c r="B310" s="46">
        <v>30013</v>
      </c>
      <c r="C310" s="47">
        <v>45772</v>
      </c>
      <c r="D310" s="46">
        <v>321600</v>
      </c>
      <c r="E310" s="46">
        <v>2</v>
      </c>
      <c r="F310" s="52" t="s">
        <v>1958</v>
      </c>
      <c r="G310" s="46">
        <v>6</v>
      </c>
      <c r="H310" s="52" t="s">
        <v>784</v>
      </c>
      <c r="I310" s="46"/>
      <c r="J310" s="46">
        <v>0</v>
      </c>
      <c r="K310" s="46"/>
      <c r="L310" s="52" t="s">
        <v>261</v>
      </c>
      <c r="M310" s="53">
        <v>500000</v>
      </c>
      <c r="N310" s="46">
        <v>12</v>
      </c>
      <c r="O310" s="46">
        <v>0</v>
      </c>
      <c r="P310" s="46">
        <v>1</v>
      </c>
      <c r="Q310" s="52">
        <v>10</v>
      </c>
      <c r="R310" s="53">
        <v>4756</v>
      </c>
      <c r="S310" s="46">
        <v>1</v>
      </c>
      <c r="T310" s="53">
        <v>0</v>
      </c>
      <c r="U310" s="53">
        <v>21700</v>
      </c>
      <c r="V310" s="46">
        <v>1</v>
      </c>
      <c r="W310" s="53">
        <v>44399</v>
      </c>
      <c r="X310" s="46">
        <v>1</v>
      </c>
      <c r="Y310" s="46">
        <v>1</v>
      </c>
      <c r="Z310" s="54">
        <v>0.22341836774606877</v>
      </c>
      <c r="AA310" s="15">
        <f t="shared" si="27"/>
        <v>1.8618197312172399E-2</v>
      </c>
      <c r="AB310" s="15">
        <f t="shared" si="28"/>
        <v>0.22341836774606877</v>
      </c>
      <c r="AC310" t="b">
        <f t="shared" si="29"/>
        <v>1</v>
      </c>
    </row>
    <row r="311" spans="1:29" x14ac:dyDescent="0.25">
      <c r="A311" s="52" t="s">
        <v>259</v>
      </c>
      <c r="B311" s="46">
        <v>30013</v>
      </c>
      <c r="C311" s="47">
        <v>45772</v>
      </c>
      <c r="D311" s="46">
        <v>311500</v>
      </c>
      <c r="E311" s="46">
        <v>2</v>
      </c>
      <c r="F311" s="52" t="s">
        <v>1959</v>
      </c>
      <c r="G311" s="46">
        <v>6</v>
      </c>
      <c r="H311" s="52" t="s">
        <v>784</v>
      </c>
      <c r="I311" s="46"/>
      <c r="J311" s="46">
        <v>0</v>
      </c>
      <c r="K311" s="46"/>
      <c r="L311" s="52" t="s">
        <v>261</v>
      </c>
      <c r="M311" s="53">
        <v>5500000</v>
      </c>
      <c r="N311" s="46">
        <v>72</v>
      </c>
      <c r="O311" s="46">
        <v>0</v>
      </c>
      <c r="P311" s="46">
        <v>1</v>
      </c>
      <c r="Q311" s="52">
        <v>12</v>
      </c>
      <c r="R311" s="53">
        <v>98093</v>
      </c>
      <c r="S311" s="46">
        <v>1</v>
      </c>
      <c r="T311" s="53">
        <v>257500</v>
      </c>
      <c r="U311" s="53">
        <f>M311/100+11700</f>
        <v>66700</v>
      </c>
      <c r="V311" s="46">
        <v>1</v>
      </c>
      <c r="W311" s="53">
        <v>114122</v>
      </c>
      <c r="X311" s="46">
        <v>1</v>
      </c>
      <c r="Y311" s="46">
        <v>1</v>
      </c>
      <c r="Z311" s="54">
        <v>0.1740925052144702</v>
      </c>
      <c r="AA311" s="15">
        <f t="shared" si="27"/>
        <v>1.4507708767872517E-2</v>
      </c>
      <c r="AB311" s="15">
        <f t="shared" si="28"/>
        <v>0.1740925052144702</v>
      </c>
      <c r="AC311" t="b">
        <f t="shared" si="29"/>
        <v>1</v>
      </c>
    </row>
    <row r="312" spans="1:29" x14ac:dyDescent="0.25">
      <c r="A312" s="52" t="s">
        <v>259</v>
      </c>
      <c r="B312" s="46">
        <v>30013</v>
      </c>
      <c r="C312" s="47">
        <v>45772</v>
      </c>
      <c r="D312" s="46">
        <v>311730</v>
      </c>
      <c r="E312" s="46">
        <v>2</v>
      </c>
      <c r="F312" s="52" t="s">
        <v>1960</v>
      </c>
      <c r="G312" s="46">
        <v>6</v>
      </c>
      <c r="H312" s="52" t="s">
        <v>784</v>
      </c>
      <c r="I312" s="46"/>
      <c r="J312" s="46">
        <v>0</v>
      </c>
      <c r="K312" s="46"/>
      <c r="L312" s="52" t="s">
        <v>691</v>
      </c>
      <c r="M312" s="53">
        <v>4200000</v>
      </c>
      <c r="N312" s="46">
        <v>43</v>
      </c>
      <c r="O312" s="46">
        <v>0</v>
      </c>
      <c r="P312" s="46">
        <v>1</v>
      </c>
      <c r="Q312" s="52">
        <v>12</v>
      </c>
      <c r="R312" s="53">
        <v>40723</v>
      </c>
      <c r="S312" s="46">
        <v>1</v>
      </c>
      <c r="T312" s="53">
        <v>15428</v>
      </c>
      <c r="U312" s="53">
        <f>M312/100+11700</f>
        <v>53700</v>
      </c>
      <c r="V312" s="46">
        <v>1</v>
      </c>
      <c r="W312" s="53">
        <v>125329</v>
      </c>
      <c r="X312" s="46">
        <v>1</v>
      </c>
      <c r="Y312" s="46">
        <v>1</v>
      </c>
      <c r="Z312" s="54">
        <v>0.15871156496454991</v>
      </c>
      <c r="AA312" s="15">
        <f t="shared" si="27"/>
        <v>1.3225963747045827E-2</v>
      </c>
      <c r="AB312" s="15">
        <f t="shared" si="28"/>
        <v>0.15871156496454991</v>
      </c>
      <c r="AC312" t="b">
        <f t="shared" si="29"/>
        <v>1</v>
      </c>
    </row>
    <row r="313" spans="1:29" x14ac:dyDescent="0.25">
      <c r="A313" s="52" t="s">
        <v>259</v>
      </c>
      <c r="B313" s="46">
        <v>30013</v>
      </c>
      <c r="C313" s="47">
        <v>45772</v>
      </c>
      <c r="D313" s="46">
        <v>311500</v>
      </c>
      <c r="E313" s="46">
        <v>2</v>
      </c>
      <c r="F313" s="52" t="s">
        <v>1961</v>
      </c>
      <c r="G313" s="46">
        <v>6</v>
      </c>
      <c r="H313" s="52" t="s">
        <v>784</v>
      </c>
      <c r="I313" s="46"/>
      <c r="J313" s="46">
        <v>0</v>
      </c>
      <c r="K313" s="46"/>
      <c r="L313" s="52" t="s">
        <v>270</v>
      </c>
      <c r="M313" s="55">
        <v>900000</v>
      </c>
      <c r="N313" s="46">
        <v>24</v>
      </c>
      <c r="O313" s="46">
        <v>0</v>
      </c>
      <c r="P313" s="46">
        <v>1</v>
      </c>
      <c r="Q313" s="52">
        <v>12</v>
      </c>
      <c r="R313" s="55">
        <v>40723</v>
      </c>
      <c r="S313" s="46">
        <v>1</v>
      </c>
      <c r="T313" s="55">
        <v>23500</v>
      </c>
      <c r="U313" s="53">
        <v>21700</v>
      </c>
      <c r="V313" s="46">
        <v>1</v>
      </c>
      <c r="W313" s="55">
        <v>43326</v>
      </c>
      <c r="X313" s="46">
        <v>1</v>
      </c>
      <c r="Y313" s="46">
        <v>1</v>
      </c>
      <c r="Z313" s="54">
        <v>0.24699784968680544</v>
      </c>
      <c r="AA313" s="15">
        <f t="shared" si="27"/>
        <v>2.058315414056712E-2</v>
      </c>
      <c r="AB313" s="15">
        <f t="shared" si="28"/>
        <v>0.24699784968680544</v>
      </c>
      <c r="AC313" t="b">
        <f t="shared" si="29"/>
        <v>1</v>
      </c>
    </row>
    <row r="314" spans="1:29" x14ac:dyDescent="0.25">
      <c r="A314" s="52" t="s">
        <v>259</v>
      </c>
      <c r="B314" s="46">
        <v>30013</v>
      </c>
      <c r="C314" s="47">
        <v>45772</v>
      </c>
      <c r="D314" s="46">
        <v>311500</v>
      </c>
      <c r="E314" s="46">
        <v>2</v>
      </c>
      <c r="F314" s="52" t="s">
        <v>1962</v>
      </c>
      <c r="G314" s="46">
        <v>6</v>
      </c>
      <c r="H314" s="52" t="s">
        <v>784</v>
      </c>
      <c r="I314" s="46"/>
      <c r="J314" s="46">
        <v>0</v>
      </c>
      <c r="K314" s="46"/>
      <c r="L314" s="52" t="s">
        <v>690</v>
      </c>
      <c r="M314" s="53">
        <v>4500000</v>
      </c>
      <c r="N314" s="46">
        <v>72</v>
      </c>
      <c r="O314" s="46">
        <v>0</v>
      </c>
      <c r="P314" s="46">
        <v>1</v>
      </c>
      <c r="Q314" s="52">
        <v>11</v>
      </c>
      <c r="R314" s="53">
        <v>80258</v>
      </c>
      <c r="S314" s="46">
        <v>1</v>
      </c>
      <c r="T314" s="53">
        <v>212500</v>
      </c>
      <c r="U314" s="53">
        <f t="shared" ref="U314:U328" si="33">M314/100+11700</f>
        <v>56700</v>
      </c>
      <c r="V314" s="46">
        <v>1</v>
      </c>
      <c r="W314" s="53">
        <v>90521</v>
      </c>
      <c r="X314" s="46">
        <v>1</v>
      </c>
      <c r="Y314" s="46">
        <v>1</v>
      </c>
      <c r="Z314" s="54">
        <v>0.16213287443607888</v>
      </c>
      <c r="AA314" s="15">
        <f t="shared" si="27"/>
        <v>1.3511072869673239E-2</v>
      </c>
      <c r="AB314" s="15">
        <f t="shared" si="28"/>
        <v>0.16213287443607888</v>
      </c>
      <c r="AC314" t="b">
        <f t="shared" si="29"/>
        <v>1</v>
      </c>
    </row>
    <row r="315" spans="1:29" x14ac:dyDescent="0.25">
      <c r="A315" s="52" t="s">
        <v>259</v>
      </c>
      <c r="B315" s="46">
        <v>30013</v>
      </c>
      <c r="C315" s="47">
        <v>45772</v>
      </c>
      <c r="D315" s="46">
        <v>311500</v>
      </c>
      <c r="E315" s="46">
        <v>2</v>
      </c>
      <c r="F315" s="52" t="s">
        <v>1963</v>
      </c>
      <c r="G315" s="46">
        <v>6</v>
      </c>
      <c r="H315" s="52" t="s">
        <v>1642</v>
      </c>
      <c r="I315" s="46"/>
      <c r="J315" s="46">
        <v>0</v>
      </c>
      <c r="K315" s="46"/>
      <c r="L315" s="52" t="s">
        <v>231</v>
      </c>
      <c r="M315" s="53">
        <v>10000000</v>
      </c>
      <c r="N315" s="46">
        <v>48</v>
      </c>
      <c r="O315" s="46">
        <v>0</v>
      </c>
      <c r="P315" s="46">
        <v>1</v>
      </c>
      <c r="Q315" s="52">
        <v>9</v>
      </c>
      <c r="R315" s="53">
        <v>297250</v>
      </c>
      <c r="S315" s="46">
        <v>1</v>
      </c>
      <c r="T315" s="53">
        <v>315000</v>
      </c>
      <c r="U315" s="53">
        <f t="shared" si="33"/>
        <v>111700</v>
      </c>
      <c r="V315" s="46">
        <v>1</v>
      </c>
      <c r="W315" s="53">
        <v>257006</v>
      </c>
      <c r="X315" s="46">
        <v>1</v>
      </c>
      <c r="Y315" s="46">
        <v>1</v>
      </c>
      <c r="Z315" s="54">
        <v>0.14754389394740203</v>
      </c>
      <c r="AA315" s="15">
        <f t="shared" si="27"/>
        <v>1.2295324495616836E-2</v>
      </c>
      <c r="AB315" s="15">
        <f t="shared" si="28"/>
        <v>0.14754389394740203</v>
      </c>
      <c r="AC315" t="b">
        <f t="shared" si="29"/>
        <v>1</v>
      </c>
    </row>
    <row r="316" spans="1:29" x14ac:dyDescent="0.25">
      <c r="A316" s="52" t="s">
        <v>259</v>
      </c>
      <c r="B316" s="46">
        <v>30013</v>
      </c>
      <c r="C316" s="47">
        <v>45772</v>
      </c>
      <c r="D316" s="46">
        <v>311500</v>
      </c>
      <c r="E316" s="46">
        <v>2</v>
      </c>
      <c r="F316" s="52" t="s">
        <v>689</v>
      </c>
      <c r="G316" s="46">
        <v>6</v>
      </c>
      <c r="H316" s="52" t="s">
        <v>784</v>
      </c>
      <c r="I316" s="46"/>
      <c r="J316" s="46">
        <v>0</v>
      </c>
      <c r="K316" s="46"/>
      <c r="L316" s="52" t="s">
        <v>261</v>
      </c>
      <c r="M316" s="53">
        <v>5400000</v>
      </c>
      <c r="N316" s="46">
        <v>72</v>
      </c>
      <c r="O316" s="46">
        <v>0</v>
      </c>
      <c r="P316" s="46">
        <v>1</v>
      </c>
      <c r="Q316" s="52">
        <v>10</v>
      </c>
      <c r="R316" s="53">
        <v>96309</v>
      </c>
      <c r="S316" s="46">
        <v>1</v>
      </c>
      <c r="T316" s="53">
        <v>253000</v>
      </c>
      <c r="U316" s="53">
        <f t="shared" si="33"/>
        <v>65700</v>
      </c>
      <c r="V316" s="46">
        <v>1</v>
      </c>
      <c r="W316" s="53">
        <v>105262</v>
      </c>
      <c r="X316" s="46">
        <v>1</v>
      </c>
      <c r="Y316" s="46">
        <v>1</v>
      </c>
      <c r="Z316" s="54">
        <v>0.14946159469390166</v>
      </c>
      <c r="AA316" s="15">
        <f t="shared" si="27"/>
        <v>1.2455132891158472E-2</v>
      </c>
      <c r="AB316" s="15">
        <f t="shared" si="28"/>
        <v>0.14946159469390166</v>
      </c>
      <c r="AC316" t="b">
        <f t="shared" si="29"/>
        <v>1</v>
      </c>
    </row>
    <row r="317" spans="1:29" x14ac:dyDescent="0.25">
      <c r="A317" s="52" t="s">
        <v>259</v>
      </c>
      <c r="B317" s="46">
        <v>30013</v>
      </c>
      <c r="C317" s="47">
        <v>45772</v>
      </c>
      <c r="D317" s="46">
        <v>311500</v>
      </c>
      <c r="E317" s="46">
        <v>2</v>
      </c>
      <c r="F317" s="52" t="s">
        <v>721</v>
      </c>
      <c r="G317" s="46">
        <v>6</v>
      </c>
      <c r="H317" s="52" t="s">
        <v>784</v>
      </c>
      <c r="I317" s="46"/>
      <c r="J317" s="46">
        <v>0</v>
      </c>
      <c r="K317" s="46"/>
      <c r="L317" s="52" t="s">
        <v>688</v>
      </c>
      <c r="M317" s="53">
        <v>3000000</v>
      </c>
      <c r="N317" s="46">
        <v>24</v>
      </c>
      <c r="O317" s="46">
        <v>0</v>
      </c>
      <c r="P317" s="46">
        <v>1</v>
      </c>
      <c r="Q317" s="52">
        <v>8</v>
      </c>
      <c r="R317" s="53">
        <v>89175</v>
      </c>
      <c r="S317" s="46">
        <v>1</v>
      </c>
      <c r="T317" s="53">
        <v>55000</v>
      </c>
      <c r="U317" s="53">
        <f t="shared" si="33"/>
        <v>41700</v>
      </c>
      <c r="V317" s="46">
        <v>1</v>
      </c>
      <c r="W317" s="53">
        <v>137760</v>
      </c>
      <c r="X317" s="46">
        <v>1</v>
      </c>
      <c r="Y317" s="46">
        <v>1</v>
      </c>
      <c r="Z317" s="54">
        <v>0.15978941873817645</v>
      </c>
      <c r="AA317" s="15">
        <f t="shared" si="27"/>
        <v>1.3315784894848038E-2</v>
      </c>
      <c r="AB317" s="15">
        <f t="shared" si="28"/>
        <v>0.15978941873817645</v>
      </c>
      <c r="AC317" t="b">
        <f t="shared" si="29"/>
        <v>1</v>
      </c>
    </row>
    <row r="318" spans="1:29" x14ac:dyDescent="0.25">
      <c r="A318" s="52" t="s">
        <v>259</v>
      </c>
      <c r="B318" s="46">
        <v>30013</v>
      </c>
      <c r="C318" s="47">
        <v>45772</v>
      </c>
      <c r="D318" s="46">
        <v>311500</v>
      </c>
      <c r="E318" s="46">
        <v>2</v>
      </c>
      <c r="F318" s="52" t="s">
        <v>1964</v>
      </c>
      <c r="G318" s="46">
        <v>6</v>
      </c>
      <c r="H318" s="52" t="s">
        <v>1642</v>
      </c>
      <c r="I318" s="46"/>
      <c r="J318" s="46">
        <v>0</v>
      </c>
      <c r="K318" s="46"/>
      <c r="L318" s="52" t="s">
        <v>231</v>
      </c>
      <c r="M318" s="53">
        <v>3710000</v>
      </c>
      <c r="N318" s="46">
        <v>72</v>
      </c>
      <c r="O318" s="46">
        <v>0</v>
      </c>
      <c r="P318" s="46">
        <v>1</v>
      </c>
      <c r="Q318" s="52">
        <v>8</v>
      </c>
      <c r="R318" s="53">
        <v>66168</v>
      </c>
      <c r="S318" s="46">
        <v>1</v>
      </c>
      <c r="T318" s="53">
        <v>176950</v>
      </c>
      <c r="U318" s="53">
        <f t="shared" si="33"/>
        <v>48800</v>
      </c>
      <c r="V318" s="46">
        <v>1</v>
      </c>
      <c r="W318" s="53">
        <v>67821</v>
      </c>
      <c r="X318" s="46">
        <v>1</v>
      </c>
      <c r="Y318" s="46">
        <v>1</v>
      </c>
      <c r="Z318" s="54">
        <v>0.12558477804914298</v>
      </c>
      <c r="AA318" s="15">
        <f t="shared" si="27"/>
        <v>1.0465398170761916E-2</v>
      </c>
      <c r="AB318" s="15">
        <f t="shared" si="28"/>
        <v>0.12558477804914298</v>
      </c>
      <c r="AC318" t="b">
        <f t="shared" si="29"/>
        <v>1</v>
      </c>
    </row>
    <row r="319" spans="1:29" x14ac:dyDescent="0.25">
      <c r="A319" s="52" t="s">
        <v>259</v>
      </c>
      <c r="B319" s="46">
        <v>30013</v>
      </c>
      <c r="C319" s="47">
        <v>45772</v>
      </c>
      <c r="D319" s="46">
        <v>311500</v>
      </c>
      <c r="E319" s="46">
        <v>2</v>
      </c>
      <c r="F319" s="52" t="s">
        <v>1965</v>
      </c>
      <c r="G319" s="46">
        <v>6</v>
      </c>
      <c r="H319" s="52" t="s">
        <v>784</v>
      </c>
      <c r="I319" s="46"/>
      <c r="J319" s="46">
        <v>0</v>
      </c>
      <c r="K319" s="46"/>
      <c r="L319" s="52" t="s">
        <v>690</v>
      </c>
      <c r="M319" s="53">
        <v>7900000</v>
      </c>
      <c r="N319" s="46">
        <v>60</v>
      </c>
      <c r="O319" s="46">
        <v>0</v>
      </c>
      <c r="P319" s="46">
        <v>1</v>
      </c>
      <c r="Q319" s="52">
        <v>8</v>
      </c>
      <c r="R319" s="53">
        <v>234828</v>
      </c>
      <c r="S319" s="46">
        <v>1</v>
      </c>
      <c r="T319" s="53">
        <v>311250</v>
      </c>
      <c r="U319" s="53">
        <f t="shared" si="33"/>
        <v>90700</v>
      </c>
      <c r="V319" s="46">
        <v>1</v>
      </c>
      <c r="W319" s="53">
        <v>165961</v>
      </c>
      <c r="X319" s="46">
        <v>1</v>
      </c>
      <c r="Y319" s="46">
        <v>1</v>
      </c>
      <c r="Z319" s="54">
        <v>0.13188143011354045</v>
      </c>
      <c r="AA319" s="15">
        <f t="shared" si="27"/>
        <v>1.099011917612837E-2</v>
      </c>
      <c r="AB319" s="15">
        <f t="shared" si="28"/>
        <v>0.13188143011354045</v>
      </c>
      <c r="AC319" t="b">
        <f t="shared" si="29"/>
        <v>1</v>
      </c>
    </row>
    <row r="320" spans="1:29" x14ac:dyDescent="0.25">
      <c r="A320" s="52" t="s">
        <v>259</v>
      </c>
      <c r="B320" s="46">
        <v>30013</v>
      </c>
      <c r="C320" s="47">
        <v>45772</v>
      </c>
      <c r="D320" s="46">
        <v>311500</v>
      </c>
      <c r="E320" s="46">
        <v>2</v>
      </c>
      <c r="F320" s="52" t="s">
        <v>1966</v>
      </c>
      <c r="G320" s="46">
        <v>6</v>
      </c>
      <c r="H320" s="52" t="s">
        <v>1642</v>
      </c>
      <c r="I320" s="46"/>
      <c r="J320" s="46">
        <v>0</v>
      </c>
      <c r="K320" s="46"/>
      <c r="L320" s="52" t="s">
        <v>690</v>
      </c>
      <c r="M320" s="53">
        <v>3500000</v>
      </c>
      <c r="N320" s="46">
        <v>60</v>
      </c>
      <c r="O320" s="46">
        <v>0</v>
      </c>
      <c r="P320" s="46">
        <v>1</v>
      </c>
      <c r="Q320" s="52">
        <v>8</v>
      </c>
      <c r="R320" s="53">
        <v>104038</v>
      </c>
      <c r="S320" s="46">
        <v>1</v>
      </c>
      <c r="T320" s="53">
        <v>141250</v>
      </c>
      <c r="U320" s="53">
        <f t="shared" si="33"/>
        <v>46700</v>
      </c>
      <c r="V320" s="46">
        <v>1</v>
      </c>
      <c r="W320" s="53">
        <v>73527</v>
      </c>
      <c r="X320" s="46">
        <v>1</v>
      </c>
      <c r="Y320" s="46">
        <v>1</v>
      </c>
      <c r="Z320" s="54">
        <v>0.13325024354194154</v>
      </c>
      <c r="AA320" s="15">
        <f t="shared" si="27"/>
        <v>1.1104186961828461E-2</v>
      </c>
      <c r="AB320" s="15">
        <f t="shared" si="28"/>
        <v>0.13325024354194154</v>
      </c>
      <c r="AC320" t="b">
        <f t="shared" si="29"/>
        <v>1</v>
      </c>
    </row>
    <row r="321" spans="1:29" x14ac:dyDescent="0.25">
      <c r="A321" s="52" t="s">
        <v>259</v>
      </c>
      <c r="B321" s="46">
        <v>30013</v>
      </c>
      <c r="C321" s="47">
        <v>45772</v>
      </c>
      <c r="D321" s="46">
        <v>311500</v>
      </c>
      <c r="E321" s="46">
        <v>2</v>
      </c>
      <c r="F321" s="52" t="s">
        <v>1967</v>
      </c>
      <c r="G321" s="46">
        <v>6</v>
      </c>
      <c r="H321" s="52" t="s">
        <v>1642</v>
      </c>
      <c r="I321" s="46"/>
      <c r="J321" s="46">
        <v>0</v>
      </c>
      <c r="K321" s="46"/>
      <c r="L321" s="52" t="s">
        <v>231</v>
      </c>
      <c r="M321" s="53">
        <v>2760000</v>
      </c>
      <c r="N321" s="46">
        <v>60</v>
      </c>
      <c r="O321" s="46">
        <v>0</v>
      </c>
      <c r="P321" s="46">
        <v>1</v>
      </c>
      <c r="Q321" s="52">
        <v>8</v>
      </c>
      <c r="R321" s="53">
        <v>82041</v>
      </c>
      <c r="S321" s="46">
        <v>1</v>
      </c>
      <c r="T321" s="53">
        <v>113500</v>
      </c>
      <c r="U321" s="53">
        <f t="shared" si="33"/>
        <v>39300</v>
      </c>
      <c r="V321" s="46">
        <v>1</v>
      </c>
      <c r="W321" s="53">
        <v>57981</v>
      </c>
      <c r="X321" s="46">
        <v>1</v>
      </c>
      <c r="Y321" s="46">
        <v>1</v>
      </c>
      <c r="Z321" s="54">
        <v>0.13405763774997601</v>
      </c>
      <c r="AA321" s="15">
        <f t="shared" si="27"/>
        <v>1.1171469812498001E-2</v>
      </c>
      <c r="AB321" s="15">
        <f t="shared" si="28"/>
        <v>0.13405763774997601</v>
      </c>
      <c r="AC321" t="b">
        <f t="shared" si="29"/>
        <v>1</v>
      </c>
    </row>
    <row r="322" spans="1:29" x14ac:dyDescent="0.25">
      <c r="A322" s="52" t="s">
        <v>259</v>
      </c>
      <c r="B322" s="46">
        <v>30013</v>
      </c>
      <c r="C322" s="47">
        <v>45772</v>
      </c>
      <c r="D322" s="46">
        <v>321600</v>
      </c>
      <c r="E322" s="46">
        <v>2</v>
      </c>
      <c r="F322" s="52" t="s">
        <v>1968</v>
      </c>
      <c r="G322" s="46">
        <v>6</v>
      </c>
      <c r="H322" s="52" t="s">
        <v>784</v>
      </c>
      <c r="I322" s="46"/>
      <c r="J322" s="46">
        <v>0</v>
      </c>
      <c r="K322" s="46"/>
      <c r="L322" s="52" t="s">
        <v>231</v>
      </c>
      <c r="M322" s="53">
        <v>1000000</v>
      </c>
      <c r="N322" s="46">
        <v>12</v>
      </c>
      <c r="O322" s="46">
        <v>0</v>
      </c>
      <c r="P322" s="46">
        <v>1</v>
      </c>
      <c r="Q322" s="52">
        <v>10</v>
      </c>
      <c r="R322" s="53">
        <v>11890</v>
      </c>
      <c r="S322" s="46">
        <v>1</v>
      </c>
      <c r="T322" s="53">
        <v>0</v>
      </c>
      <c r="U322" s="53">
        <f t="shared" si="33"/>
        <v>21700</v>
      </c>
      <c r="V322" s="46">
        <v>1</v>
      </c>
      <c r="W322" s="53">
        <v>88797</v>
      </c>
      <c r="X322" s="46">
        <v>1</v>
      </c>
      <c r="Y322" s="46">
        <v>1</v>
      </c>
      <c r="Z322" s="54">
        <v>0.18427066427090119</v>
      </c>
      <c r="AA322" s="15">
        <f t="shared" si="27"/>
        <v>1.5355888689241766E-2</v>
      </c>
      <c r="AB322" s="15">
        <f t="shared" si="28"/>
        <v>0.18427066427090119</v>
      </c>
      <c r="AC322" t="b">
        <f t="shared" si="29"/>
        <v>1</v>
      </c>
    </row>
    <row r="323" spans="1:29" x14ac:dyDescent="0.25">
      <c r="A323" s="52" t="s">
        <v>259</v>
      </c>
      <c r="B323" s="46">
        <v>30013</v>
      </c>
      <c r="C323" s="47">
        <v>45772</v>
      </c>
      <c r="D323" s="46">
        <v>321300</v>
      </c>
      <c r="E323" s="46">
        <v>2</v>
      </c>
      <c r="F323" s="52" t="s">
        <v>1969</v>
      </c>
      <c r="G323" s="46">
        <v>6</v>
      </c>
      <c r="H323" s="52" t="s">
        <v>784</v>
      </c>
      <c r="I323" s="46" t="s">
        <v>1177</v>
      </c>
      <c r="J323" s="46">
        <v>0</v>
      </c>
      <c r="K323" s="46"/>
      <c r="L323" s="52" t="s">
        <v>696</v>
      </c>
      <c r="M323" s="53">
        <v>60000000</v>
      </c>
      <c r="N323" s="46">
        <v>24</v>
      </c>
      <c r="O323" s="46">
        <v>0</v>
      </c>
      <c r="P323" s="46">
        <v>1</v>
      </c>
      <c r="Q323" s="52">
        <v>8</v>
      </c>
      <c r="R323" s="53">
        <v>713400</v>
      </c>
      <c r="S323" s="46">
        <v>1</v>
      </c>
      <c r="T323" s="53">
        <v>0</v>
      </c>
      <c r="U323" s="53">
        <f t="shared" si="33"/>
        <v>611700</v>
      </c>
      <c r="V323" s="46">
        <v>1</v>
      </c>
      <c r="W323" s="53">
        <v>2755201</v>
      </c>
      <c r="X323" s="46">
        <v>1</v>
      </c>
      <c r="Y323" s="46">
        <v>1</v>
      </c>
      <c r="Z323" s="54">
        <v>0.11750545947496262</v>
      </c>
      <c r="AA323" s="15">
        <f t="shared" si="27"/>
        <v>9.7921216229135515E-3</v>
      </c>
      <c r="AB323" s="15">
        <f t="shared" si="28"/>
        <v>0.11750545947496262</v>
      </c>
      <c r="AC323" t="b">
        <f t="shared" si="29"/>
        <v>1</v>
      </c>
    </row>
    <row r="324" spans="1:29" x14ac:dyDescent="0.25">
      <c r="A324" s="52" t="s">
        <v>259</v>
      </c>
      <c r="B324" s="46">
        <v>30013</v>
      </c>
      <c r="C324" s="47">
        <v>45772</v>
      </c>
      <c r="D324" s="46">
        <v>311730</v>
      </c>
      <c r="E324" s="46">
        <v>2</v>
      </c>
      <c r="F324" s="52" t="s">
        <v>1970</v>
      </c>
      <c r="G324" s="46">
        <v>6</v>
      </c>
      <c r="H324" s="52" t="s">
        <v>784</v>
      </c>
      <c r="I324" s="46"/>
      <c r="J324" s="46">
        <v>0</v>
      </c>
      <c r="K324" s="46"/>
      <c r="L324" s="52" t="s">
        <v>261</v>
      </c>
      <c r="M324" s="53">
        <v>2800000</v>
      </c>
      <c r="N324" s="46">
        <v>35</v>
      </c>
      <c r="O324" s="46">
        <v>0</v>
      </c>
      <c r="P324" s="46">
        <v>1</v>
      </c>
      <c r="Q324" s="52">
        <v>11</v>
      </c>
      <c r="R324" s="53">
        <v>40723</v>
      </c>
      <c r="S324" s="46">
        <v>1</v>
      </c>
      <c r="T324" s="53">
        <v>71250</v>
      </c>
      <c r="U324" s="53">
        <f t="shared" si="33"/>
        <v>39700</v>
      </c>
      <c r="V324" s="46">
        <v>1</v>
      </c>
      <c r="W324" s="53">
        <v>96657</v>
      </c>
      <c r="X324" s="46">
        <v>1</v>
      </c>
      <c r="Y324" s="46">
        <v>1</v>
      </c>
      <c r="Z324" s="54">
        <v>0.17124500586004321</v>
      </c>
      <c r="AA324" s="15">
        <f t="shared" ref="AA324:AA387" si="34">RATE(N324,-W324,M324-R324-T324-U324)</f>
        <v>1.4270417155003601E-2</v>
      </c>
      <c r="AB324" s="15">
        <f t="shared" ref="AB324:AB387" si="35">IF(P324=1,AA324*12,IF(P324=2,AA324*4,IF(P324=3,AA324*2,AA324)))</f>
        <v>0.17124500586004321</v>
      </c>
      <c r="AC324" t="b">
        <f t="shared" ref="AC324:AC387" si="36">AB324=Z324</f>
        <v>1</v>
      </c>
    </row>
    <row r="325" spans="1:29" x14ac:dyDescent="0.25">
      <c r="A325" s="52" t="s">
        <v>259</v>
      </c>
      <c r="B325" s="46">
        <v>30013</v>
      </c>
      <c r="C325" s="47">
        <v>45775</v>
      </c>
      <c r="D325" s="46">
        <v>311500</v>
      </c>
      <c r="E325" s="46">
        <v>2</v>
      </c>
      <c r="F325" s="52" t="s">
        <v>1971</v>
      </c>
      <c r="G325" s="46">
        <v>6</v>
      </c>
      <c r="H325" s="52" t="s">
        <v>1642</v>
      </c>
      <c r="I325" s="46"/>
      <c r="J325" s="46">
        <v>0</v>
      </c>
      <c r="K325" s="46"/>
      <c r="L325" s="52" t="s">
        <v>700</v>
      </c>
      <c r="M325" s="53">
        <v>4950000</v>
      </c>
      <c r="N325" s="46">
        <v>72</v>
      </c>
      <c r="O325" s="46">
        <v>0</v>
      </c>
      <c r="P325" s="46">
        <v>1</v>
      </c>
      <c r="Q325" s="52">
        <v>12</v>
      </c>
      <c r="R325" s="53">
        <v>88283</v>
      </c>
      <c r="S325" s="46">
        <v>1</v>
      </c>
      <c r="T325" s="53">
        <v>232750</v>
      </c>
      <c r="U325" s="53">
        <f t="shared" si="33"/>
        <v>61200</v>
      </c>
      <c r="V325" s="46">
        <v>1</v>
      </c>
      <c r="W325" s="53">
        <v>102710</v>
      </c>
      <c r="X325" s="46">
        <v>1</v>
      </c>
      <c r="Y325" s="46">
        <v>1</v>
      </c>
      <c r="Z325" s="54">
        <v>0.1742835252293162</v>
      </c>
      <c r="AA325" s="15">
        <f t="shared" si="34"/>
        <v>1.4523627102443017E-2</v>
      </c>
      <c r="AB325" s="15">
        <f t="shared" si="35"/>
        <v>0.1742835252293162</v>
      </c>
      <c r="AC325" t="b">
        <f t="shared" si="36"/>
        <v>1</v>
      </c>
    </row>
    <row r="326" spans="1:29" x14ac:dyDescent="0.25">
      <c r="A326" s="52" t="s">
        <v>259</v>
      </c>
      <c r="B326" s="46">
        <v>30013</v>
      </c>
      <c r="C326" s="47">
        <v>45775</v>
      </c>
      <c r="D326" s="46">
        <v>311500</v>
      </c>
      <c r="E326" s="46">
        <v>2</v>
      </c>
      <c r="F326" s="52" t="s">
        <v>1972</v>
      </c>
      <c r="G326" s="46">
        <v>6</v>
      </c>
      <c r="H326" s="52" t="s">
        <v>784</v>
      </c>
      <c r="I326" s="46"/>
      <c r="J326" s="46">
        <v>0</v>
      </c>
      <c r="K326" s="46"/>
      <c r="L326" s="52" t="s">
        <v>261</v>
      </c>
      <c r="M326" s="53">
        <v>2050000</v>
      </c>
      <c r="N326" s="46">
        <v>48</v>
      </c>
      <c r="O326" s="46">
        <v>0</v>
      </c>
      <c r="P326" s="46">
        <v>1</v>
      </c>
      <c r="Q326" s="52">
        <v>12</v>
      </c>
      <c r="R326" s="53">
        <v>60936</v>
      </c>
      <c r="S326" s="46">
        <v>1</v>
      </c>
      <c r="T326" s="53">
        <v>71500</v>
      </c>
      <c r="U326" s="53">
        <f t="shared" si="33"/>
        <v>32200</v>
      </c>
      <c r="V326" s="46">
        <v>1</v>
      </c>
      <c r="W326" s="53">
        <v>56295</v>
      </c>
      <c r="X326" s="46">
        <v>1</v>
      </c>
      <c r="Y326" s="46">
        <v>1</v>
      </c>
      <c r="Z326" s="54">
        <v>0.18921964780014</v>
      </c>
      <c r="AA326" s="15">
        <f t="shared" si="34"/>
        <v>1.5768303983345E-2</v>
      </c>
      <c r="AB326" s="15">
        <f t="shared" si="35"/>
        <v>0.18921964780014</v>
      </c>
      <c r="AC326" t="b">
        <f t="shared" si="36"/>
        <v>1</v>
      </c>
    </row>
    <row r="327" spans="1:29" x14ac:dyDescent="0.25">
      <c r="A327" s="52" t="s">
        <v>259</v>
      </c>
      <c r="B327" s="46">
        <v>30013</v>
      </c>
      <c r="C327" s="47">
        <v>45775</v>
      </c>
      <c r="D327" s="46">
        <v>321600</v>
      </c>
      <c r="E327" s="46">
        <v>2</v>
      </c>
      <c r="F327" s="52" t="s">
        <v>1973</v>
      </c>
      <c r="G327" s="46">
        <v>6</v>
      </c>
      <c r="H327" s="52" t="s">
        <v>1642</v>
      </c>
      <c r="I327" s="46"/>
      <c r="J327" s="46">
        <v>0</v>
      </c>
      <c r="K327" s="46"/>
      <c r="L327" s="52" t="s">
        <v>231</v>
      </c>
      <c r="M327" s="53">
        <v>1200000</v>
      </c>
      <c r="N327" s="46">
        <v>12</v>
      </c>
      <c r="O327" s="46">
        <v>0</v>
      </c>
      <c r="P327" s="46">
        <v>1</v>
      </c>
      <c r="Q327" s="52">
        <v>10</v>
      </c>
      <c r="R327" s="53">
        <v>14268</v>
      </c>
      <c r="S327" s="46">
        <v>1</v>
      </c>
      <c r="T327" s="53">
        <v>0</v>
      </c>
      <c r="U327" s="53">
        <f t="shared" si="33"/>
        <v>23700</v>
      </c>
      <c r="V327" s="46">
        <v>1</v>
      </c>
      <c r="W327" s="53">
        <v>106557</v>
      </c>
      <c r="X327" s="46">
        <v>1</v>
      </c>
      <c r="Y327" s="46">
        <v>1</v>
      </c>
      <c r="Z327" s="54">
        <v>0.18039624234018087</v>
      </c>
      <c r="AA327" s="15">
        <f t="shared" si="34"/>
        <v>1.5033020195015071E-2</v>
      </c>
      <c r="AB327" s="15">
        <f t="shared" si="35"/>
        <v>0.18039624234018087</v>
      </c>
      <c r="AC327" t="b">
        <f t="shared" si="36"/>
        <v>1</v>
      </c>
    </row>
    <row r="328" spans="1:29" x14ac:dyDescent="0.25">
      <c r="A328" s="52" t="s">
        <v>259</v>
      </c>
      <c r="B328" s="46">
        <v>30013</v>
      </c>
      <c r="C328" s="47">
        <v>45775</v>
      </c>
      <c r="D328" s="46">
        <v>311500</v>
      </c>
      <c r="E328" s="46">
        <v>2</v>
      </c>
      <c r="F328" s="52" t="s">
        <v>1974</v>
      </c>
      <c r="G328" s="46">
        <v>6</v>
      </c>
      <c r="H328" s="52" t="s">
        <v>784</v>
      </c>
      <c r="I328" s="46"/>
      <c r="J328" s="46">
        <v>0</v>
      </c>
      <c r="K328" s="46"/>
      <c r="L328" s="52" t="s">
        <v>261</v>
      </c>
      <c r="M328" s="53">
        <v>4950000</v>
      </c>
      <c r="N328" s="46">
        <v>72</v>
      </c>
      <c r="O328" s="46">
        <v>0</v>
      </c>
      <c r="P328" s="46">
        <v>1</v>
      </c>
      <c r="Q328" s="52">
        <v>12</v>
      </c>
      <c r="R328" s="53">
        <v>88283</v>
      </c>
      <c r="S328" s="46">
        <v>1</v>
      </c>
      <c r="T328" s="53">
        <v>232750</v>
      </c>
      <c r="U328" s="53">
        <f t="shared" si="33"/>
        <v>61200</v>
      </c>
      <c r="V328" s="46">
        <v>1</v>
      </c>
      <c r="W328" s="53">
        <v>102710</v>
      </c>
      <c r="X328" s="46">
        <v>1</v>
      </c>
      <c r="Y328" s="46">
        <v>1</v>
      </c>
      <c r="Z328" s="54">
        <v>0.1742835252293162</v>
      </c>
      <c r="AA328" s="15">
        <f t="shared" si="34"/>
        <v>1.4523627102443017E-2</v>
      </c>
      <c r="AB328" s="15">
        <f t="shared" si="35"/>
        <v>0.1742835252293162</v>
      </c>
      <c r="AC328" t="b">
        <f t="shared" si="36"/>
        <v>1</v>
      </c>
    </row>
    <row r="329" spans="1:29" x14ac:dyDescent="0.25">
      <c r="A329" s="52" t="s">
        <v>259</v>
      </c>
      <c r="B329" s="46">
        <v>30013</v>
      </c>
      <c r="C329" s="47">
        <v>45775</v>
      </c>
      <c r="D329" s="46">
        <v>321600</v>
      </c>
      <c r="E329" s="46">
        <v>2</v>
      </c>
      <c r="F329" s="52" t="s">
        <v>725</v>
      </c>
      <c r="G329" s="46">
        <v>6</v>
      </c>
      <c r="H329" s="52" t="s">
        <v>1642</v>
      </c>
      <c r="I329" s="46"/>
      <c r="J329" s="46">
        <v>0</v>
      </c>
      <c r="K329" s="46"/>
      <c r="L329" s="52" t="s">
        <v>261</v>
      </c>
      <c r="M329" s="53">
        <v>735000</v>
      </c>
      <c r="N329" s="46">
        <v>12</v>
      </c>
      <c r="O329" s="46">
        <v>0</v>
      </c>
      <c r="P329" s="46">
        <v>1</v>
      </c>
      <c r="Q329" s="52">
        <v>10</v>
      </c>
      <c r="R329" s="53">
        <v>8739</v>
      </c>
      <c r="S329" s="46">
        <v>1</v>
      </c>
      <c r="T329" s="53">
        <v>0</v>
      </c>
      <c r="U329" s="53">
        <v>21700</v>
      </c>
      <c r="V329" s="46">
        <v>1</v>
      </c>
      <c r="W329" s="53">
        <v>65266</v>
      </c>
      <c r="X329" s="46">
        <v>1</v>
      </c>
      <c r="Y329" s="46">
        <v>1</v>
      </c>
      <c r="Z329" s="54">
        <v>0.19998042384121067</v>
      </c>
      <c r="AA329" s="15">
        <f t="shared" si="34"/>
        <v>1.6665035320100888E-2</v>
      </c>
      <c r="AB329" s="15">
        <f t="shared" si="35"/>
        <v>0.19998042384121067</v>
      </c>
      <c r="AC329" t="b">
        <f t="shared" si="36"/>
        <v>1</v>
      </c>
    </row>
    <row r="330" spans="1:29" x14ac:dyDescent="0.25">
      <c r="A330" s="52" t="s">
        <v>259</v>
      </c>
      <c r="B330" s="46">
        <v>30013</v>
      </c>
      <c r="C330" s="47">
        <v>45775</v>
      </c>
      <c r="D330" s="46">
        <v>311500</v>
      </c>
      <c r="E330" s="46">
        <v>2</v>
      </c>
      <c r="F330" s="52" t="s">
        <v>1975</v>
      </c>
      <c r="G330" s="46">
        <v>6</v>
      </c>
      <c r="H330" s="52" t="s">
        <v>784</v>
      </c>
      <c r="I330" s="46"/>
      <c r="J330" s="46">
        <v>0</v>
      </c>
      <c r="K330" s="46"/>
      <c r="L330" s="52" t="s">
        <v>261</v>
      </c>
      <c r="M330" s="53">
        <v>2200000</v>
      </c>
      <c r="N330" s="46">
        <v>48</v>
      </c>
      <c r="O330" s="46">
        <v>0</v>
      </c>
      <c r="P330" s="46">
        <v>1</v>
      </c>
      <c r="Q330" s="52">
        <v>12</v>
      </c>
      <c r="R330" s="53">
        <v>65395</v>
      </c>
      <c r="S330" s="46">
        <v>1</v>
      </c>
      <c r="T330" s="53">
        <v>76000</v>
      </c>
      <c r="U330" s="53">
        <f t="shared" ref="U330:U338" si="37">M330/100+11700</f>
        <v>33700</v>
      </c>
      <c r="V330" s="46">
        <v>1</v>
      </c>
      <c r="W330" s="53">
        <v>60414</v>
      </c>
      <c r="X330" s="46">
        <v>1</v>
      </c>
      <c r="Y330" s="46">
        <v>1</v>
      </c>
      <c r="Z330" s="54">
        <v>0.18877421812183873</v>
      </c>
      <c r="AA330" s="15">
        <f t="shared" si="34"/>
        <v>1.5731184843486561E-2</v>
      </c>
      <c r="AB330" s="15">
        <f t="shared" si="35"/>
        <v>0.18877421812183873</v>
      </c>
      <c r="AC330" t="b">
        <f t="shared" si="36"/>
        <v>1</v>
      </c>
    </row>
    <row r="331" spans="1:29" x14ac:dyDescent="0.25">
      <c r="A331" s="52" t="s">
        <v>259</v>
      </c>
      <c r="B331" s="46">
        <v>30013</v>
      </c>
      <c r="C331" s="47">
        <v>45775</v>
      </c>
      <c r="D331" s="46">
        <v>311500</v>
      </c>
      <c r="E331" s="46">
        <v>2</v>
      </c>
      <c r="F331" s="52" t="s">
        <v>1976</v>
      </c>
      <c r="G331" s="46">
        <v>6</v>
      </c>
      <c r="H331" s="52" t="s">
        <v>784</v>
      </c>
      <c r="I331" s="46"/>
      <c r="J331" s="46">
        <v>0</v>
      </c>
      <c r="K331" s="46"/>
      <c r="L331" s="52" t="s">
        <v>231</v>
      </c>
      <c r="M331" s="53">
        <v>5650000</v>
      </c>
      <c r="N331" s="46">
        <v>60</v>
      </c>
      <c r="O331" s="46">
        <v>0</v>
      </c>
      <c r="P331" s="46">
        <v>1</v>
      </c>
      <c r="Q331" s="52">
        <v>8</v>
      </c>
      <c r="R331" s="53">
        <v>167946</v>
      </c>
      <c r="S331" s="46">
        <v>1</v>
      </c>
      <c r="T331" s="53">
        <v>221875</v>
      </c>
      <c r="U331" s="53">
        <f t="shared" si="37"/>
        <v>68200</v>
      </c>
      <c r="V331" s="46">
        <v>1</v>
      </c>
      <c r="W331" s="53">
        <v>118694</v>
      </c>
      <c r="X331" s="46">
        <v>1</v>
      </c>
      <c r="Y331" s="46">
        <v>1</v>
      </c>
      <c r="Z331" s="54">
        <v>0.13210611448720341</v>
      </c>
      <c r="AA331" s="15">
        <f t="shared" si="34"/>
        <v>1.1008842873933618E-2</v>
      </c>
      <c r="AB331" s="15">
        <f t="shared" si="35"/>
        <v>0.13210611448720341</v>
      </c>
      <c r="AC331" t="b">
        <f t="shared" si="36"/>
        <v>1</v>
      </c>
    </row>
    <row r="332" spans="1:29" x14ac:dyDescent="0.25">
      <c r="A332" s="52" t="s">
        <v>259</v>
      </c>
      <c r="B332" s="46">
        <v>30013</v>
      </c>
      <c r="C332" s="47">
        <v>45775</v>
      </c>
      <c r="D332" s="46">
        <v>311500</v>
      </c>
      <c r="E332" s="46">
        <v>2</v>
      </c>
      <c r="F332" s="52" t="s">
        <v>1977</v>
      </c>
      <c r="G332" s="46">
        <v>6</v>
      </c>
      <c r="H332" s="52" t="s">
        <v>784</v>
      </c>
      <c r="I332" s="46"/>
      <c r="J332" s="46">
        <v>0</v>
      </c>
      <c r="K332" s="46"/>
      <c r="L332" s="52" t="s">
        <v>261</v>
      </c>
      <c r="M332" s="53">
        <v>1800000</v>
      </c>
      <c r="N332" s="46">
        <v>36</v>
      </c>
      <c r="O332" s="46">
        <v>0</v>
      </c>
      <c r="P332" s="46">
        <v>1</v>
      </c>
      <c r="Q332" s="52">
        <v>12</v>
      </c>
      <c r="R332" s="53">
        <v>53505</v>
      </c>
      <c r="S332" s="46">
        <v>1</v>
      </c>
      <c r="T332" s="53">
        <v>50500</v>
      </c>
      <c r="U332" s="53">
        <f t="shared" si="37"/>
        <v>29700</v>
      </c>
      <c r="V332" s="46">
        <v>1</v>
      </c>
      <c r="W332" s="53">
        <v>61754</v>
      </c>
      <c r="X332" s="46">
        <v>1</v>
      </c>
      <c r="Y332" s="46">
        <v>1</v>
      </c>
      <c r="Z332" s="54">
        <v>0.19797853665042853</v>
      </c>
      <c r="AA332" s="15">
        <f t="shared" si="34"/>
        <v>1.6498211387535711E-2</v>
      </c>
      <c r="AB332" s="15">
        <f t="shared" si="35"/>
        <v>0.19797853665042853</v>
      </c>
      <c r="AC332" t="b">
        <f t="shared" si="36"/>
        <v>1</v>
      </c>
    </row>
    <row r="333" spans="1:29" x14ac:dyDescent="0.25">
      <c r="A333" s="52" t="s">
        <v>259</v>
      </c>
      <c r="B333" s="46">
        <v>30013</v>
      </c>
      <c r="C333" s="47">
        <v>45775</v>
      </c>
      <c r="D333" s="46">
        <v>321300</v>
      </c>
      <c r="E333" s="46">
        <v>2</v>
      </c>
      <c r="F333" s="52" t="s">
        <v>1978</v>
      </c>
      <c r="G333" s="46">
        <v>6</v>
      </c>
      <c r="H333" s="52" t="s">
        <v>1642</v>
      </c>
      <c r="I333" s="46"/>
      <c r="J333" s="46">
        <v>0</v>
      </c>
      <c r="K333" s="46"/>
      <c r="L333" s="52" t="s">
        <v>717</v>
      </c>
      <c r="M333" s="55">
        <v>1990000</v>
      </c>
      <c r="N333" s="46">
        <v>8</v>
      </c>
      <c r="O333" s="46">
        <v>0</v>
      </c>
      <c r="P333" s="46">
        <v>2</v>
      </c>
      <c r="Q333" s="52">
        <v>12</v>
      </c>
      <c r="R333" s="55">
        <v>59153</v>
      </c>
      <c r="S333" s="46">
        <v>1</v>
      </c>
      <c r="T333" s="55">
        <v>39850</v>
      </c>
      <c r="U333" s="53">
        <f t="shared" si="37"/>
        <v>31600</v>
      </c>
      <c r="V333" s="46">
        <v>1</v>
      </c>
      <c r="W333" s="55">
        <v>296122</v>
      </c>
      <c r="X333" s="46">
        <v>1</v>
      </c>
      <c r="Y333" s="46">
        <v>1</v>
      </c>
      <c r="Z333" s="54">
        <v>0.22880624521335177</v>
      </c>
      <c r="AA333" s="15">
        <f t="shared" si="34"/>
        <v>5.7201561303337943E-2</v>
      </c>
      <c r="AB333" s="15">
        <f t="shared" si="35"/>
        <v>0.22880624521335177</v>
      </c>
      <c r="AC333" t="b">
        <f t="shared" si="36"/>
        <v>1</v>
      </c>
    </row>
    <row r="334" spans="1:29" x14ac:dyDescent="0.25">
      <c r="A334" s="52" t="s">
        <v>259</v>
      </c>
      <c r="B334" s="46">
        <v>30013</v>
      </c>
      <c r="C334" s="47">
        <v>45776</v>
      </c>
      <c r="D334" s="46">
        <v>311500</v>
      </c>
      <c r="E334" s="46">
        <v>2</v>
      </c>
      <c r="F334" s="52" t="s">
        <v>1979</v>
      </c>
      <c r="G334" s="46">
        <v>6</v>
      </c>
      <c r="H334" s="52" t="s">
        <v>784</v>
      </c>
      <c r="I334" s="46"/>
      <c r="J334" s="46">
        <v>0</v>
      </c>
      <c r="K334" s="46"/>
      <c r="L334" s="52" t="s">
        <v>690</v>
      </c>
      <c r="M334" s="53">
        <v>3800000</v>
      </c>
      <c r="N334" s="46">
        <v>60</v>
      </c>
      <c r="O334" s="46">
        <v>0</v>
      </c>
      <c r="P334" s="46">
        <v>1</v>
      </c>
      <c r="Q334" s="52">
        <v>8</v>
      </c>
      <c r="R334" s="53">
        <v>112955</v>
      </c>
      <c r="S334" s="46">
        <v>1</v>
      </c>
      <c r="T334" s="53">
        <v>152500</v>
      </c>
      <c r="U334" s="53">
        <f t="shared" si="37"/>
        <v>49700</v>
      </c>
      <c r="V334" s="46">
        <v>1</v>
      </c>
      <c r="W334" s="53">
        <v>79829</v>
      </c>
      <c r="X334" s="46">
        <v>1</v>
      </c>
      <c r="Y334" s="46">
        <v>1</v>
      </c>
      <c r="Z334" s="54">
        <v>0.13301040002123465</v>
      </c>
      <c r="AA334" s="15">
        <f t="shared" si="34"/>
        <v>1.1084200001769554E-2</v>
      </c>
      <c r="AB334" s="15">
        <f t="shared" si="35"/>
        <v>0.13301040002123465</v>
      </c>
      <c r="AC334" t="b">
        <f t="shared" si="36"/>
        <v>1</v>
      </c>
    </row>
    <row r="335" spans="1:29" x14ac:dyDescent="0.25">
      <c r="A335" s="52" t="s">
        <v>259</v>
      </c>
      <c r="B335" s="46">
        <v>30013</v>
      </c>
      <c r="C335" s="47">
        <v>45776</v>
      </c>
      <c r="D335" s="46">
        <v>311500</v>
      </c>
      <c r="E335" s="46">
        <v>2</v>
      </c>
      <c r="F335" s="52" t="s">
        <v>1980</v>
      </c>
      <c r="G335" s="46">
        <v>6</v>
      </c>
      <c r="H335" s="52" t="s">
        <v>1689</v>
      </c>
      <c r="I335" s="46"/>
      <c r="J335" s="46">
        <v>0</v>
      </c>
      <c r="K335" s="46"/>
      <c r="L335" s="52" t="s">
        <v>687</v>
      </c>
      <c r="M335" s="53">
        <v>1840000</v>
      </c>
      <c r="N335" s="46">
        <v>60</v>
      </c>
      <c r="O335" s="46">
        <v>0</v>
      </c>
      <c r="P335" s="46">
        <v>1</v>
      </c>
      <c r="Q335" s="52">
        <v>12</v>
      </c>
      <c r="R335" s="53">
        <v>54694</v>
      </c>
      <c r="S335" s="46">
        <v>1</v>
      </c>
      <c r="T335" s="53">
        <v>79000</v>
      </c>
      <c r="U335" s="53">
        <f t="shared" si="37"/>
        <v>30100</v>
      </c>
      <c r="V335" s="46">
        <v>1</v>
      </c>
      <c r="W335" s="53">
        <v>43070</v>
      </c>
      <c r="X335" s="46">
        <v>1</v>
      </c>
      <c r="Y335" s="46">
        <v>1</v>
      </c>
      <c r="Z335" s="54">
        <v>0.18552482785171648</v>
      </c>
      <c r="AA335" s="15">
        <f t="shared" si="34"/>
        <v>1.5460402320976374E-2</v>
      </c>
      <c r="AB335" s="15">
        <f t="shared" si="35"/>
        <v>0.18552482785171648</v>
      </c>
      <c r="AC335" t="b">
        <f t="shared" si="36"/>
        <v>1</v>
      </c>
    </row>
    <row r="336" spans="1:29" x14ac:dyDescent="0.25">
      <c r="A336" s="52" t="s">
        <v>259</v>
      </c>
      <c r="B336" s="46">
        <v>30013</v>
      </c>
      <c r="C336" s="47">
        <v>45776</v>
      </c>
      <c r="D336" s="46">
        <v>311500</v>
      </c>
      <c r="E336" s="46">
        <v>2</v>
      </c>
      <c r="F336" s="52" t="s">
        <v>1981</v>
      </c>
      <c r="G336" s="46">
        <v>6</v>
      </c>
      <c r="H336" s="52" t="s">
        <v>784</v>
      </c>
      <c r="I336" s="46"/>
      <c r="J336" s="46">
        <v>0</v>
      </c>
      <c r="K336" s="46"/>
      <c r="L336" s="52" t="s">
        <v>694</v>
      </c>
      <c r="M336" s="53">
        <v>3000000</v>
      </c>
      <c r="N336" s="46">
        <v>84</v>
      </c>
      <c r="O336" s="46">
        <v>0</v>
      </c>
      <c r="P336" s="46">
        <v>1</v>
      </c>
      <c r="Q336" s="52">
        <v>12</v>
      </c>
      <c r="R336" s="53">
        <v>53505</v>
      </c>
      <c r="S336" s="46">
        <v>1</v>
      </c>
      <c r="T336" s="53">
        <v>167500</v>
      </c>
      <c r="U336" s="53">
        <f t="shared" si="37"/>
        <v>41700</v>
      </c>
      <c r="V336" s="46">
        <v>1</v>
      </c>
      <c r="W336" s="53">
        <v>56665</v>
      </c>
      <c r="X336" s="46">
        <v>1</v>
      </c>
      <c r="Y336" s="46">
        <v>1</v>
      </c>
      <c r="Z336" s="54">
        <v>0.17457549893897253</v>
      </c>
      <c r="AA336" s="15">
        <f t="shared" si="34"/>
        <v>1.4547958244914378E-2</v>
      </c>
      <c r="AB336" s="15">
        <f t="shared" si="35"/>
        <v>0.17457549893897253</v>
      </c>
      <c r="AC336" t="b">
        <f t="shared" si="36"/>
        <v>1</v>
      </c>
    </row>
    <row r="337" spans="1:29" x14ac:dyDescent="0.25">
      <c r="A337" s="52" t="s">
        <v>259</v>
      </c>
      <c r="B337" s="46">
        <v>30013</v>
      </c>
      <c r="C337" s="47">
        <v>45776</v>
      </c>
      <c r="D337" s="46">
        <v>311500</v>
      </c>
      <c r="E337" s="46">
        <v>2</v>
      </c>
      <c r="F337" s="52" t="s">
        <v>1982</v>
      </c>
      <c r="G337" s="46">
        <v>6</v>
      </c>
      <c r="H337" s="52" t="s">
        <v>1689</v>
      </c>
      <c r="I337" s="46"/>
      <c r="J337" s="46">
        <v>0</v>
      </c>
      <c r="K337" s="46"/>
      <c r="L337" s="52" t="s">
        <v>693</v>
      </c>
      <c r="M337" s="53">
        <v>8700000</v>
      </c>
      <c r="N337" s="46">
        <v>84</v>
      </c>
      <c r="O337" s="46">
        <v>0</v>
      </c>
      <c r="P337" s="46">
        <v>1</v>
      </c>
      <c r="Q337" s="52">
        <v>12</v>
      </c>
      <c r="R337" s="53">
        <v>155165</v>
      </c>
      <c r="S337" s="46">
        <v>1</v>
      </c>
      <c r="T337" s="53">
        <v>471750</v>
      </c>
      <c r="U337" s="53">
        <f t="shared" si="37"/>
        <v>98700</v>
      </c>
      <c r="V337" s="46">
        <v>1</v>
      </c>
      <c r="W337" s="53">
        <v>164329</v>
      </c>
      <c r="X337" s="46">
        <v>1</v>
      </c>
      <c r="Y337" s="46">
        <v>1</v>
      </c>
      <c r="Z337" s="54">
        <v>0.17295788548854954</v>
      </c>
      <c r="AA337" s="15">
        <f t="shared" si="34"/>
        <v>1.4413157124045796E-2</v>
      </c>
      <c r="AB337" s="15">
        <f t="shared" si="35"/>
        <v>0.17295788548854954</v>
      </c>
      <c r="AC337" t="b">
        <f t="shared" si="36"/>
        <v>1</v>
      </c>
    </row>
    <row r="338" spans="1:29" x14ac:dyDescent="0.25">
      <c r="A338" s="52" t="s">
        <v>259</v>
      </c>
      <c r="B338" s="46">
        <v>30013</v>
      </c>
      <c r="C338" s="47">
        <v>45776</v>
      </c>
      <c r="D338" s="46">
        <v>311500</v>
      </c>
      <c r="E338" s="46">
        <v>2</v>
      </c>
      <c r="F338" s="52" t="s">
        <v>1983</v>
      </c>
      <c r="G338" s="46">
        <v>6</v>
      </c>
      <c r="H338" s="52" t="s">
        <v>784</v>
      </c>
      <c r="I338" s="46"/>
      <c r="J338" s="46">
        <v>0</v>
      </c>
      <c r="K338" s="46"/>
      <c r="L338" s="52" t="s">
        <v>261</v>
      </c>
      <c r="M338" s="53">
        <v>4300000</v>
      </c>
      <c r="N338" s="46">
        <v>60</v>
      </c>
      <c r="O338" s="46">
        <v>0</v>
      </c>
      <c r="P338" s="46">
        <v>1</v>
      </c>
      <c r="Q338" s="52">
        <v>12</v>
      </c>
      <c r="R338" s="53">
        <v>127818</v>
      </c>
      <c r="S338" s="46">
        <v>1</v>
      </c>
      <c r="T338" s="53">
        <v>171250</v>
      </c>
      <c r="U338" s="53">
        <f t="shared" si="37"/>
        <v>54700</v>
      </c>
      <c r="V338" s="46">
        <v>1</v>
      </c>
      <c r="W338" s="53">
        <v>100652</v>
      </c>
      <c r="X338" s="46">
        <v>1</v>
      </c>
      <c r="Y338" s="46">
        <v>1</v>
      </c>
      <c r="Z338" s="54">
        <v>0.18206413750872019</v>
      </c>
      <c r="AA338" s="15">
        <f t="shared" si="34"/>
        <v>1.5172011459060017E-2</v>
      </c>
      <c r="AB338" s="15">
        <f t="shared" si="35"/>
        <v>0.18206413750872019</v>
      </c>
      <c r="AC338" t="b">
        <f t="shared" si="36"/>
        <v>1</v>
      </c>
    </row>
    <row r="339" spans="1:29" x14ac:dyDescent="0.25">
      <c r="A339" s="52" t="s">
        <v>259</v>
      </c>
      <c r="B339" s="46">
        <v>30013</v>
      </c>
      <c r="C339" s="47">
        <v>45776</v>
      </c>
      <c r="D339" s="46">
        <v>321600</v>
      </c>
      <c r="E339" s="46">
        <v>2</v>
      </c>
      <c r="F339" s="52" t="s">
        <v>1984</v>
      </c>
      <c r="G339" s="46">
        <v>6</v>
      </c>
      <c r="H339" s="52" t="s">
        <v>784</v>
      </c>
      <c r="I339" s="46"/>
      <c r="J339" s="46">
        <v>0</v>
      </c>
      <c r="K339" s="46"/>
      <c r="L339" s="52" t="s">
        <v>261</v>
      </c>
      <c r="M339" s="53">
        <v>440000</v>
      </c>
      <c r="N339" s="46">
        <v>12</v>
      </c>
      <c r="O339" s="46">
        <v>0</v>
      </c>
      <c r="P339" s="46">
        <v>1</v>
      </c>
      <c r="Q339" s="52">
        <v>10</v>
      </c>
      <c r="R339" s="53">
        <v>4185</v>
      </c>
      <c r="S339" s="46">
        <v>1</v>
      </c>
      <c r="T339" s="53">
        <v>0</v>
      </c>
      <c r="U339" s="53">
        <v>21700</v>
      </c>
      <c r="V339" s="46">
        <v>1</v>
      </c>
      <c r="W339" s="53">
        <v>39071</v>
      </c>
      <c r="X339" s="46">
        <v>1</v>
      </c>
      <c r="Y339" s="46">
        <v>1</v>
      </c>
      <c r="Z339" s="54">
        <v>0.23562890128076036</v>
      </c>
      <c r="AA339" s="15">
        <f t="shared" si="34"/>
        <v>1.9635741773396696E-2</v>
      </c>
      <c r="AB339" s="15">
        <f t="shared" si="35"/>
        <v>0.23562890128076036</v>
      </c>
      <c r="AC339" t="b">
        <f t="shared" si="36"/>
        <v>1</v>
      </c>
    </row>
    <row r="340" spans="1:29" x14ac:dyDescent="0.25">
      <c r="A340" s="52" t="s">
        <v>259</v>
      </c>
      <c r="B340" s="46">
        <v>30013</v>
      </c>
      <c r="C340" s="47">
        <v>45776</v>
      </c>
      <c r="D340" s="46">
        <v>311500</v>
      </c>
      <c r="E340" s="46">
        <v>2</v>
      </c>
      <c r="F340" s="52" t="s">
        <v>1985</v>
      </c>
      <c r="G340" s="46">
        <v>6</v>
      </c>
      <c r="H340" s="52" t="s">
        <v>784</v>
      </c>
      <c r="I340" s="46"/>
      <c r="J340" s="46">
        <v>0</v>
      </c>
      <c r="K340" s="46"/>
      <c r="L340" s="52" t="s">
        <v>680</v>
      </c>
      <c r="M340" s="53">
        <v>7200000</v>
      </c>
      <c r="N340" s="46">
        <v>48</v>
      </c>
      <c r="O340" s="46">
        <v>0</v>
      </c>
      <c r="P340" s="46">
        <v>1</v>
      </c>
      <c r="Q340" s="52">
        <v>12</v>
      </c>
      <c r="R340" s="53">
        <v>214020</v>
      </c>
      <c r="S340" s="46">
        <v>1</v>
      </c>
      <c r="T340" s="53">
        <v>226000</v>
      </c>
      <c r="U340" s="53">
        <f>M340/100+11700</f>
        <v>83700</v>
      </c>
      <c r="V340" s="46">
        <v>1</v>
      </c>
      <c r="W340" s="53">
        <v>197720</v>
      </c>
      <c r="X340" s="46">
        <v>1</v>
      </c>
      <c r="Y340" s="46">
        <v>1</v>
      </c>
      <c r="Z340" s="54">
        <v>0.18458817855297266</v>
      </c>
      <c r="AA340" s="15">
        <f t="shared" si="34"/>
        <v>1.5382348212747723E-2</v>
      </c>
      <c r="AB340" s="15">
        <f t="shared" si="35"/>
        <v>0.18458817855297266</v>
      </c>
      <c r="AC340" t="b">
        <f t="shared" si="36"/>
        <v>1</v>
      </c>
    </row>
    <row r="341" spans="1:29" x14ac:dyDescent="0.25">
      <c r="A341" s="52" t="s">
        <v>259</v>
      </c>
      <c r="B341" s="46">
        <v>30013</v>
      </c>
      <c r="C341" s="47">
        <v>45776</v>
      </c>
      <c r="D341" s="46">
        <v>311730</v>
      </c>
      <c r="E341" s="46">
        <v>2</v>
      </c>
      <c r="F341" s="52" t="s">
        <v>1986</v>
      </c>
      <c r="G341" s="46">
        <v>6</v>
      </c>
      <c r="H341" s="52" t="s">
        <v>784</v>
      </c>
      <c r="I341" s="46"/>
      <c r="J341" s="46">
        <v>0</v>
      </c>
      <c r="K341" s="46"/>
      <c r="L341" s="52" t="s">
        <v>702</v>
      </c>
      <c r="M341" s="53">
        <v>8240000</v>
      </c>
      <c r="N341" s="46">
        <v>53</v>
      </c>
      <c r="O341" s="46">
        <v>0</v>
      </c>
      <c r="P341" s="46">
        <v>1</v>
      </c>
      <c r="Q341" s="52">
        <v>8</v>
      </c>
      <c r="R341" s="53">
        <v>40723</v>
      </c>
      <c r="S341" s="46">
        <v>1</v>
      </c>
      <c r="T341" s="53">
        <v>0</v>
      </c>
      <c r="U341" s="53">
        <f>M341/100+11700</f>
        <v>94100</v>
      </c>
      <c r="V341" s="46">
        <v>1</v>
      </c>
      <c r="W341" s="53">
        <v>191016</v>
      </c>
      <c r="X341" s="46">
        <v>1</v>
      </c>
      <c r="Y341" s="46">
        <v>1</v>
      </c>
      <c r="Z341" s="54">
        <v>0.10307821800769192</v>
      </c>
      <c r="AA341" s="15">
        <f t="shared" si="34"/>
        <v>8.589851500640993E-3</v>
      </c>
      <c r="AB341" s="15">
        <f t="shared" si="35"/>
        <v>0.10307821800769192</v>
      </c>
      <c r="AC341" t="b">
        <f t="shared" si="36"/>
        <v>1</v>
      </c>
    </row>
    <row r="342" spans="1:29" x14ac:dyDescent="0.25">
      <c r="A342" s="52" t="s">
        <v>259</v>
      </c>
      <c r="B342" s="46">
        <v>30013</v>
      </c>
      <c r="C342" s="47">
        <v>45776</v>
      </c>
      <c r="D342" s="46">
        <v>311730</v>
      </c>
      <c r="E342" s="46">
        <v>2</v>
      </c>
      <c r="F342" s="52" t="s">
        <v>1987</v>
      </c>
      <c r="G342" s="46">
        <v>6</v>
      </c>
      <c r="H342" s="52" t="s">
        <v>784</v>
      </c>
      <c r="I342" s="46"/>
      <c r="J342" s="46">
        <v>0</v>
      </c>
      <c r="K342" s="46"/>
      <c r="L342" s="52" t="s">
        <v>690</v>
      </c>
      <c r="M342" s="53">
        <v>10170000</v>
      </c>
      <c r="N342" s="46">
        <v>60</v>
      </c>
      <c r="O342" s="46">
        <v>0</v>
      </c>
      <c r="P342" s="46">
        <v>1</v>
      </c>
      <c r="Q342" s="52">
        <v>8</v>
      </c>
      <c r="R342" s="53">
        <v>40723</v>
      </c>
      <c r="S342" s="46">
        <v>1</v>
      </c>
      <c r="T342" s="53">
        <v>396375</v>
      </c>
      <c r="U342" s="53">
        <f>M342/100+11700</f>
        <v>113400</v>
      </c>
      <c r="V342" s="46">
        <v>1</v>
      </c>
      <c r="W342" s="53">
        <v>213649</v>
      </c>
      <c r="X342" s="46">
        <v>1</v>
      </c>
      <c r="Y342" s="46">
        <v>1</v>
      </c>
      <c r="Z342" s="54">
        <v>0.11931772597816301</v>
      </c>
      <c r="AA342" s="15">
        <f t="shared" si="34"/>
        <v>9.9431438315135835E-3</v>
      </c>
      <c r="AB342" s="15">
        <f t="shared" si="35"/>
        <v>0.11931772597816301</v>
      </c>
      <c r="AC342" t="b">
        <f t="shared" si="36"/>
        <v>1</v>
      </c>
    </row>
    <row r="343" spans="1:29" x14ac:dyDescent="0.25">
      <c r="A343" s="52" t="s">
        <v>259</v>
      </c>
      <c r="B343" s="46">
        <v>30013</v>
      </c>
      <c r="C343" s="47">
        <v>45776</v>
      </c>
      <c r="D343" s="46">
        <v>311500</v>
      </c>
      <c r="E343" s="46">
        <v>2</v>
      </c>
      <c r="F343" s="52" t="s">
        <v>1988</v>
      </c>
      <c r="G343" s="46">
        <v>6</v>
      </c>
      <c r="H343" s="52" t="s">
        <v>784</v>
      </c>
      <c r="I343" s="46"/>
      <c r="J343" s="46">
        <v>0</v>
      </c>
      <c r="K343" s="46"/>
      <c r="L343" s="52" t="s">
        <v>261</v>
      </c>
      <c r="M343" s="53">
        <v>9800000</v>
      </c>
      <c r="N343" s="46">
        <v>72</v>
      </c>
      <c r="O343" s="46">
        <v>0</v>
      </c>
      <c r="P343" s="46">
        <v>1</v>
      </c>
      <c r="Q343" s="52">
        <v>12</v>
      </c>
      <c r="R343" s="53">
        <v>174783</v>
      </c>
      <c r="S343" s="46">
        <v>1</v>
      </c>
      <c r="T343" s="53">
        <v>456000</v>
      </c>
      <c r="U343" s="53">
        <f>M343/100+11700</f>
        <v>109700</v>
      </c>
      <c r="V343" s="46">
        <v>1</v>
      </c>
      <c r="W343" s="53">
        <v>203345</v>
      </c>
      <c r="X343" s="46">
        <v>1</v>
      </c>
      <c r="Y343" s="46">
        <v>1</v>
      </c>
      <c r="Z343" s="54">
        <v>0.17356383132746117</v>
      </c>
      <c r="AA343" s="15">
        <f t="shared" si="34"/>
        <v>1.4463652610621765E-2</v>
      </c>
      <c r="AB343" s="15">
        <f t="shared" si="35"/>
        <v>0.17356383132746117</v>
      </c>
      <c r="AC343" t="b">
        <f t="shared" si="36"/>
        <v>1</v>
      </c>
    </row>
    <row r="344" spans="1:29" x14ac:dyDescent="0.25">
      <c r="A344" s="52" t="s">
        <v>259</v>
      </c>
      <c r="B344" s="46">
        <v>30013</v>
      </c>
      <c r="C344" s="47">
        <v>45776</v>
      </c>
      <c r="D344" s="46">
        <v>311500</v>
      </c>
      <c r="E344" s="46">
        <v>2</v>
      </c>
      <c r="F344" s="52" t="s">
        <v>1989</v>
      </c>
      <c r="G344" s="46">
        <v>6</v>
      </c>
      <c r="H344" s="52" t="s">
        <v>784</v>
      </c>
      <c r="I344" s="46"/>
      <c r="J344" s="46">
        <v>0</v>
      </c>
      <c r="K344" s="46"/>
      <c r="L344" s="52" t="s">
        <v>261</v>
      </c>
      <c r="M344" s="53">
        <v>3100000</v>
      </c>
      <c r="N344" s="46">
        <v>48</v>
      </c>
      <c r="O344" s="46">
        <v>0</v>
      </c>
      <c r="P344" s="46">
        <v>1</v>
      </c>
      <c r="Q344" s="52">
        <v>12</v>
      </c>
      <c r="R344" s="53">
        <v>92148</v>
      </c>
      <c r="S344" s="46">
        <v>1</v>
      </c>
      <c r="T344" s="53">
        <v>103000</v>
      </c>
      <c r="U344" s="53">
        <f>M344/100+11700</f>
        <v>42700</v>
      </c>
      <c r="V344" s="46">
        <v>1</v>
      </c>
      <c r="W344" s="53">
        <v>85129</v>
      </c>
      <c r="X344" s="46">
        <v>1</v>
      </c>
      <c r="Y344" s="46">
        <v>1</v>
      </c>
      <c r="Z344" s="54">
        <v>0.1870182791870158</v>
      </c>
      <c r="AA344" s="15">
        <f t="shared" si="34"/>
        <v>1.5584856598917982E-2</v>
      </c>
      <c r="AB344" s="15">
        <f t="shared" si="35"/>
        <v>0.1870182791870158</v>
      </c>
      <c r="AC344" t="b">
        <f t="shared" si="36"/>
        <v>1</v>
      </c>
    </row>
    <row r="345" spans="1:29" x14ac:dyDescent="0.25">
      <c r="A345" s="52" t="s">
        <v>259</v>
      </c>
      <c r="B345" s="46">
        <v>30013</v>
      </c>
      <c r="C345" s="47">
        <v>45776</v>
      </c>
      <c r="D345" s="46">
        <v>321600</v>
      </c>
      <c r="E345" s="46">
        <v>2</v>
      </c>
      <c r="F345" s="52" t="s">
        <v>703</v>
      </c>
      <c r="G345" s="46">
        <v>6</v>
      </c>
      <c r="H345" s="52" t="s">
        <v>1689</v>
      </c>
      <c r="I345" s="46"/>
      <c r="J345" s="46">
        <v>0</v>
      </c>
      <c r="K345" s="46"/>
      <c r="L345" s="52" t="s">
        <v>261</v>
      </c>
      <c r="M345" s="53">
        <v>800000</v>
      </c>
      <c r="N345" s="46">
        <v>12</v>
      </c>
      <c r="O345" s="46">
        <v>0</v>
      </c>
      <c r="P345" s="46">
        <v>1</v>
      </c>
      <c r="Q345" s="52">
        <v>10</v>
      </c>
      <c r="R345" s="53">
        <v>9512</v>
      </c>
      <c r="S345" s="46">
        <v>1</v>
      </c>
      <c r="T345" s="53">
        <v>0</v>
      </c>
      <c r="U345" s="53">
        <v>21700</v>
      </c>
      <c r="V345" s="46">
        <v>1</v>
      </c>
      <c r="W345" s="53">
        <v>71038</v>
      </c>
      <c r="X345" s="46">
        <v>1</v>
      </c>
      <c r="Y345" s="46">
        <v>1</v>
      </c>
      <c r="Z345" s="54">
        <v>0.19515090930788326</v>
      </c>
      <c r="AA345" s="15">
        <f t="shared" si="34"/>
        <v>1.6262575775656939E-2</v>
      </c>
      <c r="AB345" s="15">
        <f t="shared" si="35"/>
        <v>0.19515090930788326</v>
      </c>
      <c r="AC345" t="b">
        <f t="shared" si="36"/>
        <v>1</v>
      </c>
    </row>
    <row r="346" spans="1:29" x14ac:dyDescent="0.25">
      <c r="A346" s="52" t="s">
        <v>259</v>
      </c>
      <c r="B346" s="46">
        <v>30013</v>
      </c>
      <c r="C346" s="47">
        <v>45776</v>
      </c>
      <c r="D346" s="46">
        <v>311500</v>
      </c>
      <c r="E346" s="46">
        <v>2</v>
      </c>
      <c r="F346" s="52" t="s">
        <v>1990</v>
      </c>
      <c r="G346" s="46">
        <v>6</v>
      </c>
      <c r="H346" s="52" t="s">
        <v>784</v>
      </c>
      <c r="I346" s="46"/>
      <c r="J346" s="46">
        <v>0</v>
      </c>
      <c r="K346" s="46"/>
      <c r="L346" s="52" t="s">
        <v>690</v>
      </c>
      <c r="M346" s="53">
        <v>4900000</v>
      </c>
      <c r="N346" s="46">
        <v>60</v>
      </c>
      <c r="O346" s="46">
        <v>0</v>
      </c>
      <c r="P346" s="46">
        <v>1</v>
      </c>
      <c r="Q346" s="52">
        <v>12</v>
      </c>
      <c r="R346" s="53">
        <v>145653</v>
      </c>
      <c r="S346" s="46">
        <v>1</v>
      </c>
      <c r="T346" s="53">
        <v>193750</v>
      </c>
      <c r="U346" s="53">
        <f t="shared" ref="U346:U362" si="38">M346/100+11700</f>
        <v>60700</v>
      </c>
      <c r="V346" s="46">
        <v>1</v>
      </c>
      <c r="W346" s="53">
        <v>114696</v>
      </c>
      <c r="X346" s="46">
        <v>1</v>
      </c>
      <c r="Y346" s="46">
        <v>1</v>
      </c>
      <c r="Z346" s="54">
        <v>0.1817474377562005</v>
      </c>
      <c r="AA346" s="15">
        <f t="shared" si="34"/>
        <v>1.5145619813016709E-2</v>
      </c>
      <c r="AB346" s="15">
        <f t="shared" si="35"/>
        <v>0.1817474377562005</v>
      </c>
      <c r="AC346" t="b">
        <f t="shared" si="36"/>
        <v>1</v>
      </c>
    </row>
    <row r="347" spans="1:29" x14ac:dyDescent="0.25">
      <c r="A347" s="52" t="s">
        <v>259</v>
      </c>
      <c r="B347" s="46">
        <v>30013</v>
      </c>
      <c r="C347" s="47">
        <v>45776</v>
      </c>
      <c r="D347" s="46">
        <v>311500</v>
      </c>
      <c r="E347" s="46">
        <v>2</v>
      </c>
      <c r="F347" s="52" t="s">
        <v>1991</v>
      </c>
      <c r="G347" s="46">
        <v>6</v>
      </c>
      <c r="H347" s="52" t="s">
        <v>784</v>
      </c>
      <c r="I347" s="46"/>
      <c r="J347" s="46">
        <v>0</v>
      </c>
      <c r="K347" s="46"/>
      <c r="L347" s="52" t="s">
        <v>690</v>
      </c>
      <c r="M347" s="53">
        <v>10000000</v>
      </c>
      <c r="N347" s="46">
        <v>53</v>
      </c>
      <c r="O347" s="46">
        <v>0</v>
      </c>
      <c r="P347" s="46">
        <v>1</v>
      </c>
      <c r="Q347" s="52">
        <v>11</v>
      </c>
      <c r="R347" s="53">
        <v>297250</v>
      </c>
      <c r="S347" s="46">
        <v>1</v>
      </c>
      <c r="T347" s="53">
        <v>346250</v>
      </c>
      <c r="U347" s="53">
        <f t="shared" si="38"/>
        <v>111700</v>
      </c>
      <c r="V347" s="46">
        <v>1</v>
      </c>
      <c r="W347" s="53">
        <v>249391</v>
      </c>
      <c r="X347" s="46">
        <v>1</v>
      </c>
      <c r="Y347" s="46">
        <v>1</v>
      </c>
      <c r="Z347" s="54">
        <v>0.17037324380627555</v>
      </c>
      <c r="AA347" s="15">
        <f t="shared" si="34"/>
        <v>1.4197770317189629E-2</v>
      </c>
      <c r="AB347" s="15">
        <f t="shared" si="35"/>
        <v>0.17037324380627555</v>
      </c>
      <c r="AC347" t="b">
        <f t="shared" si="36"/>
        <v>1</v>
      </c>
    </row>
    <row r="348" spans="1:29" x14ac:dyDescent="0.25">
      <c r="A348" s="52" t="s">
        <v>259</v>
      </c>
      <c r="B348" s="46">
        <v>30013</v>
      </c>
      <c r="C348" s="47">
        <v>45776</v>
      </c>
      <c r="D348" s="46">
        <v>311500</v>
      </c>
      <c r="E348" s="46">
        <v>2</v>
      </c>
      <c r="F348" s="52" t="s">
        <v>1992</v>
      </c>
      <c r="G348" s="46">
        <v>6</v>
      </c>
      <c r="H348" s="52" t="s">
        <v>784</v>
      </c>
      <c r="I348" s="46"/>
      <c r="J348" s="46">
        <v>0</v>
      </c>
      <c r="K348" s="46"/>
      <c r="L348" s="52" t="s">
        <v>261</v>
      </c>
      <c r="M348" s="53">
        <v>4800000</v>
      </c>
      <c r="N348" s="46">
        <v>72</v>
      </c>
      <c r="O348" s="46">
        <v>0</v>
      </c>
      <c r="P348" s="46">
        <v>1</v>
      </c>
      <c r="Q348" s="52">
        <v>12</v>
      </c>
      <c r="R348" s="53">
        <v>85608</v>
      </c>
      <c r="S348" s="46">
        <v>1</v>
      </c>
      <c r="T348" s="53">
        <v>226000</v>
      </c>
      <c r="U348" s="53">
        <f t="shared" si="38"/>
        <v>59700</v>
      </c>
      <c r="V348" s="46">
        <v>1</v>
      </c>
      <c r="W348" s="53">
        <v>99598</v>
      </c>
      <c r="X348" s="46">
        <v>1</v>
      </c>
      <c r="Y348" s="46">
        <v>1</v>
      </c>
      <c r="Z348" s="54">
        <v>0.17434475069274694</v>
      </c>
      <c r="AA348" s="15">
        <f t="shared" si="34"/>
        <v>1.4528729224395577E-2</v>
      </c>
      <c r="AB348" s="15">
        <f t="shared" si="35"/>
        <v>0.17434475069274694</v>
      </c>
      <c r="AC348" t="b">
        <f t="shared" si="36"/>
        <v>1</v>
      </c>
    </row>
    <row r="349" spans="1:29" x14ac:dyDescent="0.25">
      <c r="A349" s="52" t="s">
        <v>259</v>
      </c>
      <c r="B349" s="46">
        <v>30013</v>
      </c>
      <c r="C349" s="47">
        <v>45776</v>
      </c>
      <c r="D349" s="46">
        <v>311500</v>
      </c>
      <c r="E349" s="46">
        <v>2</v>
      </c>
      <c r="F349" s="52" t="s">
        <v>1993</v>
      </c>
      <c r="G349" s="46">
        <v>6</v>
      </c>
      <c r="H349" s="52" t="s">
        <v>1642</v>
      </c>
      <c r="I349" s="46"/>
      <c r="J349" s="46">
        <v>0</v>
      </c>
      <c r="K349" s="46"/>
      <c r="L349" s="52" t="s">
        <v>261</v>
      </c>
      <c r="M349" s="53">
        <v>5500000</v>
      </c>
      <c r="N349" s="46">
        <v>72</v>
      </c>
      <c r="O349" s="46">
        <v>0</v>
      </c>
      <c r="P349" s="46">
        <v>1</v>
      </c>
      <c r="Q349" s="52">
        <v>12</v>
      </c>
      <c r="R349" s="53">
        <v>98093</v>
      </c>
      <c r="S349" s="46">
        <v>1</v>
      </c>
      <c r="T349" s="53">
        <v>257500</v>
      </c>
      <c r="U349" s="53">
        <f t="shared" si="38"/>
        <v>66700</v>
      </c>
      <c r="V349" s="46">
        <v>1</v>
      </c>
      <c r="W349" s="53">
        <v>114122</v>
      </c>
      <c r="X349" s="46">
        <v>1</v>
      </c>
      <c r="Y349" s="46">
        <v>1</v>
      </c>
      <c r="Z349" s="54">
        <v>0.1740925052144702</v>
      </c>
      <c r="AA349" s="15">
        <f t="shared" si="34"/>
        <v>1.4507708767872517E-2</v>
      </c>
      <c r="AB349" s="15">
        <f t="shared" si="35"/>
        <v>0.1740925052144702</v>
      </c>
      <c r="AC349" t="b">
        <f t="shared" si="36"/>
        <v>1</v>
      </c>
    </row>
    <row r="350" spans="1:29" x14ac:dyDescent="0.25">
      <c r="A350" s="52" t="s">
        <v>259</v>
      </c>
      <c r="B350" s="46">
        <v>30013</v>
      </c>
      <c r="C350" s="47">
        <v>45776</v>
      </c>
      <c r="D350" s="46">
        <v>311500</v>
      </c>
      <c r="E350" s="46">
        <v>2</v>
      </c>
      <c r="F350" s="52" t="s">
        <v>1994</v>
      </c>
      <c r="G350" s="46">
        <v>6</v>
      </c>
      <c r="H350" s="52" t="s">
        <v>784</v>
      </c>
      <c r="I350" s="46"/>
      <c r="J350" s="46">
        <v>0</v>
      </c>
      <c r="K350" s="46"/>
      <c r="L350" s="52" t="s">
        <v>261</v>
      </c>
      <c r="M350" s="53">
        <v>2700000</v>
      </c>
      <c r="N350" s="46">
        <v>60</v>
      </c>
      <c r="O350" s="46">
        <v>0</v>
      </c>
      <c r="P350" s="46">
        <v>1</v>
      </c>
      <c r="Q350" s="52">
        <v>12</v>
      </c>
      <c r="R350" s="53">
        <v>80258</v>
      </c>
      <c r="S350" s="46">
        <v>1</v>
      </c>
      <c r="T350" s="53">
        <v>111250</v>
      </c>
      <c r="U350" s="53">
        <f t="shared" si="38"/>
        <v>38700</v>
      </c>
      <c r="V350" s="46">
        <v>1</v>
      </c>
      <c r="W350" s="53">
        <v>63200</v>
      </c>
      <c r="X350" s="46">
        <v>1</v>
      </c>
      <c r="Y350" s="46">
        <v>1</v>
      </c>
      <c r="Z350" s="54">
        <v>0.18359133613826506</v>
      </c>
      <c r="AA350" s="15">
        <f t="shared" si="34"/>
        <v>1.5299278011522088E-2</v>
      </c>
      <c r="AB350" s="15">
        <f t="shared" si="35"/>
        <v>0.18359133613826506</v>
      </c>
      <c r="AC350" t="b">
        <f t="shared" si="36"/>
        <v>1</v>
      </c>
    </row>
    <row r="351" spans="1:29" x14ac:dyDescent="0.25">
      <c r="A351" s="52" t="s">
        <v>259</v>
      </c>
      <c r="B351" s="46">
        <v>30013</v>
      </c>
      <c r="C351" s="47">
        <v>45776</v>
      </c>
      <c r="D351" s="46">
        <v>311500</v>
      </c>
      <c r="E351" s="46">
        <v>2</v>
      </c>
      <c r="F351" s="52" t="s">
        <v>1995</v>
      </c>
      <c r="G351" s="46">
        <v>6</v>
      </c>
      <c r="H351" s="52" t="s">
        <v>784</v>
      </c>
      <c r="I351" s="46"/>
      <c r="J351" s="46">
        <v>0</v>
      </c>
      <c r="K351" s="46"/>
      <c r="L351" s="52" t="s">
        <v>691</v>
      </c>
      <c r="M351" s="53">
        <v>2500000</v>
      </c>
      <c r="N351" s="46">
        <v>60</v>
      </c>
      <c r="O351" s="46">
        <v>0</v>
      </c>
      <c r="P351" s="46">
        <v>1</v>
      </c>
      <c r="Q351" s="52">
        <v>12</v>
      </c>
      <c r="R351" s="53">
        <v>74313</v>
      </c>
      <c r="S351" s="46">
        <v>1</v>
      </c>
      <c r="T351" s="53">
        <v>103750</v>
      </c>
      <c r="U351" s="53">
        <f t="shared" si="38"/>
        <v>36700</v>
      </c>
      <c r="V351" s="46">
        <v>1</v>
      </c>
      <c r="W351" s="53">
        <v>58519</v>
      </c>
      <c r="X351" s="46">
        <v>1</v>
      </c>
      <c r="Y351" s="46">
        <v>1</v>
      </c>
      <c r="Z351" s="54">
        <v>0.18392464278230106</v>
      </c>
      <c r="AA351" s="15">
        <f t="shared" si="34"/>
        <v>1.5327053565191755E-2</v>
      </c>
      <c r="AB351" s="15">
        <f t="shared" si="35"/>
        <v>0.18392464278230106</v>
      </c>
      <c r="AC351" t="b">
        <f t="shared" si="36"/>
        <v>1</v>
      </c>
    </row>
    <row r="352" spans="1:29" x14ac:dyDescent="0.25">
      <c r="A352" s="52" t="s">
        <v>259</v>
      </c>
      <c r="B352" s="46">
        <v>30013</v>
      </c>
      <c r="C352" s="47">
        <v>45776</v>
      </c>
      <c r="D352" s="46">
        <v>311500</v>
      </c>
      <c r="E352" s="46">
        <v>2</v>
      </c>
      <c r="F352" s="52" t="s">
        <v>1996</v>
      </c>
      <c r="G352" s="46">
        <v>6</v>
      </c>
      <c r="H352" s="52" t="s">
        <v>1642</v>
      </c>
      <c r="I352" s="46"/>
      <c r="J352" s="46">
        <v>0</v>
      </c>
      <c r="K352" s="46"/>
      <c r="L352" s="52" t="s">
        <v>261</v>
      </c>
      <c r="M352" s="53">
        <v>7500000</v>
      </c>
      <c r="N352" s="46">
        <v>84</v>
      </c>
      <c r="O352" s="46">
        <v>0</v>
      </c>
      <c r="P352" s="46">
        <v>1</v>
      </c>
      <c r="Q352" s="52">
        <v>12</v>
      </c>
      <c r="R352" s="53">
        <v>133763</v>
      </c>
      <c r="S352" s="46">
        <v>1</v>
      </c>
      <c r="T352" s="53">
        <v>408750</v>
      </c>
      <c r="U352" s="53">
        <f t="shared" si="38"/>
        <v>86700</v>
      </c>
      <c r="V352" s="46">
        <v>1</v>
      </c>
      <c r="W352" s="53">
        <v>141663</v>
      </c>
      <c r="X352" s="46">
        <v>1</v>
      </c>
      <c r="Y352" s="46">
        <v>1</v>
      </c>
      <c r="Z352" s="54">
        <v>0.17314835793088004</v>
      </c>
      <c r="AA352" s="15">
        <f t="shared" si="34"/>
        <v>1.4429029827573337E-2</v>
      </c>
      <c r="AB352" s="15">
        <f t="shared" si="35"/>
        <v>0.17314835793088004</v>
      </c>
      <c r="AC352" t="b">
        <f t="shared" si="36"/>
        <v>1</v>
      </c>
    </row>
    <row r="353" spans="1:29" x14ac:dyDescent="0.25">
      <c r="A353" s="52" t="s">
        <v>259</v>
      </c>
      <c r="B353" s="46">
        <v>30013</v>
      </c>
      <c r="C353" s="47">
        <v>45776</v>
      </c>
      <c r="D353" s="46">
        <v>311500</v>
      </c>
      <c r="E353" s="46">
        <v>2</v>
      </c>
      <c r="F353" s="52" t="s">
        <v>1997</v>
      </c>
      <c r="G353" s="46">
        <v>6</v>
      </c>
      <c r="H353" s="52" t="s">
        <v>784</v>
      </c>
      <c r="I353" s="46"/>
      <c r="J353" s="46">
        <v>0</v>
      </c>
      <c r="K353" s="46"/>
      <c r="L353" s="52" t="s">
        <v>687</v>
      </c>
      <c r="M353" s="53">
        <v>4300000</v>
      </c>
      <c r="N353" s="46">
        <v>84</v>
      </c>
      <c r="O353" s="46">
        <v>0</v>
      </c>
      <c r="P353" s="46">
        <v>1</v>
      </c>
      <c r="Q353" s="52">
        <v>12</v>
      </c>
      <c r="R353" s="53">
        <v>76691</v>
      </c>
      <c r="S353" s="46">
        <v>1</v>
      </c>
      <c r="T353" s="53">
        <v>235750</v>
      </c>
      <c r="U353" s="53">
        <f t="shared" si="38"/>
        <v>54700</v>
      </c>
      <c r="V353" s="46">
        <v>1</v>
      </c>
      <c r="W353" s="53">
        <v>81220</v>
      </c>
      <c r="X353" s="46">
        <v>1</v>
      </c>
      <c r="Y353" s="46">
        <v>1</v>
      </c>
      <c r="Z353" s="54">
        <v>0.17372486740698867</v>
      </c>
      <c r="AA353" s="15">
        <f t="shared" si="34"/>
        <v>1.4477072283915721E-2</v>
      </c>
      <c r="AB353" s="15">
        <f t="shared" si="35"/>
        <v>0.17372486740698867</v>
      </c>
      <c r="AC353" t="b">
        <f t="shared" si="36"/>
        <v>1</v>
      </c>
    </row>
    <row r="354" spans="1:29" x14ac:dyDescent="0.25">
      <c r="A354" s="52" t="s">
        <v>259</v>
      </c>
      <c r="B354" s="46">
        <v>30013</v>
      </c>
      <c r="C354" s="47">
        <v>45776</v>
      </c>
      <c r="D354" s="46">
        <v>311500</v>
      </c>
      <c r="E354" s="46">
        <v>2</v>
      </c>
      <c r="F354" s="52" t="s">
        <v>1998</v>
      </c>
      <c r="G354" s="46">
        <v>6</v>
      </c>
      <c r="H354" s="52" t="s">
        <v>784</v>
      </c>
      <c r="I354" s="46"/>
      <c r="J354" s="46">
        <v>0</v>
      </c>
      <c r="K354" s="46"/>
      <c r="L354" s="52" t="s">
        <v>261</v>
      </c>
      <c r="M354" s="53">
        <v>5750000</v>
      </c>
      <c r="N354" s="46">
        <v>72</v>
      </c>
      <c r="O354" s="46">
        <v>0</v>
      </c>
      <c r="P354" s="46">
        <v>1</v>
      </c>
      <c r="Q354" s="52">
        <v>12</v>
      </c>
      <c r="R354" s="53">
        <v>102551</v>
      </c>
      <c r="S354" s="46">
        <v>1</v>
      </c>
      <c r="T354" s="53">
        <v>268750</v>
      </c>
      <c r="U354" s="53">
        <f t="shared" si="38"/>
        <v>69200</v>
      </c>
      <c r="V354" s="46">
        <v>1</v>
      </c>
      <c r="W354" s="53">
        <v>119310</v>
      </c>
      <c r="X354" s="46">
        <v>1</v>
      </c>
      <c r="Y354" s="46">
        <v>1</v>
      </c>
      <c r="Z354" s="54">
        <v>0.174020154208017</v>
      </c>
      <c r="AA354" s="15">
        <f t="shared" si="34"/>
        <v>1.450167951733475E-2</v>
      </c>
      <c r="AB354" s="15">
        <f t="shared" si="35"/>
        <v>0.174020154208017</v>
      </c>
      <c r="AC354" t="b">
        <f t="shared" si="36"/>
        <v>1</v>
      </c>
    </row>
    <row r="355" spans="1:29" x14ac:dyDescent="0.25">
      <c r="A355" s="52" t="s">
        <v>259</v>
      </c>
      <c r="B355" s="46">
        <v>30013</v>
      </c>
      <c r="C355" s="47">
        <v>45776</v>
      </c>
      <c r="D355" s="46">
        <v>311500</v>
      </c>
      <c r="E355" s="46">
        <v>2</v>
      </c>
      <c r="F355" s="52" t="s">
        <v>1999</v>
      </c>
      <c r="G355" s="46">
        <v>6</v>
      </c>
      <c r="H355" s="52" t="s">
        <v>1642</v>
      </c>
      <c r="I355" s="46"/>
      <c r="J355" s="46">
        <v>0</v>
      </c>
      <c r="K355" s="46"/>
      <c r="L355" s="52" t="s">
        <v>270</v>
      </c>
      <c r="M355" s="53">
        <v>6430000</v>
      </c>
      <c r="N355" s="46">
        <v>84</v>
      </c>
      <c r="O355" s="46">
        <v>0</v>
      </c>
      <c r="P355" s="46">
        <v>1</v>
      </c>
      <c r="Q355" s="52">
        <v>8</v>
      </c>
      <c r="R355" s="53">
        <v>114679</v>
      </c>
      <c r="S355" s="46">
        <v>1</v>
      </c>
      <c r="T355" s="53">
        <v>347575</v>
      </c>
      <c r="U355" s="53">
        <f t="shared" si="38"/>
        <v>76000</v>
      </c>
      <c r="V355" s="46">
        <v>1</v>
      </c>
      <c r="W355" s="53">
        <v>105131</v>
      </c>
      <c r="X355" s="46">
        <v>1</v>
      </c>
      <c r="Y355" s="46">
        <v>1</v>
      </c>
      <c r="Z355" s="54">
        <v>0.12356178592380018</v>
      </c>
      <c r="AA355" s="15">
        <f t="shared" si="34"/>
        <v>1.0296815493650016E-2</v>
      </c>
      <c r="AB355" s="15">
        <f t="shared" si="35"/>
        <v>0.12356178592380018</v>
      </c>
      <c r="AC355" t="b">
        <f t="shared" si="36"/>
        <v>1</v>
      </c>
    </row>
    <row r="356" spans="1:29" x14ac:dyDescent="0.25">
      <c r="A356" s="52" t="s">
        <v>259</v>
      </c>
      <c r="B356" s="46">
        <v>30013</v>
      </c>
      <c r="C356" s="47">
        <v>45776</v>
      </c>
      <c r="D356" s="46">
        <v>321300</v>
      </c>
      <c r="E356" s="46">
        <v>2</v>
      </c>
      <c r="F356" s="52" t="s">
        <v>2000</v>
      </c>
      <c r="G356" s="46">
        <v>6</v>
      </c>
      <c r="H356" s="52" t="s">
        <v>784</v>
      </c>
      <c r="I356" s="46"/>
      <c r="J356" s="46">
        <v>0</v>
      </c>
      <c r="K356" s="46"/>
      <c r="L356" s="52" t="s">
        <v>231</v>
      </c>
      <c r="M356" s="55">
        <v>2900000</v>
      </c>
      <c r="N356" s="46">
        <v>24</v>
      </c>
      <c r="O356" s="46">
        <v>0</v>
      </c>
      <c r="P356" s="46">
        <v>1</v>
      </c>
      <c r="Q356" s="52">
        <v>12</v>
      </c>
      <c r="R356" s="55">
        <v>86203</v>
      </c>
      <c r="S356" s="46">
        <v>1</v>
      </c>
      <c r="T356" s="55">
        <v>53500</v>
      </c>
      <c r="U356" s="53">
        <f t="shared" si="38"/>
        <v>40700</v>
      </c>
      <c r="V356" s="46">
        <v>1</v>
      </c>
      <c r="W356" s="55">
        <v>139605</v>
      </c>
      <c r="X356" s="46">
        <v>1</v>
      </c>
      <c r="Y356" s="46">
        <v>1</v>
      </c>
      <c r="Z356" s="54">
        <v>0.20892720992421226</v>
      </c>
      <c r="AA356" s="15">
        <f t="shared" si="34"/>
        <v>1.7410600827017689E-2</v>
      </c>
      <c r="AB356" s="15">
        <f t="shared" si="35"/>
        <v>0.20892720992421226</v>
      </c>
      <c r="AC356" t="b">
        <f t="shared" si="36"/>
        <v>1</v>
      </c>
    </row>
    <row r="357" spans="1:29" x14ac:dyDescent="0.25">
      <c r="A357" s="52" t="s">
        <v>259</v>
      </c>
      <c r="B357" s="46">
        <v>30013</v>
      </c>
      <c r="C357" s="47">
        <v>45776</v>
      </c>
      <c r="D357" s="46">
        <v>311500</v>
      </c>
      <c r="E357" s="46">
        <v>2</v>
      </c>
      <c r="F357" s="52" t="s">
        <v>2001</v>
      </c>
      <c r="G357" s="46">
        <v>6</v>
      </c>
      <c r="H357" s="52" t="s">
        <v>1642</v>
      </c>
      <c r="I357" s="46"/>
      <c r="J357" s="46">
        <v>0</v>
      </c>
      <c r="K357" s="46"/>
      <c r="L357" s="52" t="s">
        <v>685</v>
      </c>
      <c r="M357" s="53">
        <v>6000000</v>
      </c>
      <c r="N357" s="46">
        <v>60</v>
      </c>
      <c r="O357" s="46">
        <v>0</v>
      </c>
      <c r="P357" s="46">
        <v>1</v>
      </c>
      <c r="Q357" s="52">
        <v>8</v>
      </c>
      <c r="R357" s="53">
        <v>178350</v>
      </c>
      <c r="S357" s="46">
        <v>1</v>
      </c>
      <c r="T357" s="53">
        <v>235000</v>
      </c>
      <c r="U357" s="53">
        <f t="shared" si="38"/>
        <v>71700</v>
      </c>
      <c r="V357" s="46">
        <v>1</v>
      </c>
      <c r="W357" s="53">
        <v>126046</v>
      </c>
      <c r="X357" s="46">
        <v>1</v>
      </c>
      <c r="Y357" s="46">
        <v>1</v>
      </c>
      <c r="Z357" s="54">
        <v>0.1319950040808425</v>
      </c>
      <c r="AA357" s="15">
        <f t="shared" si="34"/>
        <v>1.0999583673403542E-2</v>
      </c>
      <c r="AB357" s="15">
        <f t="shared" si="35"/>
        <v>0.1319950040808425</v>
      </c>
      <c r="AC357" t="b">
        <f t="shared" si="36"/>
        <v>1</v>
      </c>
    </row>
    <row r="358" spans="1:29" x14ac:dyDescent="0.25">
      <c r="A358" s="52" t="s">
        <v>259</v>
      </c>
      <c r="B358" s="46">
        <v>30013</v>
      </c>
      <c r="C358" s="47">
        <v>45776</v>
      </c>
      <c r="D358" s="46">
        <v>311500</v>
      </c>
      <c r="E358" s="46">
        <v>2</v>
      </c>
      <c r="F358" s="52" t="s">
        <v>2002</v>
      </c>
      <c r="G358" s="46">
        <v>6</v>
      </c>
      <c r="H358" s="52" t="s">
        <v>784</v>
      </c>
      <c r="I358" s="46"/>
      <c r="J358" s="46">
        <v>0</v>
      </c>
      <c r="K358" s="46"/>
      <c r="L358" s="52" t="s">
        <v>700</v>
      </c>
      <c r="M358" s="53">
        <v>2900000</v>
      </c>
      <c r="N358" s="46">
        <v>48</v>
      </c>
      <c r="O358" s="46">
        <v>0</v>
      </c>
      <c r="P358" s="46">
        <v>1</v>
      </c>
      <c r="Q358" s="52">
        <v>12</v>
      </c>
      <c r="R358" s="53">
        <v>86203</v>
      </c>
      <c r="S358" s="46">
        <v>1</v>
      </c>
      <c r="T358" s="53">
        <v>97000</v>
      </c>
      <c r="U358" s="53">
        <f t="shared" si="38"/>
        <v>40700</v>
      </c>
      <c r="V358" s="46">
        <v>1</v>
      </c>
      <c r="W358" s="53">
        <v>79637</v>
      </c>
      <c r="X358" s="46">
        <v>1</v>
      </c>
      <c r="Y358" s="46">
        <v>1</v>
      </c>
      <c r="Z358" s="54">
        <v>0.187315347426251</v>
      </c>
      <c r="AA358" s="15">
        <f t="shared" si="34"/>
        <v>1.5609612285520918E-2</v>
      </c>
      <c r="AB358" s="15">
        <f t="shared" si="35"/>
        <v>0.187315347426251</v>
      </c>
      <c r="AC358" t="b">
        <f t="shared" si="36"/>
        <v>1</v>
      </c>
    </row>
    <row r="359" spans="1:29" x14ac:dyDescent="0.25">
      <c r="A359" s="52" t="s">
        <v>259</v>
      </c>
      <c r="B359" s="46">
        <v>30013</v>
      </c>
      <c r="C359" s="47">
        <v>45776</v>
      </c>
      <c r="D359" s="46">
        <v>311100</v>
      </c>
      <c r="E359" s="46">
        <v>5</v>
      </c>
      <c r="F359" s="52" t="s">
        <v>2003</v>
      </c>
      <c r="G359" s="52" t="s">
        <v>1641</v>
      </c>
      <c r="H359" s="52" t="s">
        <v>784</v>
      </c>
      <c r="I359" s="46" t="s">
        <v>2004</v>
      </c>
      <c r="J359" s="46">
        <v>0</v>
      </c>
      <c r="K359" s="46"/>
      <c r="L359" s="52" t="s">
        <v>696</v>
      </c>
      <c r="M359" s="53">
        <v>1880000000</v>
      </c>
      <c r="N359" s="46">
        <v>60</v>
      </c>
      <c r="O359" s="46">
        <v>0</v>
      </c>
      <c r="P359" s="46">
        <v>1</v>
      </c>
      <c r="Q359" s="52">
        <v>7</v>
      </c>
      <c r="R359" s="53">
        <v>3567012</v>
      </c>
      <c r="S359" s="46">
        <v>1</v>
      </c>
      <c r="T359" s="53">
        <v>0</v>
      </c>
      <c r="U359" s="53">
        <f t="shared" si="38"/>
        <v>18811700</v>
      </c>
      <c r="V359" s="46">
        <v>1</v>
      </c>
      <c r="W359" s="53">
        <v>38522269</v>
      </c>
      <c r="X359" s="46">
        <v>1</v>
      </c>
      <c r="Y359" s="46">
        <v>1</v>
      </c>
      <c r="Z359" s="54">
        <v>8.9568468943243038E-2</v>
      </c>
      <c r="AA359" s="15">
        <f t="shared" si="34"/>
        <v>7.4640390786035868E-3</v>
      </c>
      <c r="AB359" s="15">
        <f t="shared" si="35"/>
        <v>8.9568468943243038E-2</v>
      </c>
      <c r="AC359" t="b">
        <f t="shared" si="36"/>
        <v>1</v>
      </c>
    </row>
    <row r="360" spans="1:29" x14ac:dyDescent="0.25">
      <c r="A360" s="52" t="s">
        <v>259</v>
      </c>
      <c r="B360" s="46">
        <v>30013</v>
      </c>
      <c r="C360" s="47">
        <v>45777</v>
      </c>
      <c r="D360" s="46">
        <v>311500</v>
      </c>
      <c r="E360" s="46">
        <v>2</v>
      </c>
      <c r="F360" s="52" t="s">
        <v>2005</v>
      </c>
      <c r="G360" s="46">
        <v>6</v>
      </c>
      <c r="H360" s="52" t="s">
        <v>784</v>
      </c>
      <c r="I360" s="46"/>
      <c r="J360" s="46">
        <v>0</v>
      </c>
      <c r="K360" s="46"/>
      <c r="L360" s="52" t="s">
        <v>709</v>
      </c>
      <c r="M360" s="53">
        <v>10000000</v>
      </c>
      <c r="N360" s="46">
        <v>24</v>
      </c>
      <c r="O360" s="46">
        <v>0</v>
      </c>
      <c r="P360" s="46">
        <v>1</v>
      </c>
      <c r="Q360" s="52">
        <v>8</v>
      </c>
      <c r="R360" s="53">
        <v>297250</v>
      </c>
      <c r="S360" s="46">
        <v>1</v>
      </c>
      <c r="T360" s="53">
        <v>165000</v>
      </c>
      <c r="U360" s="53">
        <f t="shared" si="38"/>
        <v>111700</v>
      </c>
      <c r="V360" s="46">
        <v>1</v>
      </c>
      <c r="W360" s="53">
        <v>459200</v>
      </c>
      <c r="X360" s="46">
        <v>1</v>
      </c>
      <c r="Y360" s="46">
        <v>1</v>
      </c>
      <c r="Z360" s="54">
        <v>0.15482192211471621</v>
      </c>
      <c r="AA360" s="15">
        <f t="shared" si="34"/>
        <v>1.2901826842893017E-2</v>
      </c>
      <c r="AB360" s="15">
        <f t="shared" si="35"/>
        <v>0.15482192211471621</v>
      </c>
      <c r="AC360" t="b">
        <f t="shared" si="36"/>
        <v>1</v>
      </c>
    </row>
    <row r="361" spans="1:29" x14ac:dyDescent="0.25">
      <c r="A361" s="52" t="s">
        <v>259</v>
      </c>
      <c r="B361" s="46">
        <v>30013</v>
      </c>
      <c r="C361" s="47">
        <v>45777</v>
      </c>
      <c r="D361" s="46">
        <v>311500</v>
      </c>
      <c r="E361" s="46">
        <v>2</v>
      </c>
      <c r="F361" s="52" t="s">
        <v>2006</v>
      </c>
      <c r="G361" s="46">
        <v>6</v>
      </c>
      <c r="H361" s="52" t="s">
        <v>784</v>
      </c>
      <c r="I361" s="46"/>
      <c r="J361" s="46">
        <v>0</v>
      </c>
      <c r="K361" s="46"/>
      <c r="L361" s="52" t="s">
        <v>691</v>
      </c>
      <c r="M361" s="53">
        <v>9000000</v>
      </c>
      <c r="N361" s="46">
        <v>60</v>
      </c>
      <c r="O361" s="46">
        <v>0</v>
      </c>
      <c r="P361" s="46">
        <v>1</v>
      </c>
      <c r="Q361" s="52">
        <v>12</v>
      </c>
      <c r="R361" s="53">
        <v>267525</v>
      </c>
      <c r="S361" s="46">
        <v>1</v>
      </c>
      <c r="T361" s="53">
        <v>352500</v>
      </c>
      <c r="U361" s="53">
        <f t="shared" si="38"/>
        <v>101700</v>
      </c>
      <c r="V361" s="46">
        <v>1</v>
      </c>
      <c r="W361" s="53">
        <v>210667</v>
      </c>
      <c r="X361" s="46">
        <v>1</v>
      </c>
      <c r="Y361" s="46">
        <v>1</v>
      </c>
      <c r="Z361" s="54">
        <v>0.1810058300079648</v>
      </c>
      <c r="AA361" s="15">
        <f t="shared" si="34"/>
        <v>1.50838191673304E-2</v>
      </c>
      <c r="AB361" s="15">
        <f t="shared" si="35"/>
        <v>0.1810058300079648</v>
      </c>
      <c r="AC361" t="b">
        <f t="shared" si="36"/>
        <v>1</v>
      </c>
    </row>
    <row r="362" spans="1:29" x14ac:dyDescent="0.25">
      <c r="A362" s="52" t="s">
        <v>259</v>
      </c>
      <c r="B362" s="46">
        <v>30013</v>
      </c>
      <c r="C362" s="47">
        <v>45777</v>
      </c>
      <c r="D362" s="46">
        <v>311500</v>
      </c>
      <c r="E362" s="46">
        <v>2</v>
      </c>
      <c r="F362" s="52" t="s">
        <v>2007</v>
      </c>
      <c r="G362" s="46">
        <v>6</v>
      </c>
      <c r="H362" s="52" t="s">
        <v>784</v>
      </c>
      <c r="I362" s="46"/>
      <c r="J362" s="46">
        <v>0</v>
      </c>
      <c r="K362" s="46"/>
      <c r="L362" s="52" t="s">
        <v>261</v>
      </c>
      <c r="M362" s="53">
        <v>7300000</v>
      </c>
      <c r="N362" s="46">
        <v>84</v>
      </c>
      <c r="O362" s="46">
        <v>0</v>
      </c>
      <c r="P362" s="46">
        <v>1</v>
      </c>
      <c r="Q362" s="52">
        <v>12</v>
      </c>
      <c r="R362" s="53">
        <v>130196</v>
      </c>
      <c r="S362" s="46">
        <v>1</v>
      </c>
      <c r="T362" s="53">
        <v>393250</v>
      </c>
      <c r="U362" s="53">
        <f t="shared" si="38"/>
        <v>84700</v>
      </c>
      <c r="V362" s="46">
        <v>1</v>
      </c>
      <c r="W362" s="53">
        <v>137885</v>
      </c>
      <c r="X362" s="46">
        <v>1</v>
      </c>
      <c r="Y362" s="46">
        <v>1</v>
      </c>
      <c r="Z362" s="54">
        <v>0.17291991197130513</v>
      </c>
      <c r="AA362" s="15">
        <f t="shared" si="34"/>
        <v>1.4409992664275426E-2</v>
      </c>
      <c r="AB362" s="15">
        <f t="shared" si="35"/>
        <v>0.17291991197130513</v>
      </c>
      <c r="AC362" t="b">
        <f t="shared" si="36"/>
        <v>1</v>
      </c>
    </row>
    <row r="363" spans="1:29" x14ac:dyDescent="0.25">
      <c r="A363" s="52" t="s">
        <v>259</v>
      </c>
      <c r="B363" s="46">
        <v>30013</v>
      </c>
      <c r="C363" s="47">
        <v>45777</v>
      </c>
      <c r="D363" s="46">
        <v>321600</v>
      </c>
      <c r="E363" s="46">
        <v>2</v>
      </c>
      <c r="F363" s="52" t="s">
        <v>2008</v>
      </c>
      <c r="G363" s="46">
        <v>6</v>
      </c>
      <c r="H363" s="52" t="s">
        <v>784</v>
      </c>
      <c r="I363" s="46"/>
      <c r="J363" s="46">
        <v>0</v>
      </c>
      <c r="K363" s="46"/>
      <c r="L363" s="52" t="s">
        <v>690</v>
      </c>
      <c r="M363" s="53">
        <v>800000</v>
      </c>
      <c r="N363" s="46">
        <v>12</v>
      </c>
      <c r="O363" s="46">
        <v>0</v>
      </c>
      <c r="P363" s="46">
        <v>1</v>
      </c>
      <c r="Q363" s="52">
        <v>10</v>
      </c>
      <c r="R363" s="53">
        <v>9512</v>
      </c>
      <c r="S363" s="46">
        <v>1</v>
      </c>
      <c r="T363" s="53">
        <v>0</v>
      </c>
      <c r="U363" s="53">
        <v>21700</v>
      </c>
      <c r="V363" s="46">
        <v>1</v>
      </c>
      <c r="W363" s="53">
        <v>71038</v>
      </c>
      <c r="X363" s="46">
        <v>1</v>
      </c>
      <c r="Y363" s="46">
        <v>1</v>
      </c>
      <c r="Z363" s="54">
        <v>0.19515090930788326</v>
      </c>
      <c r="AA363" s="15">
        <f t="shared" si="34"/>
        <v>1.6262575775656939E-2</v>
      </c>
      <c r="AB363" s="15">
        <f t="shared" si="35"/>
        <v>0.19515090930788326</v>
      </c>
      <c r="AC363" t="b">
        <f t="shared" si="36"/>
        <v>1</v>
      </c>
    </row>
    <row r="364" spans="1:29" x14ac:dyDescent="0.25">
      <c r="A364" s="52" t="s">
        <v>259</v>
      </c>
      <c r="B364" s="46">
        <v>30013</v>
      </c>
      <c r="C364" s="47">
        <v>45777</v>
      </c>
      <c r="D364" s="46">
        <v>311500</v>
      </c>
      <c r="E364" s="46">
        <v>2</v>
      </c>
      <c r="F364" s="52" t="s">
        <v>2009</v>
      </c>
      <c r="G364" s="46">
        <v>6</v>
      </c>
      <c r="H364" s="52" t="s">
        <v>784</v>
      </c>
      <c r="I364" s="46"/>
      <c r="J364" s="46">
        <v>0</v>
      </c>
      <c r="K364" s="46"/>
      <c r="L364" s="52" t="s">
        <v>261</v>
      </c>
      <c r="M364" s="53">
        <v>2200000</v>
      </c>
      <c r="N364" s="46">
        <v>48</v>
      </c>
      <c r="O364" s="46">
        <v>0</v>
      </c>
      <c r="P364" s="46">
        <v>1</v>
      </c>
      <c r="Q364" s="52">
        <v>12</v>
      </c>
      <c r="R364" s="53">
        <v>65395</v>
      </c>
      <c r="S364" s="46">
        <v>1</v>
      </c>
      <c r="T364" s="53">
        <v>76000</v>
      </c>
      <c r="U364" s="53">
        <f t="shared" ref="U364:U377" si="39">M364/100+11700</f>
        <v>33700</v>
      </c>
      <c r="V364" s="46">
        <v>1</v>
      </c>
      <c r="W364" s="53">
        <v>60414</v>
      </c>
      <c r="X364" s="46">
        <v>1</v>
      </c>
      <c r="Y364" s="46">
        <v>1</v>
      </c>
      <c r="Z364" s="54">
        <v>0.18877421812183873</v>
      </c>
      <c r="AA364" s="15">
        <f t="shared" si="34"/>
        <v>1.5731184843486561E-2</v>
      </c>
      <c r="AB364" s="15">
        <f t="shared" si="35"/>
        <v>0.18877421812183873</v>
      </c>
      <c r="AC364" t="b">
        <f t="shared" si="36"/>
        <v>1</v>
      </c>
    </row>
    <row r="365" spans="1:29" x14ac:dyDescent="0.25">
      <c r="A365" s="52" t="s">
        <v>259</v>
      </c>
      <c r="B365" s="46">
        <v>30013</v>
      </c>
      <c r="C365" s="47">
        <v>45777</v>
      </c>
      <c r="D365" s="46">
        <v>311500</v>
      </c>
      <c r="E365" s="46">
        <v>2</v>
      </c>
      <c r="F365" s="52" t="s">
        <v>2010</v>
      </c>
      <c r="G365" s="46">
        <v>6</v>
      </c>
      <c r="H365" s="52" t="s">
        <v>784</v>
      </c>
      <c r="I365" s="46"/>
      <c r="J365" s="46">
        <v>0</v>
      </c>
      <c r="K365" s="46"/>
      <c r="L365" s="52" t="s">
        <v>700</v>
      </c>
      <c r="M365" s="53">
        <v>4200000</v>
      </c>
      <c r="N365" s="46">
        <v>72</v>
      </c>
      <c r="O365" s="46">
        <v>0</v>
      </c>
      <c r="P365" s="46">
        <v>1</v>
      </c>
      <c r="Q365" s="52">
        <v>12</v>
      </c>
      <c r="R365" s="53">
        <v>74907</v>
      </c>
      <c r="S365" s="46">
        <v>1</v>
      </c>
      <c r="T365" s="53">
        <v>199000</v>
      </c>
      <c r="U365" s="53">
        <f t="shared" si="39"/>
        <v>53700</v>
      </c>
      <c r="V365" s="46">
        <v>1</v>
      </c>
      <c r="W365" s="53">
        <v>87148</v>
      </c>
      <c r="X365" s="46">
        <v>1</v>
      </c>
      <c r="Y365" s="46">
        <v>1</v>
      </c>
      <c r="Z365" s="54">
        <v>0.17462426073087225</v>
      </c>
      <c r="AA365" s="15">
        <f t="shared" si="34"/>
        <v>1.4552021727572688E-2</v>
      </c>
      <c r="AB365" s="15">
        <f t="shared" si="35"/>
        <v>0.17462426073087225</v>
      </c>
      <c r="AC365" t="b">
        <f t="shared" si="36"/>
        <v>1</v>
      </c>
    </row>
    <row r="366" spans="1:29" x14ac:dyDescent="0.25">
      <c r="A366" s="52" t="s">
        <v>259</v>
      </c>
      <c r="B366" s="46">
        <v>30013</v>
      </c>
      <c r="C366" s="47">
        <v>45777</v>
      </c>
      <c r="D366" s="46">
        <v>311500</v>
      </c>
      <c r="E366" s="46">
        <v>2</v>
      </c>
      <c r="F366" s="52" t="s">
        <v>2011</v>
      </c>
      <c r="G366" s="46">
        <v>6</v>
      </c>
      <c r="H366" s="52" t="s">
        <v>784</v>
      </c>
      <c r="I366" s="46"/>
      <c r="J366" s="46">
        <v>0</v>
      </c>
      <c r="K366" s="46"/>
      <c r="L366" s="52" t="s">
        <v>261</v>
      </c>
      <c r="M366" s="53">
        <v>2800000</v>
      </c>
      <c r="N366" s="46">
        <v>48</v>
      </c>
      <c r="O366" s="46">
        <v>0</v>
      </c>
      <c r="P366" s="46">
        <v>1</v>
      </c>
      <c r="Q366" s="52">
        <v>12</v>
      </c>
      <c r="R366" s="53">
        <v>83230</v>
      </c>
      <c r="S366" s="46">
        <v>1</v>
      </c>
      <c r="T366" s="53">
        <v>94000</v>
      </c>
      <c r="U366" s="53">
        <f t="shared" si="39"/>
        <v>39700</v>
      </c>
      <c r="V366" s="46">
        <v>1</v>
      </c>
      <c r="W366" s="53">
        <v>76891</v>
      </c>
      <c r="X366" s="46">
        <v>1</v>
      </c>
      <c r="Y366" s="46">
        <v>1</v>
      </c>
      <c r="Z366" s="54">
        <v>0.18747978308878435</v>
      </c>
      <c r="AA366" s="15">
        <f t="shared" si="34"/>
        <v>1.5623315257398697E-2</v>
      </c>
      <c r="AB366" s="15">
        <f t="shared" si="35"/>
        <v>0.18747978308878435</v>
      </c>
      <c r="AC366" t="b">
        <f t="shared" si="36"/>
        <v>1</v>
      </c>
    </row>
    <row r="367" spans="1:29" x14ac:dyDescent="0.25">
      <c r="A367" s="52" t="s">
        <v>259</v>
      </c>
      <c r="B367" s="46">
        <v>30013</v>
      </c>
      <c r="C367" s="47">
        <v>45777</v>
      </c>
      <c r="D367" s="46">
        <v>311500</v>
      </c>
      <c r="E367" s="46">
        <v>2</v>
      </c>
      <c r="F367" s="52" t="s">
        <v>2012</v>
      </c>
      <c r="G367" s="46">
        <v>6</v>
      </c>
      <c r="H367" s="52" t="s">
        <v>784</v>
      </c>
      <c r="I367" s="46"/>
      <c r="J367" s="46">
        <v>0</v>
      </c>
      <c r="K367" s="46"/>
      <c r="L367" s="52" t="s">
        <v>686</v>
      </c>
      <c r="M367" s="53">
        <v>10000000</v>
      </c>
      <c r="N367" s="46">
        <v>64</v>
      </c>
      <c r="O367" s="46">
        <v>0</v>
      </c>
      <c r="P367" s="46">
        <v>1</v>
      </c>
      <c r="Q367" s="52">
        <v>8</v>
      </c>
      <c r="R367" s="53">
        <v>178350</v>
      </c>
      <c r="S367" s="46">
        <v>1</v>
      </c>
      <c r="T367" s="53">
        <v>415000</v>
      </c>
      <c r="U367" s="53">
        <f t="shared" si="39"/>
        <v>111700</v>
      </c>
      <c r="V367" s="46">
        <v>1</v>
      </c>
      <c r="W367" s="53">
        <v>199826</v>
      </c>
      <c r="X367" s="46">
        <v>1</v>
      </c>
      <c r="Y367" s="46">
        <v>1</v>
      </c>
      <c r="Z367" s="54">
        <v>0.12523811167898979</v>
      </c>
      <c r="AA367" s="15">
        <f t="shared" si="34"/>
        <v>1.0436509306582483E-2</v>
      </c>
      <c r="AB367" s="15">
        <f t="shared" si="35"/>
        <v>0.12523811167898979</v>
      </c>
      <c r="AC367" t="b">
        <f t="shared" si="36"/>
        <v>1</v>
      </c>
    </row>
    <row r="368" spans="1:29" x14ac:dyDescent="0.25">
      <c r="A368" s="52" t="s">
        <v>259</v>
      </c>
      <c r="B368" s="46">
        <v>30013</v>
      </c>
      <c r="C368" s="47">
        <v>45777</v>
      </c>
      <c r="D368" s="46">
        <v>321500</v>
      </c>
      <c r="E368" s="46">
        <v>2</v>
      </c>
      <c r="F368" s="52" t="s">
        <v>2013</v>
      </c>
      <c r="G368" s="46">
        <v>6</v>
      </c>
      <c r="H368" s="52" t="s">
        <v>784</v>
      </c>
      <c r="I368" s="46"/>
      <c r="J368" s="46">
        <v>0</v>
      </c>
      <c r="K368" s="46"/>
      <c r="L368" s="52" t="s">
        <v>690</v>
      </c>
      <c r="M368" s="53">
        <v>1150000</v>
      </c>
      <c r="N368" s="46">
        <v>12</v>
      </c>
      <c r="O368" s="46">
        <v>0</v>
      </c>
      <c r="P368" s="46">
        <v>1</v>
      </c>
      <c r="Q368" s="52">
        <v>10</v>
      </c>
      <c r="R368" s="53">
        <v>13674</v>
      </c>
      <c r="S368" s="46">
        <v>1</v>
      </c>
      <c r="T368" s="53">
        <v>0</v>
      </c>
      <c r="U368" s="53">
        <f t="shared" si="39"/>
        <v>23200</v>
      </c>
      <c r="V368" s="46">
        <v>1</v>
      </c>
      <c r="W368" s="53">
        <v>102117</v>
      </c>
      <c r="X368" s="46">
        <v>1</v>
      </c>
      <c r="Y368" s="46">
        <v>1</v>
      </c>
      <c r="Z368" s="54">
        <v>0.18123840568834015</v>
      </c>
      <c r="AA368" s="15">
        <f t="shared" si="34"/>
        <v>1.5103200474028347E-2</v>
      </c>
      <c r="AB368" s="15">
        <f t="shared" si="35"/>
        <v>0.18123840568834015</v>
      </c>
      <c r="AC368" t="b">
        <f t="shared" si="36"/>
        <v>1</v>
      </c>
    </row>
    <row r="369" spans="1:29" x14ac:dyDescent="0.25">
      <c r="A369" s="52" t="s">
        <v>259</v>
      </c>
      <c r="B369" s="46">
        <v>30013</v>
      </c>
      <c r="C369" s="47">
        <v>45777</v>
      </c>
      <c r="D369" s="46">
        <v>311500</v>
      </c>
      <c r="E369" s="46">
        <v>2</v>
      </c>
      <c r="F369" s="52" t="s">
        <v>2014</v>
      </c>
      <c r="G369" s="46">
        <v>6</v>
      </c>
      <c r="H369" s="52" t="s">
        <v>784</v>
      </c>
      <c r="I369" s="46"/>
      <c r="J369" s="46">
        <v>0</v>
      </c>
      <c r="K369" s="46"/>
      <c r="L369" s="52" t="s">
        <v>261</v>
      </c>
      <c r="M369" s="53">
        <v>5500000</v>
      </c>
      <c r="N369" s="46">
        <v>72</v>
      </c>
      <c r="O369" s="46">
        <v>0</v>
      </c>
      <c r="P369" s="46">
        <v>1</v>
      </c>
      <c r="Q369" s="52">
        <v>11</v>
      </c>
      <c r="R369" s="53">
        <v>98093</v>
      </c>
      <c r="S369" s="46">
        <v>1</v>
      </c>
      <c r="T369" s="53">
        <v>257500</v>
      </c>
      <c r="U369" s="53">
        <f t="shared" si="39"/>
        <v>66700</v>
      </c>
      <c r="V369" s="46">
        <v>1</v>
      </c>
      <c r="W369" s="53">
        <v>110637</v>
      </c>
      <c r="X369" s="46">
        <v>1</v>
      </c>
      <c r="Y369" s="46">
        <v>1</v>
      </c>
      <c r="Z369" s="54">
        <v>0.16175845616490997</v>
      </c>
      <c r="AA369" s="15">
        <f t="shared" si="34"/>
        <v>1.3479871347075831E-2</v>
      </c>
      <c r="AB369" s="15">
        <f t="shared" si="35"/>
        <v>0.16175845616490997</v>
      </c>
      <c r="AC369" t="b">
        <f t="shared" si="36"/>
        <v>1</v>
      </c>
    </row>
    <row r="370" spans="1:29" x14ac:dyDescent="0.25">
      <c r="A370" s="52" t="s">
        <v>259</v>
      </c>
      <c r="B370" s="46">
        <v>30013</v>
      </c>
      <c r="C370" s="47">
        <v>45777</v>
      </c>
      <c r="D370" s="46">
        <v>311500</v>
      </c>
      <c r="E370" s="46">
        <v>2</v>
      </c>
      <c r="F370" s="52" t="s">
        <v>2015</v>
      </c>
      <c r="G370" s="46">
        <v>6</v>
      </c>
      <c r="H370" s="52" t="s">
        <v>1642</v>
      </c>
      <c r="I370" s="46"/>
      <c r="J370" s="46">
        <v>0</v>
      </c>
      <c r="K370" s="46"/>
      <c r="L370" s="52" t="s">
        <v>700</v>
      </c>
      <c r="M370" s="53">
        <v>7260000</v>
      </c>
      <c r="N370" s="46">
        <v>48</v>
      </c>
      <c r="O370" s="46">
        <v>0</v>
      </c>
      <c r="P370" s="46">
        <v>1</v>
      </c>
      <c r="Q370" s="52">
        <v>10</v>
      </c>
      <c r="R370" s="53">
        <v>215804</v>
      </c>
      <c r="S370" s="46">
        <v>1</v>
      </c>
      <c r="T370" s="53">
        <v>227800</v>
      </c>
      <c r="U370" s="53">
        <f t="shared" si="39"/>
        <v>84300</v>
      </c>
      <c r="V370" s="46">
        <v>1</v>
      </c>
      <c r="W370" s="53">
        <v>190792</v>
      </c>
      <c r="X370" s="46">
        <v>1</v>
      </c>
      <c r="Y370" s="46">
        <v>1</v>
      </c>
      <c r="Z370" s="54">
        <v>0.1600072768219285</v>
      </c>
      <c r="AA370" s="15">
        <f t="shared" si="34"/>
        <v>1.333393973516071E-2</v>
      </c>
      <c r="AB370" s="15">
        <f t="shared" si="35"/>
        <v>0.1600072768219285</v>
      </c>
      <c r="AC370" t="b">
        <f t="shared" si="36"/>
        <v>1</v>
      </c>
    </row>
    <row r="371" spans="1:29" x14ac:dyDescent="0.25">
      <c r="A371" s="52" t="s">
        <v>259</v>
      </c>
      <c r="B371" s="46">
        <v>30013</v>
      </c>
      <c r="C371" s="47">
        <v>45777</v>
      </c>
      <c r="D371" s="46">
        <v>321600</v>
      </c>
      <c r="E371" s="46">
        <v>2</v>
      </c>
      <c r="F371" s="52" t="s">
        <v>707</v>
      </c>
      <c r="G371" s="46">
        <v>6</v>
      </c>
      <c r="H371" s="52" t="s">
        <v>1642</v>
      </c>
      <c r="I371" s="46"/>
      <c r="J371" s="46">
        <v>0</v>
      </c>
      <c r="K371" s="46"/>
      <c r="L371" s="52" t="s">
        <v>690</v>
      </c>
      <c r="M371" s="53">
        <v>2000000</v>
      </c>
      <c r="N371" s="46">
        <v>12</v>
      </c>
      <c r="O371" s="46">
        <v>0</v>
      </c>
      <c r="P371" s="46">
        <v>1</v>
      </c>
      <c r="Q371" s="52">
        <v>10</v>
      </c>
      <c r="R371" s="53">
        <v>23780</v>
      </c>
      <c r="S371" s="46">
        <v>1</v>
      </c>
      <c r="T371" s="53">
        <v>25000</v>
      </c>
      <c r="U371" s="53">
        <f t="shared" si="39"/>
        <v>31700</v>
      </c>
      <c r="V371" s="46">
        <v>1</v>
      </c>
      <c r="W371" s="53">
        <v>177595</v>
      </c>
      <c r="X371" s="46">
        <v>1</v>
      </c>
      <c r="Y371" s="46">
        <v>1</v>
      </c>
      <c r="Z371" s="54">
        <v>0.19761766790597002</v>
      </c>
      <c r="AA371" s="15">
        <f t="shared" si="34"/>
        <v>1.6468138992164167E-2</v>
      </c>
      <c r="AB371" s="15">
        <f t="shared" si="35"/>
        <v>0.19761766790597002</v>
      </c>
      <c r="AC371" t="b">
        <f t="shared" si="36"/>
        <v>1</v>
      </c>
    </row>
    <row r="372" spans="1:29" x14ac:dyDescent="0.25">
      <c r="A372" s="52" t="s">
        <v>259</v>
      </c>
      <c r="B372" s="46">
        <v>30013</v>
      </c>
      <c r="C372" s="47">
        <v>45777</v>
      </c>
      <c r="D372" s="46">
        <v>311500</v>
      </c>
      <c r="E372" s="46">
        <v>2</v>
      </c>
      <c r="F372" s="52" t="s">
        <v>2016</v>
      </c>
      <c r="G372" s="46">
        <v>6</v>
      </c>
      <c r="H372" s="52" t="s">
        <v>2017</v>
      </c>
      <c r="I372" s="46"/>
      <c r="J372" s="46">
        <v>0</v>
      </c>
      <c r="K372" s="46"/>
      <c r="L372" s="52" t="s">
        <v>691</v>
      </c>
      <c r="M372" s="53">
        <v>1750000</v>
      </c>
      <c r="N372" s="46">
        <v>60</v>
      </c>
      <c r="O372" s="46">
        <v>0</v>
      </c>
      <c r="P372" s="46">
        <v>1</v>
      </c>
      <c r="Q372" s="52">
        <v>12</v>
      </c>
      <c r="R372" s="53">
        <v>52019</v>
      </c>
      <c r="S372" s="46">
        <v>1</v>
      </c>
      <c r="T372" s="53">
        <v>75625</v>
      </c>
      <c r="U372" s="53">
        <f t="shared" si="39"/>
        <v>29200</v>
      </c>
      <c r="V372" s="46">
        <v>1</v>
      </c>
      <c r="W372" s="53">
        <v>40963</v>
      </c>
      <c r="X372" s="46">
        <v>1</v>
      </c>
      <c r="Y372" s="46">
        <v>1</v>
      </c>
      <c r="Z372" s="54">
        <v>0.18583393167528928</v>
      </c>
      <c r="AA372" s="15">
        <f t="shared" si="34"/>
        <v>1.5486160972940774E-2</v>
      </c>
      <c r="AB372" s="15">
        <f t="shared" si="35"/>
        <v>0.18583393167528928</v>
      </c>
      <c r="AC372" t="b">
        <f t="shared" si="36"/>
        <v>1</v>
      </c>
    </row>
    <row r="373" spans="1:29" x14ac:dyDescent="0.25">
      <c r="A373" s="52" t="s">
        <v>259</v>
      </c>
      <c r="B373" s="46">
        <v>30013</v>
      </c>
      <c r="C373" s="47">
        <v>45777</v>
      </c>
      <c r="D373" s="46">
        <v>311500</v>
      </c>
      <c r="E373" s="46">
        <v>2</v>
      </c>
      <c r="F373" s="52" t="s">
        <v>2018</v>
      </c>
      <c r="G373" s="46">
        <v>6</v>
      </c>
      <c r="H373" s="52" t="s">
        <v>784</v>
      </c>
      <c r="I373" s="46"/>
      <c r="J373" s="46">
        <v>0</v>
      </c>
      <c r="K373" s="46"/>
      <c r="L373" s="52" t="s">
        <v>693</v>
      </c>
      <c r="M373" s="53">
        <v>7400000</v>
      </c>
      <c r="N373" s="46">
        <v>84</v>
      </c>
      <c r="O373" s="46">
        <v>0</v>
      </c>
      <c r="P373" s="46">
        <v>1</v>
      </c>
      <c r="Q373" s="52">
        <v>12</v>
      </c>
      <c r="R373" s="53">
        <v>131979</v>
      </c>
      <c r="S373" s="46">
        <v>1</v>
      </c>
      <c r="T373" s="53">
        <v>398500</v>
      </c>
      <c r="U373" s="53">
        <f t="shared" si="39"/>
        <v>85700</v>
      </c>
      <c r="V373" s="46">
        <v>1</v>
      </c>
      <c r="W373" s="53">
        <v>139774</v>
      </c>
      <c r="X373" s="46">
        <v>1</v>
      </c>
      <c r="Y373" s="46">
        <v>1</v>
      </c>
      <c r="Z373" s="54">
        <v>0.17290474457221991</v>
      </c>
      <c r="AA373" s="15">
        <f t="shared" si="34"/>
        <v>1.4408728714351659E-2</v>
      </c>
      <c r="AB373" s="15">
        <f t="shared" si="35"/>
        <v>0.17290474457221991</v>
      </c>
      <c r="AC373" t="b">
        <f t="shared" si="36"/>
        <v>1</v>
      </c>
    </row>
    <row r="374" spans="1:29" x14ac:dyDescent="0.25">
      <c r="A374" s="52" t="s">
        <v>259</v>
      </c>
      <c r="B374" s="46">
        <v>30013</v>
      </c>
      <c r="C374" s="47">
        <v>45777</v>
      </c>
      <c r="D374" s="46">
        <v>311500</v>
      </c>
      <c r="E374" s="46">
        <v>2</v>
      </c>
      <c r="F374" s="52" t="s">
        <v>2019</v>
      </c>
      <c r="G374" s="46">
        <v>6</v>
      </c>
      <c r="H374" s="52" t="s">
        <v>1642</v>
      </c>
      <c r="I374" s="46"/>
      <c r="J374" s="46">
        <v>0</v>
      </c>
      <c r="K374" s="46"/>
      <c r="L374" s="52" t="s">
        <v>231</v>
      </c>
      <c r="M374" s="53">
        <v>5310000</v>
      </c>
      <c r="N374" s="46">
        <v>66</v>
      </c>
      <c r="O374" s="46">
        <v>0</v>
      </c>
      <c r="P374" s="46">
        <v>1</v>
      </c>
      <c r="Q374" s="52">
        <v>8</v>
      </c>
      <c r="R374" s="53">
        <v>94704</v>
      </c>
      <c r="S374" s="46">
        <v>1</v>
      </c>
      <c r="T374" s="53">
        <v>229038</v>
      </c>
      <c r="U374" s="53">
        <f t="shared" si="39"/>
        <v>64800</v>
      </c>
      <c r="V374" s="46">
        <v>1</v>
      </c>
      <c r="W374" s="53">
        <v>103638</v>
      </c>
      <c r="X374" s="46">
        <v>1</v>
      </c>
      <c r="Y374" s="46">
        <v>1</v>
      </c>
      <c r="Z374" s="54">
        <v>0.12559333405739087</v>
      </c>
      <c r="AA374" s="15">
        <f t="shared" si="34"/>
        <v>1.046611117144924E-2</v>
      </c>
      <c r="AB374" s="15">
        <f t="shared" si="35"/>
        <v>0.12559333405739087</v>
      </c>
      <c r="AC374" t="b">
        <f t="shared" si="36"/>
        <v>1</v>
      </c>
    </row>
    <row r="375" spans="1:29" x14ac:dyDescent="0.25">
      <c r="A375" s="52" t="s">
        <v>259</v>
      </c>
      <c r="B375" s="46">
        <v>30013</v>
      </c>
      <c r="C375" s="47">
        <v>45777</v>
      </c>
      <c r="D375" s="46">
        <v>311500</v>
      </c>
      <c r="E375" s="46">
        <v>2</v>
      </c>
      <c r="F375" s="52" t="s">
        <v>2020</v>
      </c>
      <c r="G375" s="46">
        <v>6</v>
      </c>
      <c r="H375" s="52" t="s">
        <v>784</v>
      </c>
      <c r="I375" s="46"/>
      <c r="J375" s="46">
        <v>0</v>
      </c>
      <c r="K375" s="46"/>
      <c r="L375" s="52" t="s">
        <v>231</v>
      </c>
      <c r="M375" s="53">
        <v>8500000</v>
      </c>
      <c r="N375" s="46">
        <v>48</v>
      </c>
      <c r="O375" s="46">
        <v>0</v>
      </c>
      <c r="P375" s="46">
        <v>1</v>
      </c>
      <c r="Q375" s="52">
        <v>8</v>
      </c>
      <c r="R375" s="53">
        <v>252663</v>
      </c>
      <c r="S375" s="46">
        <v>1</v>
      </c>
      <c r="T375" s="53">
        <v>270000</v>
      </c>
      <c r="U375" s="53">
        <f t="shared" si="39"/>
        <v>96700</v>
      </c>
      <c r="V375" s="46">
        <v>1</v>
      </c>
      <c r="W375" s="53">
        <v>213595</v>
      </c>
      <c r="X375" s="46">
        <v>1</v>
      </c>
      <c r="Y375" s="46">
        <v>1</v>
      </c>
      <c r="Z375" s="54">
        <v>0.13554996968645208</v>
      </c>
      <c r="AA375" s="15">
        <f t="shared" si="34"/>
        <v>1.129583080720434E-2</v>
      </c>
      <c r="AB375" s="15">
        <f t="shared" si="35"/>
        <v>0.13554996968645208</v>
      </c>
      <c r="AC375" t="b">
        <f t="shared" si="36"/>
        <v>1</v>
      </c>
    </row>
    <row r="376" spans="1:29" x14ac:dyDescent="0.25">
      <c r="A376" s="52" t="s">
        <v>259</v>
      </c>
      <c r="B376" s="46">
        <v>30013</v>
      </c>
      <c r="C376" s="47">
        <v>45777</v>
      </c>
      <c r="D376" s="46">
        <v>311500</v>
      </c>
      <c r="E376" s="46">
        <v>2</v>
      </c>
      <c r="F376" s="52" t="s">
        <v>2021</v>
      </c>
      <c r="G376" s="46">
        <v>6</v>
      </c>
      <c r="H376" s="52" t="s">
        <v>784</v>
      </c>
      <c r="I376" s="46"/>
      <c r="J376" s="46">
        <v>0</v>
      </c>
      <c r="K376" s="46"/>
      <c r="L376" s="52" t="s">
        <v>270</v>
      </c>
      <c r="M376" s="53">
        <v>4300000</v>
      </c>
      <c r="N376" s="46">
        <v>60</v>
      </c>
      <c r="O376" s="46">
        <v>0</v>
      </c>
      <c r="P376" s="46">
        <v>1</v>
      </c>
      <c r="Q376" s="52">
        <v>8</v>
      </c>
      <c r="R376" s="53">
        <v>127818</v>
      </c>
      <c r="S376" s="46">
        <v>1</v>
      </c>
      <c r="T376" s="53">
        <v>171250</v>
      </c>
      <c r="U376" s="53">
        <f t="shared" si="39"/>
        <v>54700</v>
      </c>
      <c r="V376" s="46">
        <v>1</v>
      </c>
      <c r="W376" s="53">
        <v>90333</v>
      </c>
      <c r="X376" s="46">
        <v>1</v>
      </c>
      <c r="Y376" s="46">
        <v>1</v>
      </c>
      <c r="Z376" s="54">
        <v>0.13268876258794787</v>
      </c>
      <c r="AA376" s="15">
        <f t="shared" si="34"/>
        <v>1.1057396882328988E-2</v>
      </c>
      <c r="AB376" s="15">
        <f t="shared" si="35"/>
        <v>0.13268876258794787</v>
      </c>
      <c r="AC376" t="b">
        <f t="shared" si="36"/>
        <v>1</v>
      </c>
    </row>
    <row r="377" spans="1:29" x14ac:dyDescent="0.25">
      <c r="A377" s="52" t="s">
        <v>259</v>
      </c>
      <c r="B377" s="46">
        <v>30013</v>
      </c>
      <c r="C377" s="47">
        <v>45777</v>
      </c>
      <c r="D377" s="46">
        <v>311500</v>
      </c>
      <c r="E377" s="46">
        <v>2</v>
      </c>
      <c r="F377" s="52" t="s">
        <v>2022</v>
      </c>
      <c r="G377" s="46">
        <v>6</v>
      </c>
      <c r="H377" s="52" t="s">
        <v>784</v>
      </c>
      <c r="I377" s="46"/>
      <c r="J377" s="46">
        <v>0</v>
      </c>
      <c r="K377" s="46"/>
      <c r="L377" s="52" t="s">
        <v>261</v>
      </c>
      <c r="M377" s="53">
        <v>1770000</v>
      </c>
      <c r="N377" s="46">
        <v>48</v>
      </c>
      <c r="O377" s="46">
        <v>0</v>
      </c>
      <c r="P377" s="46">
        <v>1</v>
      </c>
      <c r="Q377" s="52">
        <v>12</v>
      </c>
      <c r="R377" s="53">
        <v>52613</v>
      </c>
      <c r="S377" s="46">
        <v>1</v>
      </c>
      <c r="T377" s="53">
        <v>63100</v>
      </c>
      <c r="U377" s="53">
        <f t="shared" si="39"/>
        <v>29400</v>
      </c>
      <c r="V377" s="46">
        <v>1</v>
      </c>
      <c r="W377" s="53">
        <v>48606</v>
      </c>
      <c r="X377" s="46">
        <v>1</v>
      </c>
      <c r="Y377" s="46">
        <v>1</v>
      </c>
      <c r="Z377" s="54">
        <v>0.19025289399727213</v>
      </c>
      <c r="AA377" s="15">
        <f t="shared" si="34"/>
        <v>1.5854407833106012E-2</v>
      </c>
      <c r="AB377" s="15">
        <f t="shared" si="35"/>
        <v>0.19025289399727213</v>
      </c>
      <c r="AC377" t="b">
        <f t="shared" si="36"/>
        <v>1</v>
      </c>
    </row>
    <row r="378" spans="1:29" x14ac:dyDescent="0.25">
      <c r="A378" s="52" t="s">
        <v>259</v>
      </c>
      <c r="B378" s="46">
        <v>30013</v>
      </c>
      <c r="C378" s="47">
        <v>45777</v>
      </c>
      <c r="D378" s="46">
        <v>321500</v>
      </c>
      <c r="E378" s="46">
        <v>2</v>
      </c>
      <c r="F378" s="52" t="s">
        <v>2023</v>
      </c>
      <c r="G378" s="46">
        <v>6</v>
      </c>
      <c r="H378" s="52" t="s">
        <v>1642</v>
      </c>
      <c r="I378" s="46"/>
      <c r="J378" s="46">
        <v>0</v>
      </c>
      <c r="K378" s="46"/>
      <c r="L378" s="52" t="s">
        <v>270</v>
      </c>
      <c r="M378" s="53">
        <v>480000</v>
      </c>
      <c r="N378" s="46">
        <v>12</v>
      </c>
      <c r="O378" s="46">
        <v>0</v>
      </c>
      <c r="P378" s="46">
        <v>1</v>
      </c>
      <c r="Q378" s="52">
        <v>10</v>
      </c>
      <c r="R378" s="53">
        <v>2854</v>
      </c>
      <c r="S378" s="46">
        <v>1</v>
      </c>
      <c r="T378" s="53">
        <v>0</v>
      </c>
      <c r="U378" s="53">
        <v>21700</v>
      </c>
      <c r="V378" s="46">
        <v>1</v>
      </c>
      <c r="W378" s="53">
        <v>42623</v>
      </c>
      <c r="X378" s="46">
        <v>1</v>
      </c>
      <c r="Y378" s="46">
        <v>1</v>
      </c>
      <c r="Z378" s="54">
        <v>0.21980903063107946</v>
      </c>
      <c r="AA378" s="15">
        <f t="shared" si="34"/>
        <v>1.8317419219256621E-2</v>
      </c>
      <c r="AB378" s="15">
        <f t="shared" si="35"/>
        <v>0.21980903063107946</v>
      </c>
      <c r="AC378" t="b">
        <f t="shared" si="36"/>
        <v>1</v>
      </c>
    </row>
    <row r="379" spans="1:29" x14ac:dyDescent="0.25">
      <c r="A379" s="52" t="s">
        <v>259</v>
      </c>
      <c r="B379" s="46">
        <v>30013</v>
      </c>
      <c r="C379" s="47">
        <v>45777</v>
      </c>
      <c r="D379" s="46">
        <v>301200</v>
      </c>
      <c r="E379" s="46">
        <v>3</v>
      </c>
      <c r="F379" s="52" t="s">
        <v>2024</v>
      </c>
      <c r="G379" s="46">
        <v>6</v>
      </c>
      <c r="H379" s="52" t="s">
        <v>784</v>
      </c>
      <c r="I379" s="46"/>
      <c r="J379" s="46">
        <v>0</v>
      </c>
      <c r="K379" s="46"/>
      <c r="L379" s="52" t="s">
        <v>270</v>
      </c>
      <c r="M379" s="55">
        <v>5409375</v>
      </c>
      <c r="N379" s="46">
        <v>30</v>
      </c>
      <c r="O379" s="46">
        <v>0</v>
      </c>
      <c r="P379" s="46">
        <v>1</v>
      </c>
      <c r="Q379" s="52">
        <v>3.5</v>
      </c>
      <c r="R379" s="55">
        <v>0</v>
      </c>
      <c r="S379" s="46">
        <v>1</v>
      </c>
      <c r="T379" s="55">
        <v>109375</v>
      </c>
      <c r="U379" s="55">
        <v>65794</v>
      </c>
      <c r="V379" s="46">
        <v>1</v>
      </c>
      <c r="W379" s="55">
        <v>190167</v>
      </c>
      <c r="X379" s="46">
        <v>1</v>
      </c>
      <c r="Y379" s="46">
        <v>1</v>
      </c>
      <c r="Z379" s="54">
        <v>6.7791840704327755E-2</v>
      </c>
      <c r="AA379" s="15">
        <f t="shared" si="34"/>
        <v>5.6493200586939796E-3</v>
      </c>
      <c r="AB379" s="15">
        <f t="shared" si="35"/>
        <v>6.7791840704327755E-2</v>
      </c>
      <c r="AC379" t="b">
        <f t="shared" si="36"/>
        <v>1</v>
      </c>
    </row>
    <row r="380" spans="1:29" x14ac:dyDescent="0.25">
      <c r="A380" s="52" t="s">
        <v>259</v>
      </c>
      <c r="B380" s="46">
        <v>30013</v>
      </c>
      <c r="C380" s="47">
        <v>45777</v>
      </c>
      <c r="D380" s="46">
        <v>311500</v>
      </c>
      <c r="E380" s="46">
        <v>2</v>
      </c>
      <c r="F380" s="52" t="s">
        <v>2025</v>
      </c>
      <c r="G380" s="46">
        <v>6</v>
      </c>
      <c r="H380" s="52" t="s">
        <v>784</v>
      </c>
      <c r="I380" s="46"/>
      <c r="J380" s="46">
        <v>0</v>
      </c>
      <c r="K380" s="46"/>
      <c r="L380" s="52" t="s">
        <v>696</v>
      </c>
      <c r="M380" s="55">
        <v>2049875</v>
      </c>
      <c r="N380" s="46">
        <v>60</v>
      </c>
      <c r="O380" s="46">
        <v>0</v>
      </c>
      <c r="P380" s="46">
        <v>1</v>
      </c>
      <c r="Q380" s="52">
        <v>3.5</v>
      </c>
      <c r="R380" s="55">
        <v>0</v>
      </c>
      <c r="S380" s="46">
        <v>1</v>
      </c>
      <c r="T380" s="55">
        <v>114875</v>
      </c>
      <c r="U380" s="55">
        <v>33348</v>
      </c>
      <c r="V380" s="46">
        <v>1</v>
      </c>
      <c r="W380" s="55">
        <v>37901</v>
      </c>
      <c r="X380" s="46">
        <v>1</v>
      </c>
      <c r="Y380" s="46">
        <v>1</v>
      </c>
      <c r="Z380" s="54">
        <v>7.2736586497706368E-2</v>
      </c>
      <c r="AA380" s="15">
        <f t="shared" si="34"/>
        <v>6.0613822081421976E-3</v>
      </c>
      <c r="AB380" s="15">
        <f t="shared" si="35"/>
        <v>7.2736586497706368E-2</v>
      </c>
      <c r="AC380" t="b">
        <f t="shared" si="36"/>
        <v>1</v>
      </c>
    </row>
    <row r="381" spans="1:29" x14ac:dyDescent="0.25">
      <c r="A381" s="52" t="s">
        <v>259</v>
      </c>
      <c r="B381" s="46">
        <v>30013</v>
      </c>
      <c r="C381" s="47">
        <v>45777</v>
      </c>
      <c r="D381" s="46">
        <v>321300</v>
      </c>
      <c r="E381" s="46">
        <v>2</v>
      </c>
      <c r="F381" s="52" t="s">
        <v>2026</v>
      </c>
      <c r="G381" s="46">
        <v>6</v>
      </c>
      <c r="H381" s="52" t="s">
        <v>1642</v>
      </c>
      <c r="I381" s="46"/>
      <c r="J381" s="46">
        <v>0</v>
      </c>
      <c r="K381" s="46"/>
      <c r="L381" s="52" t="s">
        <v>270</v>
      </c>
      <c r="M381" s="53">
        <v>4000000</v>
      </c>
      <c r="N381" s="46">
        <v>8</v>
      </c>
      <c r="O381" s="46">
        <v>0</v>
      </c>
      <c r="P381" s="46">
        <v>2</v>
      </c>
      <c r="Q381" s="52">
        <v>10</v>
      </c>
      <c r="R381" s="53">
        <v>118900</v>
      </c>
      <c r="S381" s="46">
        <v>1</v>
      </c>
      <c r="T381" s="53">
        <v>0</v>
      </c>
      <c r="U381" s="53">
        <f>M381/100+11700</f>
        <v>51700</v>
      </c>
      <c r="V381" s="46">
        <v>1</v>
      </c>
      <c r="W381" s="53">
        <v>569165</v>
      </c>
      <c r="X381" s="46">
        <v>1</v>
      </c>
      <c r="Y381" s="46">
        <v>1</v>
      </c>
      <c r="Z381" s="54">
        <v>0.16066840258857218</v>
      </c>
      <c r="AA381" s="15">
        <f t="shared" si="34"/>
        <v>4.0167100647143045E-2</v>
      </c>
      <c r="AB381" s="15">
        <f t="shared" si="35"/>
        <v>0.16066840258857218</v>
      </c>
      <c r="AC381" t="b">
        <f t="shared" si="36"/>
        <v>1</v>
      </c>
    </row>
    <row r="382" spans="1:29" x14ac:dyDescent="0.25">
      <c r="A382" s="52" t="s">
        <v>259</v>
      </c>
      <c r="B382" s="46">
        <v>30013</v>
      </c>
      <c r="C382" s="47">
        <v>45777</v>
      </c>
      <c r="D382" s="46">
        <v>311500</v>
      </c>
      <c r="E382" s="46">
        <v>2</v>
      </c>
      <c r="F382" s="52" t="s">
        <v>2027</v>
      </c>
      <c r="G382" s="46">
        <v>6</v>
      </c>
      <c r="H382" s="52" t="s">
        <v>1642</v>
      </c>
      <c r="I382" s="46"/>
      <c r="J382" s="46">
        <v>0</v>
      </c>
      <c r="K382" s="46"/>
      <c r="L382" s="52" t="s">
        <v>261</v>
      </c>
      <c r="M382" s="53">
        <v>4850000</v>
      </c>
      <c r="N382" s="46">
        <v>72</v>
      </c>
      <c r="O382" s="46">
        <v>0</v>
      </c>
      <c r="P382" s="46">
        <v>1</v>
      </c>
      <c r="Q382" s="52">
        <v>12</v>
      </c>
      <c r="R382" s="53">
        <v>86500</v>
      </c>
      <c r="S382" s="46">
        <v>1</v>
      </c>
      <c r="T382" s="53">
        <v>228250</v>
      </c>
      <c r="U382" s="53">
        <f>M382/100+11700</f>
        <v>60200</v>
      </c>
      <c r="V382" s="46">
        <v>1</v>
      </c>
      <c r="W382" s="53">
        <v>100635</v>
      </c>
      <c r="X382" s="46">
        <v>1</v>
      </c>
      <c r="Y382" s="46">
        <v>1</v>
      </c>
      <c r="Z382" s="54">
        <v>0.1743226224123875</v>
      </c>
      <c r="AA382" s="15">
        <f t="shared" si="34"/>
        <v>1.4526885201032291E-2</v>
      </c>
      <c r="AB382" s="15">
        <f t="shared" si="35"/>
        <v>0.1743226224123875</v>
      </c>
      <c r="AC382" t="b">
        <f t="shared" si="36"/>
        <v>1</v>
      </c>
    </row>
    <row r="383" spans="1:29" x14ac:dyDescent="0.25">
      <c r="A383" s="52" t="s">
        <v>259</v>
      </c>
      <c r="B383" s="46">
        <v>30013</v>
      </c>
      <c r="C383" s="47">
        <v>45782</v>
      </c>
      <c r="D383" s="46">
        <v>311500</v>
      </c>
      <c r="E383" s="46">
        <v>2</v>
      </c>
      <c r="F383" s="52" t="s">
        <v>2028</v>
      </c>
      <c r="G383" s="46">
        <v>6</v>
      </c>
      <c r="H383" s="52" t="s">
        <v>784</v>
      </c>
      <c r="I383" s="46"/>
      <c r="J383" s="46">
        <v>0</v>
      </c>
      <c r="K383" s="46"/>
      <c r="L383" s="52" t="s">
        <v>270</v>
      </c>
      <c r="M383" s="53">
        <v>6800000</v>
      </c>
      <c r="N383" s="46">
        <v>72</v>
      </c>
      <c r="O383" s="46">
        <v>0</v>
      </c>
      <c r="P383" s="46">
        <v>1</v>
      </c>
      <c r="Q383" s="46">
        <v>12</v>
      </c>
      <c r="R383" s="53">
        <v>121278</v>
      </c>
      <c r="S383" s="46">
        <v>1</v>
      </c>
      <c r="T383" s="53">
        <v>316000</v>
      </c>
      <c r="U383" s="53">
        <f>M383/100+11700</f>
        <v>79700</v>
      </c>
      <c r="V383" s="53">
        <v>1</v>
      </c>
      <c r="W383" s="53">
        <v>141097</v>
      </c>
      <c r="X383" s="46">
        <v>1</v>
      </c>
      <c r="Y383" s="46">
        <v>1</v>
      </c>
      <c r="Z383" s="50">
        <v>0.17376736058744888</v>
      </c>
      <c r="AA383" s="15">
        <f t="shared" si="34"/>
        <v>1.4480613382287406E-2</v>
      </c>
      <c r="AB383" s="15">
        <f t="shared" si="35"/>
        <v>0.17376736058744888</v>
      </c>
      <c r="AC383" t="b">
        <f t="shared" si="36"/>
        <v>1</v>
      </c>
    </row>
    <row r="384" spans="1:29" x14ac:dyDescent="0.25">
      <c r="A384" s="52" t="s">
        <v>259</v>
      </c>
      <c r="B384" s="46">
        <v>30013</v>
      </c>
      <c r="C384" s="47">
        <v>45782</v>
      </c>
      <c r="D384" s="46">
        <v>311500</v>
      </c>
      <c r="E384" s="46">
        <v>2</v>
      </c>
      <c r="F384" s="52" t="s">
        <v>2029</v>
      </c>
      <c r="G384" s="46">
        <v>6</v>
      </c>
      <c r="H384" s="52" t="s">
        <v>1650</v>
      </c>
      <c r="I384" s="46"/>
      <c r="J384" s="46">
        <v>0</v>
      </c>
      <c r="K384" s="46"/>
      <c r="L384" s="52" t="s">
        <v>687</v>
      </c>
      <c r="M384" s="53">
        <v>4191000</v>
      </c>
      <c r="N384" s="46">
        <v>72</v>
      </c>
      <c r="O384" s="46">
        <v>0</v>
      </c>
      <c r="P384" s="46">
        <v>1</v>
      </c>
      <c r="Q384" s="46">
        <v>11</v>
      </c>
      <c r="R384" s="53">
        <v>74746</v>
      </c>
      <c r="S384" s="46">
        <v>1</v>
      </c>
      <c r="T384" s="53">
        <v>198595</v>
      </c>
      <c r="U384" s="53">
        <f>M384/100+11700</f>
        <v>53610</v>
      </c>
      <c r="V384" s="53">
        <v>1</v>
      </c>
      <c r="W384" s="53">
        <v>84305</v>
      </c>
      <c r="X384" s="46">
        <v>1</v>
      </c>
      <c r="Y384" s="46">
        <v>1</v>
      </c>
      <c r="Z384" s="50">
        <v>0.16228402274343723</v>
      </c>
      <c r="AA384" s="15">
        <f t="shared" si="34"/>
        <v>1.3523668561953101E-2</v>
      </c>
      <c r="AB384" s="15">
        <f t="shared" si="35"/>
        <v>0.16228402274343723</v>
      </c>
      <c r="AC384" t="b">
        <f t="shared" si="36"/>
        <v>1</v>
      </c>
    </row>
    <row r="385" spans="1:29" x14ac:dyDescent="0.25">
      <c r="A385" s="52" t="s">
        <v>259</v>
      </c>
      <c r="B385" s="46">
        <v>30013</v>
      </c>
      <c r="C385" s="47">
        <v>45782</v>
      </c>
      <c r="D385" s="46">
        <v>321600</v>
      </c>
      <c r="E385" s="46">
        <v>2</v>
      </c>
      <c r="F385" s="52" t="s">
        <v>2030</v>
      </c>
      <c r="G385" s="46">
        <v>6</v>
      </c>
      <c r="H385" s="52" t="s">
        <v>784</v>
      </c>
      <c r="I385" s="46"/>
      <c r="J385" s="46">
        <v>0</v>
      </c>
      <c r="K385" s="46"/>
      <c r="L385" s="52" t="s">
        <v>261</v>
      </c>
      <c r="M385" s="53">
        <v>700000</v>
      </c>
      <c r="N385" s="46">
        <v>12</v>
      </c>
      <c r="O385" s="46">
        <v>0</v>
      </c>
      <c r="P385" s="46">
        <v>1</v>
      </c>
      <c r="Q385" s="46">
        <v>10</v>
      </c>
      <c r="R385" s="53">
        <v>8323</v>
      </c>
      <c r="S385" s="46">
        <v>1</v>
      </c>
      <c r="T385" s="53">
        <v>0</v>
      </c>
      <c r="U385" s="53">
        <v>21700</v>
      </c>
      <c r="V385" s="53">
        <v>1</v>
      </c>
      <c r="W385" s="53">
        <v>62158</v>
      </c>
      <c r="X385" s="46">
        <v>1</v>
      </c>
      <c r="Y385" s="46">
        <v>1</v>
      </c>
      <c r="Z385" s="50">
        <v>0.20296186936359034</v>
      </c>
      <c r="AA385" s="15">
        <f t="shared" si="34"/>
        <v>1.6913489113632527E-2</v>
      </c>
      <c r="AB385" s="15">
        <f t="shared" si="35"/>
        <v>0.20296186936359034</v>
      </c>
      <c r="AC385" t="b">
        <f t="shared" si="36"/>
        <v>1</v>
      </c>
    </row>
    <row r="386" spans="1:29" x14ac:dyDescent="0.25">
      <c r="A386" s="52" t="s">
        <v>259</v>
      </c>
      <c r="B386" s="46">
        <v>30013</v>
      </c>
      <c r="C386" s="47">
        <v>45782</v>
      </c>
      <c r="D386" s="46">
        <v>311500</v>
      </c>
      <c r="E386" s="46">
        <v>2</v>
      </c>
      <c r="F386" s="52" t="s">
        <v>2031</v>
      </c>
      <c r="G386" s="46">
        <v>6</v>
      </c>
      <c r="H386" s="52" t="s">
        <v>784</v>
      </c>
      <c r="I386" s="46"/>
      <c r="J386" s="46">
        <v>0</v>
      </c>
      <c r="K386" s="46"/>
      <c r="L386" s="52" t="s">
        <v>266</v>
      </c>
      <c r="M386" s="53">
        <v>12000000</v>
      </c>
      <c r="N386" s="46">
        <v>24</v>
      </c>
      <c r="O386" s="46">
        <v>0</v>
      </c>
      <c r="P386" s="46">
        <v>1</v>
      </c>
      <c r="Q386" s="46">
        <v>8</v>
      </c>
      <c r="R386" s="53">
        <v>356700</v>
      </c>
      <c r="S386" s="46">
        <v>1</v>
      </c>
      <c r="T386" s="53">
        <v>195000</v>
      </c>
      <c r="U386" s="53">
        <f>M386/100+11700</f>
        <v>131700</v>
      </c>
      <c r="V386" s="53">
        <v>1</v>
      </c>
      <c r="W386" s="53">
        <v>551040</v>
      </c>
      <c r="X386" s="46">
        <v>1</v>
      </c>
      <c r="Y386" s="46">
        <v>1</v>
      </c>
      <c r="Z386" s="50">
        <v>0.15433933969488642</v>
      </c>
      <c r="AA386" s="15">
        <f t="shared" si="34"/>
        <v>1.2861611641240535E-2</v>
      </c>
      <c r="AB386" s="15">
        <f t="shared" si="35"/>
        <v>0.15433933969488642</v>
      </c>
      <c r="AC386" t="b">
        <f t="shared" si="36"/>
        <v>1</v>
      </c>
    </row>
    <row r="387" spans="1:29" x14ac:dyDescent="0.25">
      <c r="A387" s="52" t="s">
        <v>259</v>
      </c>
      <c r="B387" s="46">
        <v>30013</v>
      </c>
      <c r="C387" s="47">
        <v>45782</v>
      </c>
      <c r="D387" s="46">
        <v>311500</v>
      </c>
      <c r="E387" s="46">
        <v>2</v>
      </c>
      <c r="F387" s="52" t="s">
        <v>2032</v>
      </c>
      <c r="G387" s="46">
        <v>6</v>
      </c>
      <c r="H387" s="52" t="s">
        <v>784</v>
      </c>
      <c r="I387" s="46"/>
      <c r="J387" s="46">
        <v>0</v>
      </c>
      <c r="K387" s="46"/>
      <c r="L387" s="52" t="s">
        <v>270</v>
      </c>
      <c r="M387" s="53">
        <v>10000000</v>
      </c>
      <c r="N387" s="46">
        <v>60</v>
      </c>
      <c r="O387" s="46">
        <v>0</v>
      </c>
      <c r="P387" s="46">
        <v>1</v>
      </c>
      <c r="Q387" s="46">
        <v>8</v>
      </c>
      <c r="R387" s="53">
        <v>297250</v>
      </c>
      <c r="S387" s="46">
        <v>1</v>
      </c>
      <c r="T387" s="53">
        <v>390000</v>
      </c>
      <c r="U387" s="53">
        <f>M387/100+11700</f>
        <v>111700</v>
      </c>
      <c r="V387" s="53">
        <v>1</v>
      </c>
      <c r="W387" s="53">
        <v>210077</v>
      </c>
      <c r="X387" s="46">
        <v>1</v>
      </c>
      <c r="Y387" s="46">
        <v>1</v>
      </c>
      <c r="Z387" s="50">
        <v>0.1315373851260413</v>
      </c>
      <c r="AA387" s="15">
        <f t="shared" si="34"/>
        <v>1.096144876050344E-2</v>
      </c>
      <c r="AB387" s="15">
        <f t="shared" si="35"/>
        <v>0.1315373851260413</v>
      </c>
      <c r="AC387" t="b">
        <f t="shared" si="36"/>
        <v>1</v>
      </c>
    </row>
    <row r="388" spans="1:29" x14ac:dyDescent="0.25">
      <c r="A388" s="52" t="s">
        <v>259</v>
      </c>
      <c r="B388" s="46">
        <v>30013</v>
      </c>
      <c r="C388" s="47">
        <v>45782</v>
      </c>
      <c r="D388" s="46">
        <v>321600</v>
      </c>
      <c r="E388" s="46">
        <v>2</v>
      </c>
      <c r="F388" s="52" t="s">
        <v>2033</v>
      </c>
      <c r="G388" s="46">
        <v>6</v>
      </c>
      <c r="H388" s="52" t="s">
        <v>784</v>
      </c>
      <c r="I388" s="46"/>
      <c r="J388" s="46">
        <v>0</v>
      </c>
      <c r="K388" s="46"/>
      <c r="L388" s="52" t="s">
        <v>261</v>
      </c>
      <c r="M388" s="53">
        <v>460000</v>
      </c>
      <c r="N388" s="46">
        <v>12</v>
      </c>
      <c r="O388" s="46">
        <v>0</v>
      </c>
      <c r="P388" s="46">
        <v>1</v>
      </c>
      <c r="Q388" s="46">
        <v>10</v>
      </c>
      <c r="R388" s="53">
        <v>2735</v>
      </c>
      <c r="S388" s="46">
        <v>1</v>
      </c>
      <c r="T388" s="53">
        <v>0</v>
      </c>
      <c r="U388" s="53">
        <v>21700</v>
      </c>
      <c r="V388" s="53">
        <v>1</v>
      </c>
      <c r="W388" s="53">
        <v>40847</v>
      </c>
      <c r="X388" s="46">
        <v>1</v>
      </c>
      <c r="Y388" s="46">
        <v>1</v>
      </c>
      <c r="Z388" s="50">
        <v>0.22384117659133221</v>
      </c>
      <c r="AA388" s="15">
        <f t="shared" ref="AA388:AA451" si="40">RATE(N388,-W388,M388-R388-T388-U388)</f>
        <v>1.8653431382611017E-2</v>
      </c>
      <c r="AB388" s="15">
        <f t="shared" ref="AB388:AB451" si="41">IF(P388=1,AA388*12,IF(P388=2,AA388*4,IF(P388=3,AA388*2,AA388)))</f>
        <v>0.22384117659133221</v>
      </c>
      <c r="AC388" t="b">
        <f t="shared" ref="AC388:AC451" si="42">AB388=Z388</f>
        <v>1</v>
      </c>
    </row>
    <row r="389" spans="1:29" x14ac:dyDescent="0.25">
      <c r="A389" s="52" t="s">
        <v>259</v>
      </c>
      <c r="B389" s="46">
        <v>30013</v>
      </c>
      <c r="C389" s="47">
        <v>45782</v>
      </c>
      <c r="D389" s="46">
        <v>311500</v>
      </c>
      <c r="E389" s="46">
        <v>2</v>
      </c>
      <c r="F389" s="52" t="s">
        <v>2034</v>
      </c>
      <c r="G389" s="46">
        <v>6</v>
      </c>
      <c r="H389" s="52" t="s">
        <v>1642</v>
      </c>
      <c r="I389" s="46"/>
      <c r="J389" s="46">
        <v>0</v>
      </c>
      <c r="K389" s="46"/>
      <c r="L389" s="52" t="s">
        <v>261</v>
      </c>
      <c r="M389" s="53">
        <v>5590000</v>
      </c>
      <c r="N389" s="46">
        <v>72</v>
      </c>
      <c r="O389" s="46">
        <v>0</v>
      </c>
      <c r="P389" s="46">
        <v>1</v>
      </c>
      <c r="Q389" s="46">
        <v>12</v>
      </c>
      <c r="R389" s="53">
        <v>99698</v>
      </c>
      <c r="S389" s="46">
        <v>1</v>
      </c>
      <c r="T389" s="53">
        <v>261550</v>
      </c>
      <c r="U389" s="53">
        <f>M389/100+11700</f>
        <v>67600</v>
      </c>
      <c r="V389" s="53">
        <v>1</v>
      </c>
      <c r="W389" s="53">
        <v>115990</v>
      </c>
      <c r="X389" s="46">
        <v>1</v>
      </c>
      <c r="Y389" s="46">
        <v>1</v>
      </c>
      <c r="Z389" s="50">
        <v>0.17406682555265099</v>
      </c>
      <c r="AA389" s="15">
        <f t="shared" si="40"/>
        <v>1.4505568796054248E-2</v>
      </c>
      <c r="AB389" s="15">
        <f t="shared" si="41"/>
        <v>0.17406682555265099</v>
      </c>
      <c r="AC389" t="b">
        <f t="shared" si="42"/>
        <v>1</v>
      </c>
    </row>
    <row r="390" spans="1:29" x14ac:dyDescent="0.25">
      <c r="A390" s="52" t="s">
        <v>259</v>
      </c>
      <c r="B390" s="46">
        <v>30013</v>
      </c>
      <c r="C390" s="47">
        <v>45782</v>
      </c>
      <c r="D390" s="46">
        <v>311500</v>
      </c>
      <c r="E390" s="46">
        <v>2</v>
      </c>
      <c r="F390" s="52" t="s">
        <v>2035</v>
      </c>
      <c r="G390" s="46">
        <v>6</v>
      </c>
      <c r="H390" s="52" t="s">
        <v>1642</v>
      </c>
      <c r="I390" s="46"/>
      <c r="J390" s="46">
        <v>0</v>
      </c>
      <c r="K390" s="46"/>
      <c r="L390" s="52" t="s">
        <v>699</v>
      </c>
      <c r="M390" s="53">
        <v>5450000</v>
      </c>
      <c r="N390" s="46">
        <v>72</v>
      </c>
      <c r="O390" s="46">
        <v>0</v>
      </c>
      <c r="P390" s="46">
        <v>1</v>
      </c>
      <c r="Q390" s="46">
        <v>12</v>
      </c>
      <c r="R390" s="53">
        <v>97201</v>
      </c>
      <c r="S390" s="46">
        <v>1</v>
      </c>
      <c r="T390" s="53">
        <v>255250</v>
      </c>
      <c r="U390" s="53">
        <f>M390/100+11700</f>
        <v>66200</v>
      </c>
      <c r="V390" s="53">
        <v>1</v>
      </c>
      <c r="W390" s="53">
        <v>113085</v>
      </c>
      <c r="X390" s="46">
        <v>1</v>
      </c>
      <c r="Y390" s="46">
        <v>1</v>
      </c>
      <c r="Z390" s="50">
        <v>0.17410986832101594</v>
      </c>
      <c r="AA390" s="15">
        <f t="shared" si="40"/>
        <v>1.4509155693417994E-2</v>
      </c>
      <c r="AB390" s="15">
        <f t="shared" si="41"/>
        <v>0.17410986832101594</v>
      </c>
      <c r="AC390" t="b">
        <f t="shared" si="42"/>
        <v>1</v>
      </c>
    </row>
    <row r="391" spans="1:29" x14ac:dyDescent="0.25">
      <c r="A391" s="52" t="s">
        <v>259</v>
      </c>
      <c r="B391" s="46">
        <v>30013</v>
      </c>
      <c r="C391" s="47">
        <v>45782</v>
      </c>
      <c r="D391" s="46">
        <v>321600</v>
      </c>
      <c r="E391" s="46">
        <v>2</v>
      </c>
      <c r="F391" s="52" t="s">
        <v>2036</v>
      </c>
      <c r="G391" s="46">
        <v>6</v>
      </c>
      <c r="H391" s="52" t="s">
        <v>784</v>
      </c>
      <c r="I391" s="46"/>
      <c r="J391" s="46">
        <v>0</v>
      </c>
      <c r="K391" s="46"/>
      <c r="L391" s="52" t="s">
        <v>261</v>
      </c>
      <c r="M391" s="53">
        <v>500000</v>
      </c>
      <c r="N391" s="46">
        <v>12</v>
      </c>
      <c r="O391" s="46">
        <v>0</v>
      </c>
      <c r="P391" s="46">
        <v>1</v>
      </c>
      <c r="Q391" s="46">
        <v>10</v>
      </c>
      <c r="R391" s="53">
        <v>4756</v>
      </c>
      <c r="S391" s="46">
        <v>1</v>
      </c>
      <c r="T391" s="53">
        <v>0</v>
      </c>
      <c r="U391" s="53">
        <v>21700</v>
      </c>
      <c r="V391" s="53">
        <v>1</v>
      </c>
      <c r="W391" s="53">
        <v>44399</v>
      </c>
      <c r="X391" s="46">
        <v>1</v>
      </c>
      <c r="Y391" s="46">
        <v>1</v>
      </c>
      <c r="Z391" s="50">
        <v>0.22341836774606877</v>
      </c>
      <c r="AA391" s="15">
        <f t="shared" si="40"/>
        <v>1.8618197312172399E-2</v>
      </c>
      <c r="AB391" s="15">
        <f t="shared" si="41"/>
        <v>0.22341836774606877</v>
      </c>
      <c r="AC391" t="b">
        <f t="shared" si="42"/>
        <v>1</v>
      </c>
    </row>
    <row r="392" spans="1:29" x14ac:dyDescent="0.25">
      <c r="A392" s="52" t="s">
        <v>259</v>
      </c>
      <c r="B392" s="46">
        <v>30013</v>
      </c>
      <c r="C392" s="47">
        <v>45782</v>
      </c>
      <c r="D392" s="46">
        <v>311500</v>
      </c>
      <c r="E392" s="46">
        <v>2</v>
      </c>
      <c r="F392" s="52" t="s">
        <v>2037</v>
      </c>
      <c r="G392" s="46">
        <v>6</v>
      </c>
      <c r="H392" s="52" t="s">
        <v>1689</v>
      </c>
      <c r="I392" s="46"/>
      <c r="J392" s="46">
        <v>0</v>
      </c>
      <c r="K392" s="46"/>
      <c r="L392" s="52" t="s">
        <v>693</v>
      </c>
      <c r="M392" s="53">
        <v>1840000</v>
      </c>
      <c r="N392" s="46">
        <v>60</v>
      </c>
      <c r="O392" s="46">
        <v>0</v>
      </c>
      <c r="P392" s="46">
        <v>1</v>
      </c>
      <c r="Q392" s="46">
        <v>12</v>
      </c>
      <c r="R392" s="53">
        <v>54694</v>
      </c>
      <c r="S392" s="46">
        <v>1</v>
      </c>
      <c r="T392" s="53">
        <v>79000</v>
      </c>
      <c r="U392" s="53">
        <f t="shared" ref="U392:U400" si="43">M392/100+11700</f>
        <v>30100</v>
      </c>
      <c r="V392" s="53">
        <v>1</v>
      </c>
      <c r="W392" s="53">
        <v>43070</v>
      </c>
      <c r="X392" s="46">
        <v>1</v>
      </c>
      <c r="Y392" s="46">
        <v>1</v>
      </c>
      <c r="Z392" s="50">
        <v>0.18552482785171648</v>
      </c>
      <c r="AA392" s="15">
        <f t="shared" si="40"/>
        <v>1.5460402320976374E-2</v>
      </c>
      <c r="AB392" s="15">
        <f t="shared" si="41"/>
        <v>0.18552482785171648</v>
      </c>
      <c r="AC392" t="b">
        <f t="shared" si="42"/>
        <v>1</v>
      </c>
    </row>
    <row r="393" spans="1:29" x14ac:dyDescent="0.25">
      <c r="A393" s="52" t="s">
        <v>259</v>
      </c>
      <c r="B393" s="46">
        <v>30013</v>
      </c>
      <c r="C393" s="47">
        <v>45783</v>
      </c>
      <c r="D393" s="46">
        <v>321730</v>
      </c>
      <c r="E393" s="46">
        <v>2</v>
      </c>
      <c r="F393" s="52" t="s">
        <v>2038</v>
      </c>
      <c r="G393" s="46">
        <v>6</v>
      </c>
      <c r="H393" s="52" t="s">
        <v>784</v>
      </c>
      <c r="I393" s="46"/>
      <c r="J393" s="46">
        <v>0</v>
      </c>
      <c r="K393" s="46"/>
      <c r="L393" s="52" t="s">
        <v>691</v>
      </c>
      <c r="M393" s="53">
        <v>2850000</v>
      </c>
      <c r="N393" s="46">
        <v>24</v>
      </c>
      <c r="O393" s="46">
        <v>0</v>
      </c>
      <c r="P393" s="46">
        <v>1</v>
      </c>
      <c r="Q393" s="46">
        <v>12</v>
      </c>
      <c r="R393" s="53">
        <v>0</v>
      </c>
      <c r="S393" s="46">
        <v>1</v>
      </c>
      <c r="T393" s="53">
        <v>15774</v>
      </c>
      <c r="U393" s="53">
        <f t="shared" si="43"/>
        <v>40200</v>
      </c>
      <c r="V393" s="53">
        <v>1</v>
      </c>
      <c r="W393" s="53">
        <v>137198</v>
      </c>
      <c r="X393" s="46">
        <v>1</v>
      </c>
      <c r="Y393" s="46">
        <v>1</v>
      </c>
      <c r="Z393" s="50">
        <v>0.1629473137968552</v>
      </c>
      <c r="AA393" s="15">
        <f t="shared" si="40"/>
        <v>1.35789428164046E-2</v>
      </c>
      <c r="AB393" s="15">
        <f t="shared" si="41"/>
        <v>0.1629473137968552</v>
      </c>
      <c r="AC393" t="b">
        <f t="shared" si="42"/>
        <v>1</v>
      </c>
    </row>
    <row r="394" spans="1:29" x14ac:dyDescent="0.25">
      <c r="A394" s="52" t="s">
        <v>259</v>
      </c>
      <c r="B394" s="46">
        <v>30013</v>
      </c>
      <c r="C394" s="47">
        <v>45783</v>
      </c>
      <c r="D394" s="46">
        <v>311500</v>
      </c>
      <c r="E394" s="46">
        <v>2</v>
      </c>
      <c r="F394" s="52" t="s">
        <v>2039</v>
      </c>
      <c r="G394" s="46">
        <v>6</v>
      </c>
      <c r="H394" s="52" t="s">
        <v>784</v>
      </c>
      <c r="I394" s="46"/>
      <c r="J394" s="46">
        <v>0</v>
      </c>
      <c r="K394" s="46"/>
      <c r="L394" s="52" t="s">
        <v>231</v>
      </c>
      <c r="M394" s="53">
        <v>4400000</v>
      </c>
      <c r="N394" s="46">
        <v>84</v>
      </c>
      <c r="O394" s="46">
        <v>0</v>
      </c>
      <c r="P394" s="46">
        <v>1</v>
      </c>
      <c r="Q394" s="46">
        <v>8</v>
      </c>
      <c r="R394" s="53">
        <v>78474</v>
      </c>
      <c r="S394" s="46">
        <v>1</v>
      </c>
      <c r="T394" s="53">
        <v>241000</v>
      </c>
      <c r="U394" s="53">
        <f t="shared" si="43"/>
        <v>55700</v>
      </c>
      <c r="V394" s="53">
        <v>1</v>
      </c>
      <c r="W394" s="53">
        <v>71941</v>
      </c>
      <c r="X394" s="46">
        <v>1</v>
      </c>
      <c r="Y394" s="46">
        <v>1</v>
      </c>
      <c r="Z394" s="50">
        <v>0.1241291553918005</v>
      </c>
      <c r="AA394" s="15">
        <f t="shared" si="40"/>
        <v>1.0344096282650041E-2</v>
      </c>
      <c r="AB394" s="15">
        <f t="shared" si="41"/>
        <v>0.1241291553918005</v>
      </c>
      <c r="AC394" t="b">
        <f t="shared" si="42"/>
        <v>1</v>
      </c>
    </row>
    <row r="395" spans="1:29" x14ac:dyDescent="0.25">
      <c r="A395" s="52" t="s">
        <v>259</v>
      </c>
      <c r="B395" s="46">
        <v>30013</v>
      </c>
      <c r="C395" s="47">
        <v>45783</v>
      </c>
      <c r="D395" s="46">
        <v>311500</v>
      </c>
      <c r="E395" s="46">
        <v>2</v>
      </c>
      <c r="F395" s="52" t="s">
        <v>2040</v>
      </c>
      <c r="G395" s="46">
        <v>6</v>
      </c>
      <c r="H395" s="52" t="s">
        <v>784</v>
      </c>
      <c r="I395" s="46"/>
      <c r="J395" s="46">
        <v>0</v>
      </c>
      <c r="K395" s="46"/>
      <c r="L395" s="52" t="s">
        <v>700</v>
      </c>
      <c r="M395" s="53">
        <v>3000000</v>
      </c>
      <c r="N395" s="46">
        <v>48</v>
      </c>
      <c r="O395" s="46">
        <v>0</v>
      </c>
      <c r="P395" s="46">
        <v>1</v>
      </c>
      <c r="Q395" s="46">
        <v>12</v>
      </c>
      <c r="R395" s="53">
        <v>89175</v>
      </c>
      <c r="S395" s="46">
        <v>1</v>
      </c>
      <c r="T395" s="53">
        <v>100000</v>
      </c>
      <c r="U395" s="53">
        <f t="shared" si="43"/>
        <v>41700</v>
      </c>
      <c r="V395" s="53">
        <v>1</v>
      </c>
      <c r="W395" s="53">
        <v>82383</v>
      </c>
      <c r="X395" s="46">
        <v>1</v>
      </c>
      <c r="Y395" s="46">
        <v>1</v>
      </c>
      <c r="Z395" s="50">
        <v>0.18716173204207004</v>
      </c>
      <c r="AA395" s="15">
        <f t="shared" si="40"/>
        <v>1.5596811003505837E-2</v>
      </c>
      <c r="AB395" s="15">
        <f t="shared" si="41"/>
        <v>0.18716173204207004</v>
      </c>
      <c r="AC395" t="b">
        <f t="shared" si="42"/>
        <v>1</v>
      </c>
    </row>
    <row r="396" spans="1:29" x14ac:dyDescent="0.25">
      <c r="A396" s="52" t="s">
        <v>259</v>
      </c>
      <c r="B396" s="46">
        <v>30013</v>
      </c>
      <c r="C396" s="47">
        <v>45783</v>
      </c>
      <c r="D396" s="46">
        <v>311500</v>
      </c>
      <c r="E396" s="46">
        <v>2</v>
      </c>
      <c r="F396" s="52" t="s">
        <v>2041</v>
      </c>
      <c r="G396" s="46">
        <v>6</v>
      </c>
      <c r="H396" s="52" t="s">
        <v>1642</v>
      </c>
      <c r="I396" s="46"/>
      <c r="J396" s="46">
        <v>0</v>
      </c>
      <c r="K396" s="46"/>
      <c r="L396" s="52" t="s">
        <v>700</v>
      </c>
      <c r="M396" s="53">
        <v>6010000</v>
      </c>
      <c r="N396" s="46">
        <v>72</v>
      </c>
      <c r="O396" s="46">
        <v>0</v>
      </c>
      <c r="P396" s="46">
        <v>1</v>
      </c>
      <c r="Q396" s="46">
        <v>12</v>
      </c>
      <c r="R396" s="53">
        <v>107188</v>
      </c>
      <c r="S396" s="46">
        <v>1</v>
      </c>
      <c r="T396" s="53">
        <v>280450</v>
      </c>
      <c r="U396" s="53">
        <f t="shared" si="43"/>
        <v>71800</v>
      </c>
      <c r="V396" s="53">
        <v>1</v>
      </c>
      <c r="W396" s="53">
        <v>124705</v>
      </c>
      <c r="X396" s="46">
        <v>1</v>
      </c>
      <c r="Y396" s="46">
        <v>1</v>
      </c>
      <c r="Z396" s="50">
        <v>0.17394969178978645</v>
      </c>
      <c r="AA396" s="15">
        <f t="shared" si="40"/>
        <v>1.4495807649148871E-2</v>
      </c>
      <c r="AB396" s="15">
        <f t="shared" si="41"/>
        <v>0.17394969178978645</v>
      </c>
      <c r="AC396" t="b">
        <f t="shared" si="42"/>
        <v>1</v>
      </c>
    </row>
    <row r="397" spans="1:29" x14ac:dyDescent="0.25">
      <c r="A397" s="52" t="s">
        <v>259</v>
      </c>
      <c r="B397" s="46">
        <v>30013</v>
      </c>
      <c r="C397" s="47">
        <v>45783</v>
      </c>
      <c r="D397" s="46">
        <v>311500</v>
      </c>
      <c r="E397" s="46">
        <v>2</v>
      </c>
      <c r="F397" s="52" t="s">
        <v>2042</v>
      </c>
      <c r="G397" s="46">
        <v>6</v>
      </c>
      <c r="H397" s="52" t="s">
        <v>1650</v>
      </c>
      <c r="I397" s="46"/>
      <c r="J397" s="46">
        <v>0</v>
      </c>
      <c r="K397" s="46"/>
      <c r="L397" s="52" t="s">
        <v>700</v>
      </c>
      <c r="M397" s="53">
        <v>7000000</v>
      </c>
      <c r="N397" s="46">
        <v>48</v>
      </c>
      <c r="O397" s="46">
        <v>0</v>
      </c>
      <c r="P397" s="46">
        <v>1</v>
      </c>
      <c r="Q397" s="46">
        <v>10</v>
      </c>
      <c r="R397" s="53">
        <v>208075</v>
      </c>
      <c r="S397" s="46">
        <v>1</v>
      </c>
      <c r="T397" s="53">
        <v>220000</v>
      </c>
      <c r="U397" s="53">
        <f t="shared" si="43"/>
        <v>81700</v>
      </c>
      <c r="V397" s="53">
        <v>1</v>
      </c>
      <c r="W397" s="53">
        <v>183959</v>
      </c>
      <c r="X397" s="46">
        <v>1</v>
      </c>
      <c r="Y397" s="46">
        <v>1</v>
      </c>
      <c r="Z397" s="50">
        <v>0.16007280453319062</v>
      </c>
      <c r="AA397" s="15">
        <f t="shared" si="40"/>
        <v>1.3339400377765886E-2</v>
      </c>
      <c r="AB397" s="15">
        <f t="shared" si="41"/>
        <v>0.16007280453319062</v>
      </c>
      <c r="AC397" t="b">
        <f t="shared" si="42"/>
        <v>1</v>
      </c>
    </row>
    <row r="398" spans="1:29" x14ac:dyDescent="0.25">
      <c r="A398" s="52" t="s">
        <v>259</v>
      </c>
      <c r="B398" s="46">
        <v>30013</v>
      </c>
      <c r="C398" s="47">
        <v>45783</v>
      </c>
      <c r="D398" s="46">
        <v>311500</v>
      </c>
      <c r="E398" s="46">
        <v>2</v>
      </c>
      <c r="F398" s="52" t="s">
        <v>2043</v>
      </c>
      <c r="G398" s="46">
        <v>6</v>
      </c>
      <c r="H398" s="52" t="s">
        <v>784</v>
      </c>
      <c r="I398" s="46"/>
      <c r="J398" s="46">
        <v>0</v>
      </c>
      <c r="K398" s="46"/>
      <c r="L398" s="52" t="s">
        <v>687</v>
      </c>
      <c r="M398" s="53">
        <v>6100000</v>
      </c>
      <c r="N398" s="46">
        <v>72</v>
      </c>
      <c r="O398" s="46">
        <v>0</v>
      </c>
      <c r="P398" s="46">
        <v>1</v>
      </c>
      <c r="Q398" s="46">
        <v>12</v>
      </c>
      <c r="R398" s="53">
        <v>108794</v>
      </c>
      <c r="S398" s="46">
        <v>1</v>
      </c>
      <c r="T398" s="53">
        <v>284500</v>
      </c>
      <c r="U398" s="53">
        <f t="shared" si="43"/>
        <v>72700</v>
      </c>
      <c r="V398" s="53">
        <v>1</v>
      </c>
      <c r="W398" s="53">
        <v>126572</v>
      </c>
      <c r="X398" s="46">
        <v>1</v>
      </c>
      <c r="Y398" s="46">
        <v>1</v>
      </c>
      <c r="Z398" s="50">
        <v>0.17392518501916474</v>
      </c>
      <c r="AA398" s="15">
        <f t="shared" si="40"/>
        <v>1.4493765418263728E-2</v>
      </c>
      <c r="AB398" s="15">
        <f t="shared" si="41"/>
        <v>0.17392518501916474</v>
      </c>
      <c r="AC398" t="b">
        <f t="shared" si="42"/>
        <v>1</v>
      </c>
    </row>
    <row r="399" spans="1:29" x14ac:dyDescent="0.25">
      <c r="A399" s="52" t="s">
        <v>259</v>
      </c>
      <c r="B399" s="46">
        <v>30013</v>
      </c>
      <c r="C399" s="47">
        <v>45783</v>
      </c>
      <c r="D399" s="46">
        <v>311500</v>
      </c>
      <c r="E399" s="46">
        <v>2</v>
      </c>
      <c r="F399" s="52" t="s">
        <v>2044</v>
      </c>
      <c r="G399" s="46">
        <v>6</v>
      </c>
      <c r="H399" s="52" t="s">
        <v>784</v>
      </c>
      <c r="I399" s="46"/>
      <c r="J399" s="46">
        <v>0</v>
      </c>
      <c r="K399" s="46"/>
      <c r="L399" s="52" t="s">
        <v>261</v>
      </c>
      <c r="M399" s="53">
        <v>5300000</v>
      </c>
      <c r="N399" s="46">
        <v>72</v>
      </c>
      <c r="O399" s="46">
        <v>0</v>
      </c>
      <c r="P399" s="46">
        <v>1</v>
      </c>
      <c r="Q399" s="46">
        <v>12</v>
      </c>
      <c r="R399" s="53">
        <v>94526</v>
      </c>
      <c r="S399" s="46">
        <v>1</v>
      </c>
      <c r="T399" s="53">
        <v>248500</v>
      </c>
      <c r="U399" s="53">
        <f t="shared" si="43"/>
        <v>64700</v>
      </c>
      <c r="V399" s="53">
        <v>1</v>
      </c>
      <c r="W399" s="53">
        <v>109972</v>
      </c>
      <c r="X399" s="46">
        <v>1</v>
      </c>
      <c r="Y399" s="46">
        <v>1</v>
      </c>
      <c r="Z399" s="50">
        <v>0.17415672486534939</v>
      </c>
      <c r="AA399" s="15">
        <f t="shared" si="40"/>
        <v>1.4513060405445782E-2</v>
      </c>
      <c r="AB399" s="15">
        <f t="shared" si="41"/>
        <v>0.17415672486534939</v>
      </c>
      <c r="AC399" t="b">
        <f t="shared" si="42"/>
        <v>1</v>
      </c>
    </row>
    <row r="400" spans="1:29" x14ac:dyDescent="0.25">
      <c r="A400" s="52" t="s">
        <v>259</v>
      </c>
      <c r="B400" s="46">
        <v>30013</v>
      </c>
      <c r="C400" s="47">
        <v>45783</v>
      </c>
      <c r="D400" s="46">
        <v>311500</v>
      </c>
      <c r="E400" s="46">
        <v>2</v>
      </c>
      <c r="F400" s="52" t="s">
        <v>2045</v>
      </c>
      <c r="G400" s="46">
        <v>6</v>
      </c>
      <c r="H400" s="52" t="s">
        <v>784</v>
      </c>
      <c r="I400" s="46"/>
      <c r="J400" s="46">
        <v>0</v>
      </c>
      <c r="K400" s="46"/>
      <c r="L400" s="52" t="s">
        <v>261</v>
      </c>
      <c r="M400" s="53">
        <v>4300000</v>
      </c>
      <c r="N400" s="46">
        <v>72</v>
      </c>
      <c r="O400" s="46">
        <v>0</v>
      </c>
      <c r="P400" s="46">
        <v>1</v>
      </c>
      <c r="Q400" s="46">
        <v>12</v>
      </c>
      <c r="R400" s="53">
        <v>76691</v>
      </c>
      <c r="S400" s="46">
        <v>1</v>
      </c>
      <c r="T400" s="53">
        <v>203500</v>
      </c>
      <c r="U400" s="53">
        <f t="shared" si="43"/>
        <v>54700</v>
      </c>
      <c r="V400" s="53">
        <v>1</v>
      </c>
      <c r="W400" s="53">
        <v>89223</v>
      </c>
      <c r="X400" s="46">
        <v>1</v>
      </c>
      <c r="Y400" s="46">
        <v>1</v>
      </c>
      <c r="Z400" s="50">
        <v>0.17457228748959858</v>
      </c>
      <c r="AA400" s="15">
        <f t="shared" si="40"/>
        <v>1.4547690624133216E-2</v>
      </c>
      <c r="AB400" s="15">
        <f t="shared" si="41"/>
        <v>0.17457228748959858</v>
      </c>
      <c r="AC400" t="b">
        <f t="shared" si="42"/>
        <v>1</v>
      </c>
    </row>
    <row r="401" spans="1:29" x14ac:dyDescent="0.25">
      <c r="A401" s="52" t="s">
        <v>259</v>
      </c>
      <c r="B401" s="46">
        <v>30013</v>
      </c>
      <c r="C401" s="47">
        <v>45783</v>
      </c>
      <c r="D401" s="46">
        <v>311730</v>
      </c>
      <c r="E401" s="46">
        <v>2</v>
      </c>
      <c r="F401" s="52" t="s">
        <v>2046</v>
      </c>
      <c r="G401" s="46">
        <v>6</v>
      </c>
      <c r="H401" s="52" t="s">
        <v>784</v>
      </c>
      <c r="I401" s="46"/>
      <c r="J401" s="46">
        <v>0</v>
      </c>
      <c r="K401" s="46"/>
      <c r="L401" s="52" t="s">
        <v>699</v>
      </c>
      <c r="M401" s="55">
        <v>907767</v>
      </c>
      <c r="N401" s="46">
        <v>15</v>
      </c>
      <c r="O401" s="46">
        <v>0</v>
      </c>
      <c r="P401" s="46">
        <v>1</v>
      </c>
      <c r="Q401" s="46">
        <v>11</v>
      </c>
      <c r="R401" s="55"/>
      <c r="S401" s="46">
        <v>1</v>
      </c>
      <c r="T401" s="55">
        <v>18510</v>
      </c>
      <c r="U401" s="55">
        <v>21700</v>
      </c>
      <c r="V401" s="55">
        <v>1</v>
      </c>
      <c r="W401" s="55">
        <v>65928</v>
      </c>
      <c r="X401" s="46">
        <v>1</v>
      </c>
      <c r="Y401" s="46">
        <v>1</v>
      </c>
      <c r="Z401" s="54">
        <v>0.20197768180698972</v>
      </c>
      <c r="AA401" s="15">
        <f t="shared" si="40"/>
        <v>1.683147348391581E-2</v>
      </c>
      <c r="AB401" s="15">
        <f t="shared" si="41"/>
        <v>0.20197768180698972</v>
      </c>
      <c r="AC401" t="b">
        <f t="shared" si="42"/>
        <v>1</v>
      </c>
    </row>
    <row r="402" spans="1:29" x14ac:dyDescent="0.25">
      <c r="A402" s="52" t="s">
        <v>259</v>
      </c>
      <c r="B402" s="46">
        <v>30013</v>
      </c>
      <c r="C402" s="47">
        <v>45783</v>
      </c>
      <c r="D402" s="46">
        <v>311500</v>
      </c>
      <c r="E402" s="46">
        <v>2</v>
      </c>
      <c r="F402" s="52" t="s">
        <v>2047</v>
      </c>
      <c r="G402" s="46">
        <v>6</v>
      </c>
      <c r="H402" s="52" t="s">
        <v>1650</v>
      </c>
      <c r="I402" s="46"/>
      <c r="J402" s="46">
        <v>0</v>
      </c>
      <c r="K402" s="46"/>
      <c r="L402" s="52" t="s">
        <v>690</v>
      </c>
      <c r="M402" s="53">
        <v>1800000</v>
      </c>
      <c r="N402" s="46">
        <v>48</v>
      </c>
      <c r="O402" s="46">
        <v>0</v>
      </c>
      <c r="P402" s="46">
        <v>1</v>
      </c>
      <c r="Q402" s="46">
        <v>11</v>
      </c>
      <c r="R402" s="53">
        <v>53505</v>
      </c>
      <c r="S402" s="46">
        <v>1</v>
      </c>
      <c r="T402" s="53">
        <v>64000</v>
      </c>
      <c r="U402" s="53">
        <f>M402/100+11700</f>
        <v>29700</v>
      </c>
      <c r="V402" s="53">
        <v>1</v>
      </c>
      <c r="W402" s="53">
        <v>48360</v>
      </c>
      <c r="X402" s="46">
        <v>1</v>
      </c>
      <c r="Y402" s="46">
        <v>1</v>
      </c>
      <c r="Z402" s="50">
        <v>0.17778776583491127</v>
      </c>
      <c r="AA402" s="15">
        <f t="shared" si="40"/>
        <v>1.4815647152909272E-2</v>
      </c>
      <c r="AB402" s="15">
        <f t="shared" si="41"/>
        <v>0.17778776583491127</v>
      </c>
      <c r="AC402" t="b">
        <f t="shared" si="42"/>
        <v>1</v>
      </c>
    </row>
    <row r="403" spans="1:29" x14ac:dyDescent="0.25">
      <c r="A403" s="52" t="s">
        <v>259</v>
      </c>
      <c r="B403" s="46">
        <v>30013</v>
      </c>
      <c r="C403" s="47">
        <v>45783</v>
      </c>
      <c r="D403" s="46">
        <v>311500</v>
      </c>
      <c r="E403" s="46">
        <v>2</v>
      </c>
      <c r="F403" s="52" t="s">
        <v>2048</v>
      </c>
      <c r="G403" s="46">
        <v>6</v>
      </c>
      <c r="H403" s="52" t="s">
        <v>784</v>
      </c>
      <c r="I403" s="46"/>
      <c r="J403" s="46">
        <v>0</v>
      </c>
      <c r="K403" s="46"/>
      <c r="L403" s="52" t="s">
        <v>261</v>
      </c>
      <c r="M403" s="53">
        <v>5950000</v>
      </c>
      <c r="N403" s="46">
        <v>72</v>
      </c>
      <c r="O403" s="46">
        <v>0</v>
      </c>
      <c r="P403" s="46">
        <v>1</v>
      </c>
      <c r="Q403" s="46">
        <v>12</v>
      </c>
      <c r="R403" s="53">
        <v>106118</v>
      </c>
      <c r="S403" s="46">
        <v>1</v>
      </c>
      <c r="T403" s="53">
        <v>277750</v>
      </c>
      <c r="U403" s="53">
        <f>M403/100+11700</f>
        <v>71200</v>
      </c>
      <c r="V403" s="53">
        <v>1</v>
      </c>
      <c r="W403" s="53">
        <v>123460</v>
      </c>
      <c r="X403" s="46">
        <v>1</v>
      </c>
      <c r="Y403" s="46">
        <v>1</v>
      </c>
      <c r="Z403" s="50">
        <v>0.17396540978546188</v>
      </c>
      <c r="AA403" s="15">
        <f t="shared" si="40"/>
        <v>1.4497117482121822E-2</v>
      </c>
      <c r="AB403" s="15">
        <f t="shared" si="41"/>
        <v>0.17396540978546188</v>
      </c>
      <c r="AC403" t="b">
        <f t="shared" si="42"/>
        <v>1</v>
      </c>
    </row>
    <row r="404" spans="1:29" x14ac:dyDescent="0.25">
      <c r="A404" s="52" t="s">
        <v>259</v>
      </c>
      <c r="B404" s="46">
        <v>30013</v>
      </c>
      <c r="C404" s="47">
        <v>45783</v>
      </c>
      <c r="D404" s="46">
        <v>311500</v>
      </c>
      <c r="E404" s="46">
        <v>2</v>
      </c>
      <c r="F404" s="52" t="s">
        <v>2049</v>
      </c>
      <c r="G404" s="46">
        <v>6</v>
      </c>
      <c r="H404" s="52" t="s">
        <v>1650</v>
      </c>
      <c r="I404" s="46"/>
      <c r="J404" s="46">
        <v>0</v>
      </c>
      <c r="K404" s="46"/>
      <c r="L404" s="52" t="s">
        <v>261</v>
      </c>
      <c r="M404" s="53">
        <v>2650000</v>
      </c>
      <c r="N404" s="46">
        <v>48</v>
      </c>
      <c r="O404" s="46">
        <v>0</v>
      </c>
      <c r="P404" s="46">
        <v>1</v>
      </c>
      <c r="Q404" s="46">
        <v>12</v>
      </c>
      <c r="R404" s="53">
        <v>78771</v>
      </c>
      <c r="S404" s="46">
        <v>1</v>
      </c>
      <c r="T404" s="53">
        <v>89500</v>
      </c>
      <c r="U404" s="53">
        <f>M404/100+11700</f>
        <v>38200</v>
      </c>
      <c r="V404" s="53">
        <v>1</v>
      </c>
      <c r="W404" s="53">
        <v>72772</v>
      </c>
      <c r="X404" s="46">
        <v>1</v>
      </c>
      <c r="Y404" s="46">
        <v>1</v>
      </c>
      <c r="Z404" s="50">
        <v>0.18774997079103517</v>
      </c>
      <c r="AA404" s="15">
        <f t="shared" si="40"/>
        <v>1.5645830899252932E-2</v>
      </c>
      <c r="AB404" s="15">
        <f t="shared" si="41"/>
        <v>0.18774997079103517</v>
      </c>
      <c r="AC404" t="b">
        <f t="shared" si="42"/>
        <v>1</v>
      </c>
    </row>
    <row r="405" spans="1:29" x14ac:dyDescent="0.25">
      <c r="A405" s="52" t="s">
        <v>259</v>
      </c>
      <c r="B405" s="46">
        <v>30013</v>
      </c>
      <c r="C405" s="47">
        <v>45783</v>
      </c>
      <c r="D405" s="46">
        <v>311500</v>
      </c>
      <c r="E405" s="46">
        <v>2</v>
      </c>
      <c r="F405" s="52" t="s">
        <v>2050</v>
      </c>
      <c r="G405" s="46">
        <v>6</v>
      </c>
      <c r="H405" s="52" t="s">
        <v>784</v>
      </c>
      <c r="I405" s="46"/>
      <c r="J405" s="46">
        <v>0</v>
      </c>
      <c r="K405" s="46"/>
      <c r="L405" s="52" t="s">
        <v>261</v>
      </c>
      <c r="M405" s="53">
        <v>2000000</v>
      </c>
      <c r="N405" s="46">
        <v>48</v>
      </c>
      <c r="O405" s="46">
        <v>0</v>
      </c>
      <c r="P405" s="46">
        <v>1</v>
      </c>
      <c r="Q405" s="46">
        <v>12</v>
      </c>
      <c r="R405" s="53">
        <v>59450</v>
      </c>
      <c r="S405" s="46">
        <v>1</v>
      </c>
      <c r="T405" s="53">
        <v>70000</v>
      </c>
      <c r="U405" s="53">
        <f>M405/100+11700</f>
        <v>31700</v>
      </c>
      <c r="V405" s="53">
        <v>1</v>
      </c>
      <c r="W405" s="53">
        <v>54922</v>
      </c>
      <c r="X405" s="46">
        <v>1</v>
      </c>
      <c r="Y405" s="46">
        <v>1</v>
      </c>
      <c r="Z405" s="50">
        <v>0.18938320145239776</v>
      </c>
      <c r="AA405" s="15">
        <f t="shared" si="40"/>
        <v>1.578193345436648E-2</v>
      </c>
      <c r="AB405" s="15">
        <f t="shared" si="41"/>
        <v>0.18938320145239776</v>
      </c>
      <c r="AC405" t="b">
        <f t="shared" si="42"/>
        <v>1</v>
      </c>
    </row>
    <row r="406" spans="1:29" x14ac:dyDescent="0.25">
      <c r="A406" s="52" t="s">
        <v>259</v>
      </c>
      <c r="B406" s="46">
        <v>30013</v>
      </c>
      <c r="C406" s="47">
        <v>45783</v>
      </c>
      <c r="D406" s="46">
        <v>311500</v>
      </c>
      <c r="E406" s="46">
        <v>2</v>
      </c>
      <c r="F406" s="52" t="s">
        <v>2051</v>
      </c>
      <c r="G406" s="46">
        <v>6</v>
      </c>
      <c r="H406" s="52" t="s">
        <v>1642</v>
      </c>
      <c r="I406" s="46"/>
      <c r="J406" s="46">
        <v>0</v>
      </c>
      <c r="K406" s="46"/>
      <c r="L406" s="52" t="s">
        <v>270</v>
      </c>
      <c r="M406" s="53">
        <v>6000000</v>
      </c>
      <c r="N406" s="46">
        <v>60</v>
      </c>
      <c r="O406" s="46">
        <v>0</v>
      </c>
      <c r="P406" s="46">
        <v>1</v>
      </c>
      <c r="Q406" s="46">
        <v>8</v>
      </c>
      <c r="R406" s="53">
        <v>178350</v>
      </c>
      <c r="S406" s="46">
        <v>1</v>
      </c>
      <c r="T406" s="53">
        <v>235000</v>
      </c>
      <c r="U406" s="53">
        <f>M406/100+11700</f>
        <v>71700</v>
      </c>
      <c r="V406" s="53">
        <v>1</v>
      </c>
      <c r="W406" s="53">
        <v>126046</v>
      </c>
      <c r="X406" s="46">
        <v>1</v>
      </c>
      <c r="Y406" s="46">
        <v>1</v>
      </c>
      <c r="Z406" s="50">
        <v>0.1319950040808425</v>
      </c>
      <c r="AA406" s="15">
        <f t="shared" si="40"/>
        <v>1.0999583673403542E-2</v>
      </c>
      <c r="AB406" s="15">
        <f t="shared" si="41"/>
        <v>0.1319950040808425</v>
      </c>
      <c r="AC406" t="b">
        <f t="shared" si="42"/>
        <v>1</v>
      </c>
    </row>
    <row r="407" spans="1:29" x14ac:dyDescent="0.25">
      <c r="A407" s="52" t="s">
        <v>259</v>
      </c>
      <c r="B407" s="46">
        <v>30013</v>
      </c>
      <c r="C407" s="47">
        <v>45784</v>
      </c>
      <c r="D407" s="46">
        <v>321500</v>
      </c>
      <c r="E407" s="46">
        <v>2</v>
      </c>
      <c r="F407" s="52" t="s">
        <v>2052</v>
      </c>
      <c r="G407" s="46">
        <v>6</v>
      </c>
      <c r="H407" s="52" t="s">
        <v>1642</v>
      </c>
      <c r="I407" s="46"/>
      <c r="J407" s="46">
        <v>0</v>
      </c>
      <c r="K407" s="46"/>
      <c r="L407" s="52" t="s">
        <v>692</v>
      </c>
      <c r="M407" s="53">
        <v>900000</v>
      </c>
      <c r="N407" s="46">
        <v>12</v>
      </c>
      <c r="O407" s="46">
        <v>0</v>
      </c>
      <c r="P407" s="46">
        <v>1</v>
      </c>
      <c r="Q407" s="46">
        <v>10</v>
      </c>
      <c r="R407" s="53">
        <v>10701</v>
      </c>
      <c r="S407" s="46">
        <v>1</v>
      </c>
      <c r="T407" s="53">
        <v>0</v>
      </c>
      <c r="U407" s="53">
        <v>21700</v>
      </c>
      <c r="V407" s="53">
        <v>1</v>
      </c>
      <c r="W407" s="53">
        <v>79918</v>
      </c>
      <c r="X407" s="46">
        <v>1</v>
      </c>
      <c r="Y407" s="46">
        <v>1</v>
      </c>
      <c r="Z407" s="50">
        <v>0.18910739806338514</v>
      </c>
      <c r="AA407" s="15">
        <f t="shared" si="40"/>
        <v>1.5758949838615428E-2</v>
      </c>
      <c r="AB407" s="15">
        <f t="shared" si="41"/>
        <v>0.18910739806338514</v>
      </c>
      <c r="AC407" t="b">
        <f t="shared" si="42"/>
        <v>1</v>
      </c>
    </row>
    <row r="408" spans="1:29" x14ac:dyDescent="0.25">
      <c r="A408" s="52" t="s">
        <v>259</v>
      </c>
      <c r="B408" s="46">
        <v>30013</v>
      </c>
      <c r="C408" s="47">
        <v>45784</v>
      </c>
      <c r="D408" s="46">
        <v>311500</v>
      </c>
      <c r="E408" s="46">
        <v>2</v>
      </c>
      <c r="F408" s="52" t="s">
        <v>2053</v>
      </c>
      <c r="G408" s="46">
        <v>6</v>
      </c>
      <c r="H408" s="52" t="s">
        <v>784</v>
      </c>
      <c r="I408" s="46"/>
      <c r="J408" s="46">
        <v>0</v>
      </c>
      <c r="K408" s="46"/>
      <c r="L408" s="52" t="s">
        <v>261</v>
      </c>
      <c r="M408" s="53">
        <v>5900000</v>
      </c>
      <c r="N408" s="46">
        <v>72</v>
      </c>
      <c r="O408" s="46">
        <v>0</v>
      </c>
      <c r="P408" s="46">
        <v>1</v>
      </c>
      <c r="Q408" s="46">
        <v>12</v>
      </c>
      <c r="R408" s="53">
        <v>105227</v>
      </c>
      <c r="S408" s="46">
        <v>1</v>
      </c>
      <c r="T408" s="53">
        <v>275500</v>
      </c>
      <c r="U408" s="53">
        <f t="shared" ref="U408:U422" si="44">M408/100+11700</f>
        <v>70700</v>
      </c>
      <c r="V408" s="53">
        <v>1</v>
      </c>
      <c r="W408" s="53">
        <v>122422</v>
      </c>
      <c r="X408" s="46">
        <v>1</v>
      </c>
      <c r="Y408" s="46">
        <v>1</v>
      </c>
      <c r="Z408" s="50">
        <v>0.17397716602820357</v>
      </c>
      <c r="AA408" s="15">
        <f t="shared" si="40"/>
        <v>1.4498097169016965E-2</v>
      </c>
      <c r="AB408" s="15">
        <f t="shared" si="41"/>
        <v>0.17397716602820357</v>
      </c>
      <c r="AC408" t="b">
        <f t="shared" si="42"/>
        <v>1</v>
      </c>
    </row>
    <row r="409" spans="1:29" x14ac:dyDescent="0.25">
      <c r="A409" s="52" t="s">
        <v>259</v>
      </c>
      <c r="B409" s="46">
        <v>30013</v>
      </c>
      <c r="C409" s="47">
        <v>45784</v>
      </c>
      <c r="D409" s="46">
        <v>321600</v>
      </c>
      <c r="E409" s="46">
        <v>2</v>
      </c>
      <c r="F409" s="52" t="s">
        <v>2054</v>
      </c>
      <c r="G409" s="46">
        <v>6</v>
      </c>
      <c r="H409" s="52" t="s">
        <v>784</v>
      </c>
      <c r="I409" s="46"/>
      <c r="J409" s="46">
        <v>0</v>
      </c>
      <c r="K409" s="46"/>
      <c r="L409" s="52" t="s">
        <v>690</v>
      </c>
      <c r="M409" s="53">
        <v>1000000</v>
      </c>
      <c r="N409" s="46">
        <v>12</v>
      </c>
      <c r="O409" s="46">
        <v>0</v>
      </c>
      <c r="P409" s="46">
        <v>1</v>
      </c>
      <c r="Q409" s="46">
        <v>10</v>
      </c>
      <c r="R409" s="53">
        <v>11890</v>
      </c>
      <c r="S409" s="46">
        <v>1</v>
      </c>
      <c r="T409" s="53">
        <v>0</v>
      </c>
      <c r="U409" s="53">
        <f t="shared" si="44"/>
        <v>21700</v>
      </c>
      <c r="V409" s="53">
        <v>1</v>
      </c>
      <c r="W409" s="53">
        <v>88797</v>
      </c>
      <c r="X409" s="46">
        <v>1</v>
      </c>
      <c r="Y409" s="46">
        <v>1</v>
      </c>
      <c r="Z409" s="50">
        <v>0.18427066427090119</v>
      </c>
      <c r="AA409" s="15">
        <f t="shared" si="40"/>
        <v>1.5355888689241766E-2</v>
      </c>
      <c r="AB409" s="15">
        <f t="shared" si="41"/>
        <v>0.18427066427090119</v>
      </c>
      <c r="AC409" t="b">
        <f t="shared" si="42"/>
        <v>1</v>
      </c>
    </row>
    <row r="410" spans="1:29" x14ac:dyDescent="0.25">
      <c r="A410" s="52" t="s">
        <v>259</v>
      </c>
      <c r="B410" s="46">
        <v>30013</v>
      </c>
      <c r="C410" s="47">
        <v>45784</v>
      </c>
      <c r="D410" s="46">
        <v>311500</v>
      </c>
      <c r="E410" s="46">
        <v>2</v>
      </c>
      <c r="F410" s="52" t="s">
        <v>2055</v>
      </c>
      <c r="G410" s="46">
        <v>6</v>
      </c>
      <c r="H410" s="52" t="s">
        <v>784</v>
      </c>
      <c r="I410" s="46"/>
      <c r="J410" s="46">
        <v>0</v>
      </c>
      <c r="K410" s="46"/>
      <c r="L410" s="52" t="s">
        <v>261</v>
      </c>
      <c r="M410" s="53">
        <v>5000000</v>
      </c>
      <c r="N410" s="46">
        <v>72</v>
      </c>
      <c r="O410" s="46">
        <v>0</v>
      </c>
      <c r="P410" s="46">
        <v>1</v>
      </c>
      <c r="Q410" s="46">
        <v>11</v>
      </c>
      <c r="R410" s="53">
        <v>89175</v>
      </c>
      <c r="S410" s="46">
        <v>1</v>
      </c>
      <c r="T410" s="53">
        <v>235000</v>
      </c>
      <c r="U410" s="53">
        <f t="shared" si="44"/>
        <v>61700</v>
      </c>
      <c r="V410" s="53">
        <v>1</v>
      </c>
      <c r="W410" s="53">
        <v>100579</v>
      </c>
      <c r="X410" s="46">
        <v>1</v>
      </c>
      <c r="Y410" s="46">
        <v>1</v>
      </c>
      <c r="Z410" s="50">
        <v>0.16192683694825183</v>
      </c>
      <c r="AA410" s="15">
        <f t="shared" si="40"/>
        <v>1.3493903079020986E-2</v>
      </c>
      <c r="AB410" s="15">
        <f t="shared" si="41"/>
        <v>0.16192683694825183</v>
      </c>
      <c r="AC410" t="b">
        <f t="shared" si="42"/>
        <v>1</v>
      </c>
    </row>
    <row r="411" spans="1:29" x14ac:dyDescent="0.25">
      <c r="A411" s="52" t="s">
        <v>259</v>
      </c>
      <c r="B411" s="46">
        <v>30013</v>
      </c>
      <c r="C411" s="47">
        <v>45784</v>
      </c>
      <c r="D411" s="46">
        <v>311500</v>
      </c>
      <c r="E411" s="46">
        <v>2</v>
      </c>
      <c r="F411" s="52" t="s">
        <v>2056</v>
      </c>
      <c r="G411" s="46">
        <v>6</v>
      </c>
      <c r="H411" s="52" t="s">
        <v>784</v>
      </c>
      <c r="I411" s="46"/>
      <c r="J411" s="46">
        <v>0</v>
      </c>
      <c r="K411" s="46"/>
      <c r="L411" s="52" t="s">
        <v>261</v>
      </c>
      <c r="M411" s="53">
        <v>11000000</v>
      </c>
      <c r="N411" s="46">
        <v>72</v>
      </c>
      <c r="O411" s="46">
        <v>0</v>
      </c>
      <c r="P411" s="46">
        <v>1</v>
      </c>
      <c r="Q411" s="46">
        <v>10</v>
      </c>
      <c r="R411" s="53">
        <v>196185</v>
      </c>
      <c r="S411" s="46">
        <v>1</v>
      </c>
      <c r="T411" s="53">
        <v>510000</v>
      </c>
      <c r="U411" s="53">
        <f t="shared" si="44"/>
        <v>121700</v>
      </c>
      <c r="V411" s="53">
        <v>1</v>
      </c>
      <c r="W411" s="53">
        <v>214423</v>
      </c>
      <c r="X411" s="46">
        <v>1</v>
      </c>
      <c r="Y411" s="46">
        <v>1</v>
      </c>
      <c r="Z411" s="50">
        <v>0.14879244561438409</v>
      </c>
      <c r="AA411" s="15">
        <f t="shared" si="40"/>
        <v>1.2399370467865342E-2</v>
      </c>
      <c r="AB411" s="15">
        <f t="shared" si="41"/>
        <v>0.14879244561438409</v>
      </c>
      <c r="AC411" t="b">
        <f t="shared" si="42"/>
        <v>1</v>
      </c>
    </row>
    <row r="412" spans="1:29" x14ac:dyDescent="0.25">
      <c r="A412" s="52" t="s">
        <v>259</v>
      </c>
      <c r="B412" s="46">
        <v>30013</v>
      </c>
      <c r="C412" s="47">
        <v>45784</v>
      </c>
      <c r="D412" s="46">
        <v>311500</v>
      </c>
      <c r="E412" s="46">
        <v>2</v>
      </c>
      <c r="F412" s="52" t="s">
        <v>2057</v>
      </c>
      <c r="G412" s="46">
        <v>6</v>
      </c>
      <c r="H412" s="52" t="s">
        <v>784</v>
      </c>
      <c r="I412" s="46"/>
      <c r="J412" s="46">
        <v>0</v>
      </c>
      <c r="K412" s="46"/>
      <c r="L412" s="52" t="s">
        <v>261</v>
      </c>
      <c r="M412" s="53">
        <v>8300000</v>
      </c>
      <c r="N412" s="46">
        <v>84</v>
      </c>
      <c r="O412" s="46">
        <v>0</v>
      </c>
      <c r="P412" s="46">
        <v>1</v>
      </c>
      <c r="Q412" s="46">
        <v>12</v>
      </c>
      <c r="R412" s="53">
        <v>148031</v>
      </c>
      <c r="S412" s="46">
        <v>1</v>
      </c>
      <c r="T412" s="53">
        <v>450750</v>
      </c>
      <c r="U412" s="53">
        <f t="shared" si="44"/>
        <v>94700</v>
      </c>
      <c r="V412" s="53">
        <v>1</v>
      </c>
      <c r="W412" s="53">
        <v>156773</v>
      </c>
      <c r="X412" s="46">
        <v>1</v>
      </c>
      <c r="Y412" s="46">
        <v>1</v>
      </c>
      <c r="Z412" s="50">
        <v>0.17301373059675995</v>
      </c>
      <c r="AA412" s="15">
        <f t="shared" si="40"/>
        <v>1.4417810883063329E-2</v>
      </c>
      <c r="AB412" s="15">
        <f t="shared" si="41"/>
        <v>0.17301373059675995</v>
      </c>
      <c r="AC412" t="b">
        <f t="shared" si="42"/>
        <v>1</v>
      </c>
    </row>
    <row r="413" spans="1:29" x14ac:dyDescent="0.25">
      <c r="A413" s="52" t="s">
        <v>259</v>
      </c>
      <c r="B413" s="46">
        <v>30013</v>
      </c>
      <c r="C413" s="47">
        <v>45784</v>
      </c>
      <c r="D413" s="46">
        <v>311500</v>
      </c>
      <c r="E413" s="46">
        <v>2</v>
      </c>
      <c r="F413" s="52" t="s">
        <v>2058</v>
      </c>
      <c r="G413" s="46">
        <v>6</v>
      </c>
      <c r="H413" s="52" t="s">
        <v>1642</v>
      </c>
      <c r="I413" s="46"/>
      <c r="J413" s="46">
        <v>0</v>
      </c>
      <c r="K413" s="46"/>
      <c r="L413" s="52" t="s">
        <v>261</v>
      </c>
      <c r="M413" s="53">
        <v>6990000</v>
      </c>
      <c r="N413" s="46">
        <v>84</v>
      </c>
      <c r="O413" s="46">
        <v>0</v>
      </c>
      <c r="P413" s="46">
        <v>1</v>
      </c>
      <c r="Q413" s="46">
        <v>12</v>
      </c>
      <c r="R413" s="53">
        <v>124667</v>
      </c>
      <c r="S413" s="46">
        <v>1</v>
      </c>
      <c r="T413" s="53">
        <v>376975</v>
      </c>
      <c r="U413" s="53">
        <f t="shared" si="44"/>
        <v>81600</v>
      </c>
      <c r="V413" s="53">
        <v>1</v>
      </c>
      <c r="W413" s="53">
        <v>132030</v>
      </c>
      <c r="X413" s="46">
        <v>1</v>
      </c>
      <c r="Y413" s="46">
        <v>1</v>
      </c>
      <c r="Z413" s="50">
        <v>0.17297202212977528</v>
      </c>
      <c r="AA413" s="15">
        <f t="shared" si="40"/>
        <v>1.4414335177481273E-2</v>
      </c>
      <c r="AB413" s="15">
        <f t="shared" si="41"/>
        <v>0.17297202212977528</v>
      </c>
      <c r="AC413" t="b">
        <f t="shared" si="42"/>
        <v>1</v>
      </c>
    </row>
    <row r="414" spans="1:29" x14ac:dyDescent="0.25">
      <c r="A414" s="52" t="s">
        <v>259</v>
      </c>
      <c r="B414" s="46">
        <v>30013</v>
      </c>
      <c r="C414" s="47">
        <v>45784</v>
      </c>
      <c r="D414" s="46">
        <v>321500</v>
      </c>
      <c r="E414" s="46">
        <v>2</v>
      </c>
      <c r="F414" s="52" t="s">
        <v>2059</v>
      </c>
      <c r="G414" s="46">
        <v>6</v>
      </c>
      <c r="H414" s="52" t="s">
        <v>1642</v>
      </c>
      <c r="I414" s="46"/>
      <c r="J414" s="46">
        <v>0</v>
      </c>
      <c r="K414" s="46"/>
      <c r="L414" s="52" t="s">
        <v>700</v>
      </c>
      <c r="M414" s="53">
        <v>1500000</v>
      </c>
      <c r="N414" s="46">
        <v>12</v>
      </c>
      <c r="O414" s="46">
        <v>0</v>
      </c>
      <c r="P414" s="46">
        <v>1</v>
      </c>
      <c r="Q414" s="46">
        <v>10</v>
      </c>
      <c r="R414" s="53">
        <v>17835</v>
      </c>
      <c r="S414" s="46">
        <v>1</v>
      </c>
      <c r="T414" s="53">
        <v>0</v>
      </c>
      <c r="U414" s="53">
        <f t="shared" si="44"/>
        <v>26700</v>
      </c>
      <c r="V414" s="53">
        <v>1</v>
      </c>
      <c r="W414" s="53">
        <v>133196</v>
      </c>
      <c r="X414" s="46">
        <v>1</v>
      </c>
      <c r="Y414" s="46">
        <v>1</v>
      </c>
      <c r="Z414" s="50">
        <v>0.17651872294516485</v>
      </c>
      <c r="AA414" s="15">
        <f t="shared" si="40"/>
        <v>1.4709893578763738E-2</v>
      </c>
      <c r="AB414" s="15">
        <f t="shared" si="41"/>
        <v>0.17651872294516485</v>
      </c>
      <c r="AC414" t="b">
        <f t="shared" si="42"/>
        <v>1</v>
      </c>
    </row>
    <row r="415" spans="1:29" x14ac:dyDescent="0.25">
      <c r="A415" s="52" t="s">
        <v>259</v>
      </c>
      <c r="B415" s="46">
        <v>30013</v>
      </c>
      <c r="C415" s="47">
        <v>45785</v>
      </c>
      <c r="D415" s="46">
        <v>311500</v>
      </c>
      <c r="E415" s="46">
        <v>2</v>
      </c>
      <c r="F415" s="52" t="s">
        <v>2060</v>
      </c>
      <c r="G415" s="46">
        <v>6</v>
      </c>
      <c r="H415" s="52" t="s">
        <v>784</v>
      </c>
      <c r="I415" s="46"/>
      <c r="J415" s="46">
        <v>0</v>
      </c>
      <c r="K415" s="46"/>
      <c r="L415" s="52" t="s">
        <v>261</v>
      </c>
      <c r="M415" s="53">
        <v>6200000</v>
      </c>
      <c r="N415" s="46">
        <v>72</v>
      </c>
      <c r="O415" s="46">
        <v>0</v>
      </c>
      <c r="P415" s="46">
        <v>1</v>
      </c>
      <c r="Q415" s="46">
        <v>12</v>
      </c>
      <c r="R415" s="53">
        <v>110577</v>
      </c>
      <c r="S415" s="46">
        <v>1</v>
      </c>
      <c r="T415" s="53">
        <v>289000</v>
      </c>
      <c r="U415" s="53">
        <f t="shared" si="44"/>
        <v>73700</v>
      </c>
      <c r="V415" s="53">
        <v>1</v>
      </c>
      <c r="W415" s="53">
        <v>128647</v>
      </c>
      <c r="X415" s="46">
        <v>1</v>
      </c>
      <c r="Y415" s="46">
        <v>1</v>
      </c>
      <c r="Z415" s="50">
        <v>0.17390042067468028</v>
      </c>
      <c r="AA415" s="15">
        <f t="shared" si="40"/>
        <v>1.4491701722890023E-2</v>
      </c>
      <c r="AB415" s="15">
        <f t="shared" si="41"/>
        <v>0.17390042067468028</v>
      </c>
      <c r="AC415" t="b">
        <f t="shared" si="42"/>
        <v>1</v>
      </c>
    </row>
    <row r="416" spans="1:29" x14ac:dyDescent="0.25">
      <c r="A416" s="52" t="s">
        <v>259</v>
      </c>
      <c r="B416" s="46">
        <v>30013</v>
      </c>
      <c r="C416" s="47">
        <v>45785</v>
      </c>
      <c r="D416" s="46">
        <v>311500</v>
      </c>
      <c r="E416" s="46">
        <v>2</v>
      </c>
      <c r="F416" s="52" t="s">
        <v>2061</v>
      </c>
      <c r="G416" s="46">
        <v>6</v>
      </c>
      <c r="H416" s="52" t="s">
        <v>784</v>
      </c>
      <c r="I416" s="46"/>
      <c r="J416" s="46">
        <v>0</v>
      </c>
      <c r="K416" s="46"/>
      <c r="L416" s="52" t="s">
        <v>700</v>
      </c>
      <c r="M416" s="53">
        <v>7100000</v>
      </c>
      <c r="N416" s="46">
        <v>72</v>
      </c>
      <c r="O416" s="46">
        <v>0</v>
      </c>
      <c r="P416" s="46">
        <v>1</v>
      </c>
      <c r="Q416" s="46">
        <v>12</v>
      </c>
      <c r="R416" s="53">
        <v>126629</v>
      </c>
      <c r="S416" s="46">
        <v>1</v>
      </c>
      <c r="T416" s="53">
        <v>329500</v>
      </c>
      <c r="U416" s="53">
        <f t="shared" si="44"/>
        <v>82700</v>
      </c>
      <c r="V416" s="53">
        <v>1</v>
      </c>
      <c r="W416" s="53">
        <v>147322</v>
      </c>
      <c r="X416" s="46">
        <v>1</v>
      </c>
      <c r="Y416" s="46">
        <v>1</v>
      </c>
      <c r="Z416" s="50">
        <v>0.1737093150804217</v>
      </c>
      <c r="AA416" s="15">
        <f t="shared" si="40"/>
        <v>1.4475776256701808E-2</v>
      </c>
      <c r="AB416" s="15">
        <f t="shared" si="41"/>
        <v>0.1737093150804217</v>
      </c>
      <c r="AC416" t="b">
        <f t="shared" si="42"/>
        <v>1</v>
      </c>
    </row>
    <row r="417" spans="1:29" x14ac:dyDescent="0.25">
      <c r="A417" s="52" t="s">
        <v>259</v>
      </c>
      <c r="B417" s="46">
        <v>30013</v>
      </c>
      <c r="C417" s="47">
        <v>45785</v>
      </c>
      <c r="D417" s="46">
        <v>311500</v>
      </c>
      <c r="E417" s="46">
        <v>2</v>
      </c>
      <c r="F417" s="52" t="s">
        <v>2062</v>
      </c>
      <c r="G417" s="46">
        <v>6</v>
      </c>
      <c r="H417" s="52" t="s">
        <v>784</v>
      </c>
      <c r="I417" s="46"/>
      <c r="J417" s="46">
        <v>0</v>
      </c>
      <c r="K417" s="46"/>
      <c r="L417" s="52" t="s">
        <v>261</v>
      </c>
      <c r="M417" s="53">
        <v>4250000</v>
      </c>
      <c r="N417" s="46">
        <v>60</v>
      </c>
      <c r="O417" s="46">
        <v>0</v>
      </c>
      <c r="P417" s="46">
        <v>1</v>
      </c>
      <c r="Q417" s="46">
        <v>13</v>
      </c>
      <c r="R417" s="53">
        <v>126331</v>
      </c>
      <c r="S417" s="46">
        <v>1</v>
      </c>
      <c r="T417" s="53">
        <v>169375</v>
      </c>
      <c r="U417" s="53">
        <f t="shared" si="44"/>
        <v>54200</v>
      </c>
      <c r="V417" s="53">
        <v>1</v>
      </c>
      <c r="W417" s="53">
        <v>102130</v>
      </c>
      <c r="X417" s="46">
        <v>1</v>
      </c>
      <c r="Y417" s="46">
        <v>1</v>
      </c>
      <c r="Z417" s="50">
        <v>0.19445953104728458</v>
      </c>
      <c r="AA417" s="15">
        <f t="shared" si="40"/>
        <v>1.620496092060705E-2</v>
      </c>
      <c r="AB417" s="15">
        <f t="shared" si="41"/>
        <v>0.19445953104728458</v>
      </c>
      <c r="AC417" t="b">
        <f t="shared" si="42"/>
        <v>1</v>
      </c>
    </row>
    <row r="418" spans="1:29" x14ac:dyDescent="0.25">
      <c r="A418" s="52" t="s">
        <v>259</v>
      </c>
      <c r="B418" s="46">
        <v>30013</v>
      </c>
      <c r="C418" s="47">
        <v>45785</v>
      </c>
      <c r="D418" s="46">
        <v>311500</v>
      </c>
      <c r="E418" s="46">
        <v>2</v>
      </c>
      <c r="F418" s="52" t="s">
        <v>2063</v>
      </c>
      <c r="G418" s="46">
        <v>6</v>
      </c>
      <c r="H418" s="52" t="s">
        <v>784</v>
      </c>
      <c r="I418" s="46"/>
      <c r="J418" s="46">
        <v>0</v>
      </c>
      <c r="K418" s="46"/>
      <c r="L418" s="52" t="s">
        <v>270</v>
      </c>
      <c r="M418" s="53">
        <v>1900000</v>
      </c>
      <c r="N418" s="46">
        <v>48</v>
      </c>
      <c r="O418" s="46">
        <v>0</v>
      </c>
      <c r="P418" s="46">
        <v>1</v>
      </c>
      <c r="Q418" s="46">
        <v>13</v>
      </c>
      <c r="R418" s="53">
        <v>56478</v>
      </c>
      <c r="S418" s="46">
        <v>1</v>
      </c>
      <c r="T418" s="53">
        <v>67000</v>
      </c>
      <c r="U418" s="53">
        <f t="shared" si="44"/>
        <v>30700</v>
      </c>
      <c r="V418" s="53">
        <v>1</v>
      </c>
      <c r="W418" s="53">
        <v>53320</v>
      </c>
      <c r="X418" s="46">
        <v>1</v>
      </c>
      <c r="Y418" s="46">
        <v>1</v>
      </c>
      <c r="Z418" s="50">
        <v>0.20208362265312149</v>
      </c>
      <c r="AA418" s="15">
        <f t="shared" si="40"/>
        <v>1.6840301887760124E-2</v>
      </c>
      <c r="AB418" s="15">
        <f t="shared" si="41"/>
        <v>0.20208362265312149</v>
      </c>
      <c r="AC418" t="b">
        <f t="shared" si="42"/>
        <v>1</v>
      </c>
    </row>
    <row r="419" spans="1:29" x14ac:dyDescent="0.25">
      <c r="A419" s="52" t="s">
        <v>259</v>
      </c>
      <c r="B419" s="46">
        <v>30013</v>
      </c>
      <c r="C419" s="47">
        <v>45785</v>
      </c>
      <c r="D419" s="46">
        <v>311500</v>
      </c>
      <c r="E419" s="46">
        <v>2</v>
      </c>
      <c r="F419" s="52" t="s">
        <v>2064</v>
      </c>
      <c r="G419" s="46">
        <v>6</v>
      </c>
      <c r="H419" s="52" t="s">
        <v>784</v>
      </c>
      <c r="I419" s="46"/>
      <c r="J419" s="46">
        <v>0</v>
      </c>
      <c r="K419" s="46"/>
      <c r="L419" s="52" t="s">
        <v>261</v>
      </c>
      <c r="M419" s="53">
        <v>4300000</v>
      </c>
      <c r="N419" s="46">
        <v>72</v>
      </c>
      <c r="O419" s="46">
        <v>0</v>
      </c>
      <c r="P419" s="46">
        <v>1</v>
      </c>
      <c r="Q419" s="46">
        <v>12</v>
      </c>
      <c r="R419" s="53">
        <v>76691</v>
      </c>
      <c r="S419" s="46">
        <v>1</v>
      </c>
      <c r="T419" s="53">
        <v>203500</v>
      </c>
      <c r="U419" s="53">
        <f t="shared" si="44"/>
        <v>54700</v>
      </c>
      <c r="V419" s="53">
        <v>1</v>
      </c>
      <c r="W419" s="53">
        <v>89223</v>
      </c>
      <c r="X419" s="46">
        <v>1</v>
      </c>
      <c r="Y419" s="46">
        <v>1</v>
      </c>
      <c r="Z419" s="50">
        <v>0.17457228748959858</v>
      </c>
      <c r="AA419" s="15">
        <f t="shared" si="40"/>
        <v>1.4547690624133216E-2</v>
      </c>
      <c r="AB419" s="15">
        <f t="shared" si="41"/>
        <v>0.17457228748959858</v>
      </c>
      <c r="AC419" t="b">
        <f t="shared" si="42"/>
        <v>1</v>
      </c>
    </row>
    <row r="420" spans="1:29" x14ac:dyDescent="0.25">
      <c r="A420" s="52" t="s">
        <v>259</v>
      </c>
      <c r="B420" s="46">
        <v>30013</v>
      </c>
      <c r="C420" s="47">
        <v>45785</v>
      </c>
      <c r="D420" s="46">
        <v>311500</v>
      </c>
      <c r="E420" s="46">
        <v>2</v>
      </c>
      <c r="F420" s="52" t="s">
        <v>2065</v>
      </c>
      <c r="G420" s="46">
        <v>6</v>
      </c>
      <c r="H420" s="52" t="s">
        <v>784</v>
      </c>
      <c r="I420" s="46"/>
      <c r="J420" s="46">
        <v>0</v>
      </c>
      <c r="K420" s="46"/>
      <c r="L420" s="52" t="s">
        <v>702</v>
      </c>
      <c r="M420" s="53">
        <v>12000000</v>
      </c>
      <c r="N420" s="46">
        <v>60</v>
      </c>
      <c r="O420" s="46">
        <v>0</v>
      </c>
      <c r="P420" s="46">
        <v>1</v>
      </c>
      <c r="Q420" s="46">
        <v>8</v>
      </c>
      <c r="R420" s="53">
        <v>356700</v>
      </c>
      <c r="S420" s="46">
        <v>1</v>
      </c>
      <c r="T420" s="53">
        <v>465000</v>
      </c>
      <c r="U420" s="53">
        <f t="shared" si="44"/>
        <v>131700</v>
      </c>
      <c r="V420" s="53">
        <v>1</v>
      </c>
      <c r="W420" s="53">
        <v>252093</v>
      </c>
      <c r="X420" s="46">
        <v>1</v>
      </c>
      <c r="Y420" s="46">
        <v>1</v>
      </c>
      <c r="Z420" s="50">
        <v>0.13132323232416193</v>
      </c>
      <c r="AA420" s="15">
        <f t="shared" si="40"/>
        <v>1.0943602693680162E-2</v>
      </c>
      <c r="AB420" s="15">
        <f t="shared" si="41"/>
        <v>0.13132323232416193</v>
      </c>
      <c r="AC420" t="b">
        <f t="shared" si="42"/>
        <v>1</v>
      </c>
    </row>
    <row r="421" spans="1:29" x14ac:dyDescent="0.25">
      <c r="A421" s="52" t="s">
        <v>259</v>
      </c>
      <c r="B421" s="46">
        <v>30013</v>
      </c>
      <c r="C421" s="47">
        <v>45785</v>
      </c>
      <c r="D421" s="46">
        <v>311500</v>
      </c>
      <c r="E421" s="46">
        <v>2</v>
      </c>
      <c r="F421" s="52" t="s">
        <v>2066</v>
      </c>
      <c r="G421" s="46">
        <v>6</v>
      </c>
      <c r="H421" s="52" t="s">
        <v>784</v>
      </c>
      <c r="I421" s="46"/>
      <c r="J421" s="46">
        <v>0</v>
      </c>
      <c r="K421" s="46"/>
      <c r="L421" s="52" t="s">
        <v>270</v>
      </c>
      <c r="M421" s="53">
        <v>3200000</v>
      </c>
      <c r="N421" s="46">
        <v>60</v>
      </c>
      <c r="O421" s="46">
        <v>0</v>
      </c>
      <c r="P421" s="46">
        <v>1</v>
      </c>
      <c r="Q421" s="46">
        <v>13</v>
      </c>
      <c r="R421" s="53">
        <v>95120</v>
      </c>
      <c r="S421" s="46">
        <v>1</v>
      </c>
      <c r="T421" s="53">
        <v>130000</v>
      </c>
      <c r="U421" s="53">
        <f t="shared" si="44"/>
        <v>43700</v>
      </c>
      <c r="V421" s="53">
        <v>1</v>
      </c>
      <c r="W421" s="53">
        <v>76898</v>
      </c>
      <c r="X421" s="46">
        <v>1</v>
      </c>
      <c r="Y421" s="46">
        <v>1</v>
      </c>
      <c r="Z421" s="50">
        <v>0.19532597112609068</v>
      </c>
      <c r="AA421" s="15">
        <f t="shared" si="40"/>
        <v>1.6277164260507557E-2</v>
      </c>
      <c r="AB421" s="15">
        <f t="shared" si="41"/>
        <v>0.19532597112609068</v>
      </c>
      <c r="AC421" t="b">
        <f t="shared" si="42"/>
        <v>1</v>
      </c>
    </row>
    <row r="422" spans="1:29" x14ac:dyDescent="0.25">
      <c r="A422" s="52" t="s">
        <v>259</v>
      </c>
      <c r="B422" s="46">
        <v>30013</v>
      </c>
      <c r="C422" s="47">
        <v>45785</v>
      </c>
      <c r="D422" s="46">
        <v>311500</v>
      </c>
      <c r="E422" s="46">
        <v>2</v>
      </c>
      <c r="F422" s="52" t="s">
        <v>2067</v>
      </c>
      <c r="G422" s="46">
        <v>6</v>
      </c>
      <c r="H422" s="52" t="s">
        <v>784</v>
      </c>
      <c r="I422" s="46"/>
      <c r="J422" s="46">
        <v>0</v>
      </c>
      <c r="K422" s="46"/>
      <c r="L422" s="52" t="s">
        <v>700</v>
      </c>
      <c r="M422" s="53">
        <v>3150000</v>
      </c>
      <c r="N422" s="46">
        <v>60</v>
      </c>
      <c r="O422" s="46">
        <v>0</v>
      </c>
      <c r="P422" s="46">
        <v>1</v>
      </c>
      <c r="Q422" s="46">
        <v>13</v>
      </c>
      <c r="R422" s="53">
        <v>93634</v>
      </c>
      <c r="S422" s="46">
        <v>1</v>
      </c>
      <c r="T422" s="53">
        <v>128125</v>
      </c>
      <c r="U422" s="53">
        <f t="shared" si="44"/>
        <v>43200</v>
      </c>
      <c r="V422" s="53">
        <v>1</v>
      </c>
      <c r="W422" s="53">
        <v>75696</v>
      </c>
      <c r="X422" s="46">
        <v>1</v>
      </c>
      <c r="Y422" s="46">
        <v>1</v>
      </c>
      <c r="Z422" s="50">
        <v>0.19537877524915825</v>
      </c>
      <c r="AA422" s="15">
        <f t="shared" si="40"/>
        <v>1.6281564604096521E-2</v>
      </c>
      <c r="AB422" s="15">
        <f t="shared" si="41"/>
        <v>0.19537877524915825</v>
      </c>
      <c r="AC422" t="b">
        <f t="shared" si="42"/>
        <v>1</v>
      </c>
    </row>
    <row r="423" spans="1:29" x14ac:dyDescent="0.25">
      <c r="A423" s="52" t="s">
        <v>259</v>
      </c>
      <c r="B423" s="46">
        <v>30013</v>
      </c>
      <c r="C423" s="47">
        <v>45785</v>
      </c>
      <c r="D423" s="46">
        <v>321500</v>
      </c>
      <c r="E423" s="46">
        <v>2</v>
      </c>
      <c r="F423" s="52" t="s">
        <v>2068</v>
      </c>
      <c r="G423" s="46">
        <v>6</v>
      </c>
      <c r="H423" s="52" t="s">
        <v>1642</v>
      </c>
      <c r="I423" s="46"/>
      <c r="J423" s="46">
        <v>0</v>
      </c>
      <c r="K423" s="46"/>
      <c r="L423" s="52" t="s">
        <v>686</v>
      </c>
      <c r="M423" s="53">
        <v>450000</v>
      </c>
      <c r="N423" s="46">
        <v>12</v>
      </c>
      <c r="O423" s="46">
        <v>0</v>
      </c>
      <c r="P423" s="46">
        <v>1</v>
      </c>
      <c r="Q423" s="46">
        <v>10</v>
      </c>
      <c r="R423" s="53">
        <v>2675</v>
      </c>
      <c r="S423" s="46">
        <v>1</v>
      </c>
      <c r="T423" s="53">
        <v>0</v>
      </c>
      <c r="U423" s="53">
        <v>21700</v>
      </c>
      <c r="V423" s="53">
        <v>1</v>
      </c>
      <c r="W423" s="53">
        <v>39959</v>
      </c>
      <c r="X423" s="46">
        <v>1</v>
      </c>
      <c r="Y423" s="46">
        <v>1</v>
      </c>
      <c r="Z423" s="50">
        <v>0.22599436948153737</v>
      </c>
      <c r="AA423" s="15">
        <f t="shared" si="40"/>
        <v>1.8832864123461447E-2</v>
      </c>
      <c r="AB423" s="15">
        <f t="shared" si="41"/>
        <v>0.22599436948153737</v>
      </c>
      <c r="AC423" t="b">
        <f t="shared" si="42"/>
        <v>1</v>
      </c>
    </row>
    <row r="424" spans="1:29" x14ac:dyDescent="0.25">
      <c r="A424" s="52" t="s">
        <v>259</v>
      </c>
      <c r="B424" s="46">
        <v>30013</v>
      </c>
      <c r="C424" s="47">
        <v>45785</v>
      </c>
      <c r="D424" s="46">
        <v>311500</v>
      </c>
      <c r="E424" s="46">
        <v>2</v>
      </c>
      <c r="F424" s="52" t="s">
        <v>2069</v>
      </c>
      <c r="G424" s="46">
        <v>6</v>
      </c>
      <c r="H424" s="52" t="s">
        <v>1650</v>
      </c>
      <c r="I424" s="46"/>
      <c r="J424" s="46">
        <v>0</v>
      </c>
      <c r="K424" s="46"/>
      <c r="L424" s="52" t="s">
        <v>691</v>
      </c>
      <c r="M424" s="53">
        <v>3405000</v>
      </c>
      <c r="N424" s="46">
        <v>72</v>
      </c>
      <c r="O424" s="46">
        <v>0</v>
      </c>
      <c r="P424" s="46">
        <v>1</v>
      </c>
      <c r="Q424" s="46">
        <v>12</v>
      </c>
      <c r="R424" s="53">
        <v>60728</v>
      </c>
      <c r="S424" s="46">
        <v>1</v>
      </c>
      <c r="T424" s="53">
        <v>163225</v>
      </c>
      <c r="U424" s="53">
        <f t="shared" ref="U424:U440" si="45">M424/100+11700</f>
        <v>45750</v>
      </c>
      <c r="V424" s="53">
        <v>1</v>
      </c>
      <c r="W424" s="53">
        <v>70652</v>
      </c>
      <c r="X424" s="46">
        <v>1</v>
      </c>
      <c r="Y424" s="46">
        <v>1</v>
      </c>
      <c r="Z424" s="50">
        <v>0.175148514584163</v>
      </c>
      <c r="AA424" s="15">
        <f t="shared" si="40"/>
        <v>1.4595709548680251E-2</v>
      </c>
      <c r="AB424" s="15">
        <f t="shared" si="41"/>
        <v>0.175148514584163</v>
      </c>
      <c r="AC424" t="b">
        <f t="shared" si="42"/>
        <v>1</v>
      </c>
    </row>
    <row r="425" spans="1:29" x14ac:dyDescent="0.25">
      <c r="A425" s="52" t="s">
        <v>259</v>
      </c>
      <c r="B425" s="46">
        <v>30013</v>
      </c>
      <c r="C425" s="47">
        <v>45786</v>
      </c>
      <c r="D425" s="46">
        <v>311500</v>
      </c>
      <c r="E425" s="46">
        <v>2</v>
      </c>
      <c r="F425" s="52" t="s">
        <v>2070</v>
      </c>
      <c r="G425" s="46">
        <v>6</v>
      </c>
      <c r="H425" s="52" t="s">
        <v>784</v>
      </c>
      <c r="I425" s="46"/>
      <c r="J425" s="46">
        <v>0</v>
      </c>
      <c r="K425" s="46"/>
      <c r="L425" s="52" t="s">
        <v>261</v>
      </c>
      <c r="M425" s="53">
        <v>6500000</v>
      </c>
      <c r="N425" s="46">
        <v>84</v>
      </c>
      <c r="O425" s="46">
        <v>0</v>
      </c>
      <c r="P425" s="46">
        <v>1</v>
      </c>
      <c r="Q425" s="46">
        <v>10</v>
      </c>
      <c r="R425" s="53">
        <v>115928</v>
      </c>
      <c r="S425" s="46">
        <v>1</v>
      </c>
      <c r="T425" s="53">
        <v>351250</v>
      </c>
      <c r="U425" s="53">
        <f t="shared" si="45"/>
        <v>76700</v>
      </c>
      <c r="V425" s="53">
        <v>1</v>
      </c>
      <c r="W425" s="53">
        <v>114361</v>
      </c>
      <c r="X425" s="46">
        <v>1</v>
      </c>
      <c r="Y425" s="46">
        <v>1</v>
      </c>
      <c r="Z425" s="50">
        <v>0.14828356027979397</v>
      </c>
      <c r="AA425" s="15">
        <f t="shared" si="40"/>
        <v>1.2356963356649498E-2</v>
      </c>
      <c r="AB425" s="15">
        <f t="shared" si="41"/>
        <v>0.14828356027979397</v>
      </c>
      <c r="AC425" t="b">
        <f t="shared" si="42"/>
        <v>1</v>
      </c>
    </row>
    <row r="426" spans="1:29" x14ac:dyDescent="0.25">
      <c r="A426" s="52" t="s">
        <v>259</v>
      </c>
      <c r="B426" s="46">
        <v>30013</v>
      </c>
      <c r="C426" s="47">
        <v>45786</v>
      </c>
      <c r="D426" s="46">
        <v>311500</v>
      </c>
      <c r="E426" s="46">
        <v>2</v>
      </c>
      <c r="F426" s="52" t="s">
        <v>2071</v>
      </c>
      <c r="G426" s="46">
        <v>6</v>
      </c>
      <c r="H426" s="52" t="s">
        <v>784</v>
      </c>
      <c r="I426" s="46"/>
      <c r="J426" s="46">
        <v>0</v>
      </c>
      <c r="K426" s="46"/>
      <c r="L426" s="52" t="s">
        <v>261</v>
      </c>
      <c r="M426" s="53">
        <v>4850000</v>
      </c>
      <c r="N426" s="46">
        <v>72</v>
      </c>
      <c r="O426" s="46">
        <v>0</v>
      </c>
      <c r="P426" s="46">
        <v>1</v>
      </c>
      <c r="Q426" s="46">
        <v>12</v>
      </c>
      <c r="R426" s="53">
        <v>86500</v>
      </c>
      <c r="S426" s="46">
        <v>1</v>
      </c>
      <c r="T426" s="53">
        <v>228250</v>
      </c>
      <c r="U426" s="53">
        <f t="shared" si="45"/>
        <v>60200</v>
      </c>
      <c r="V426" s="53">
        <v>1</v>
      </c>
      <c r="W426" s="53">
        <v>100635</v>
      </c>
      <c r="X426" s="46">
        <v>1</v>
      </c>
      <c r="Y426" s="46">
        <v>1</v>
      </c>
      <c r="Z426" s="50">
        <v>0.1743226224123875</v>
      </c>
      <c r="AA426" s="15">
        <f t="shared" si="40"/>
        <v>1.4526885201032291E-2</v>
      </c>
      <c r="AB426" s="15">
        <f t="shared" si="41"/>
        <v>0.1743226224123875</v>
      </c>
      <c r="AC426" t="b">
        <f t="shared" si="42"/>
        <v>1</v>
      </c>
    </row>
    <row r="427" spans="1:29" x14ac:dyDescent="0.25">
      <c r="A427" s="52" t="s">
        <v>259</v>
      </c>
      <c r="B427" s="46">
        <v>30013</v>
      </c>
      <c r="C427" s="47">
        <v>45786</v>
      </c>
      <c r="D427" s="46">
        <v>311500</v>
      </c>
      <c r="E427" s="46">
        <v>2</v>
      </c>
      <c r="F427" s="52" t="s">
        <v>2072</v>
      </c>
      <c r="G427" s="46">
        <v>6</v>
      </c>
      <c r="H427" s="52" t="s">
        <v>1642</v>
      </c>
      <c r="I427" s="46"/>
      <c r="J427" s="46">
        <v>0</v>
      </c>
      <c r="K427" s="46"/>
      <c r="L427" s="52" t="s">
        <v>686</v>
      </c>
      <c r="M427" s="53">
        <v>6000000</v>
      </c>
      <c r="N427" s="46">
        <v>36</v>
      </c>
      <c r="O427" s="46">
        <v>0</v>
      </c>
      <c r="P427" s="46">
        <v>1</v>
      </c>
      <c r="Q427" s="46">
        <v>12</v>
      </c>
      <c r="R427" s="53">
        <v>178350</v>
      </c>
      <c r="S427" s="46">
        <v>1</v>
      </c>
      <c r="T427" s="53">
        <v>145000</v>
      </c>
      <c r="U427" s="53">
        <f t="shared" si="45"/>
        <v>71700</v>
      </c>
      <c r="V427" s="53">
        <v>1</v>
      </c>
      <c r="W427" s="53">
        <v>205848</v>
      </c>
      <c r="X427" s="46">
        <v>1</v>
      </c>
      <c r="Y427" s="46">
        <v>1</v>
      </c>
      <c r="Z427" s="50">
        <v>0.19138549803530386</v>
      </c>
      <c r="AA427" s="15">
        <f t="shared" si="40"/>
        <v>1.5948791502941987E-2</v>
      </c>
      <c r="AB427" s="15">
        <f t="shared" si="41"/>
        <v>0.19138549803530386</v>
      </c>
      <c r="AC427" t="b">
        <f t="shared" si="42"/>
        <v>1</v>
      </c>
    </row>
    <row r="428" spans="1:29" x14ac:dyDescent="0.25">
      <c r="A428" s="52" t="s">
        <v>259</v>
      </c>
      <c r="B428" s="46">
        <v>30013</v>
      </c>
      <c r="C428" s="47">
        <v>45786</v>
      </c>
      <c r="D428" s="46">
        <v>311500</v>
      </c>
      <c r="E428" s="46">
        <v>2</v>
      </c>
      <c r="F428" s="52" t="s">
        <v>2073</v>
      </c>
      <c r="G428" s="46">
        <v>6</v>
      </c>
      <c r="H428" s="52" t="s">
        <v>784</v>
      </c>
      <c r="I428" s="46"/>
      <c r="J428" s="46">
        <v>0</v>
      </c>
      <c r="K428" s="46"/>
      <c r="L428" s="52" t="s">
        <v>261</v>
      </c>
      <c r="M428" s="53">
        <v>4800000</v>
      </c>
      <c r="N428" s="46">
        <v>60</v>
      </c>
      <c r="O428" s="46">
        <v>0</v>
      </c>
      <c r="P428" s="46">
        <v>1</v>
      </c>
      <c r="Q428" s="46">
        <v>12</v>
      </c>
      <c r="R428" s="53">
        <v>142680</v>
      </c>
      <c r="S428" s="46">
        <v>1</v>
      </c>
      <c r="T428" s="53">
        <v>190000</v>
      </c>
      <c r="U428" s="53">
        <f t="shared" si="45"/>
        <v>59700</v>
      </c>
      <c r="V428" s="53">
        <v>1</v>
      </c>
      <c r="W428" s="53">
        <v>112356</v>
      </c>
      <c r="X428" s="46">
        <v>1</v>
      </c>
      <c r="Y428" s="46">
        <v>1</v>
      </c>
      <c r="Z428" s="50">
        <v>0.18179742464262347</v>
      </c>
      <c r="AA428" s="15">
        <f t="shared" si="40"/>
        <v>1.5149785386885288E-2</v>
      </c>
      <c r="AB428" s="15">
        <f t="shared" si="41"/>
        <v>0.18179742464262347</v>
      </c>
      <c r="AC428" t="b">
        <f t="shared" si="42"/>
        <v>1</v>
      </c>
    </row>
    <row r="429" spans="1:29" x14ac:dyDescent="0.25">
      <c r="A429" s="52" t="s">
        <v>259</v>
      </c>
      <c r="B429" s="46">
        <v>30013</v>
      </c>
      <c r="C429" s="47">
        <v>45786</v>
      </c>
      <c r="D429" s="46">
        <v>311500</v>
      </c>
      <c r="E429" s="46">
        <v>2</v>
      </c>
      <c r="F429" s="52" t="s">
        <v>2074</v>
      </c>
      <c r="G429" s="46">
        <v>6</v>
      </c>
      <c r="H429" s="52" t="s">
        <v>784</v>
      </c>
      <c r="I429" s="46"/>
      <c r="J429" s="46">
        <v>0</v>
      </c>
      <c r="K429" s="46"/>
      <c r="L429" s="52" t="s">
        <v>270</v>
      </c>
      <c r="M429" s="53">
        <v>5000000</v>
      </c>
      <c r="N429" s="46">
        <v>60</v>
      </c>
      <c r="O429" s="46">
        <v>0</v>
      </c>
      <c r="P429" s="46">
        <v>1</v>
      </c>
      <c r="Q429" s="46">
        <v>12</v>
      </c>
      <c r="R429" s="53">
        <v>148625</v>
      </c>
      <c r="S429" s="46">
        <v>1</v>
      </c>
      <c r="T429" s="53">
        <v>197500</v>
      </c>
      <c r="U429" s="53">
        <f t="shared" si="45"/>
        <v>61700</v>
      </c>
      <c r="V429" s="53">
        <v>1</v>
      </c>
      <c r="W429" s="53">
        <v>117037</v>
      </c>
      <c r="X429" s="46">
        <v>1</v>
      </c>
      <c r="Y429" s="46">
        <v>1</v>
      </c>
      <c r="Z429" s="50">
        <v>0.18170335041994667</v>
      </c>
      <c r="AA429" s="15">
        <f t="shared" si="40"/>
        <v>1.5141945868328888E-2</v>
      </c>
      <c r="AB429" s="15">
        <f t="shared" si="41"/>
        <v>0.18170335041994667</v>
      </c>
      <c r="AC429" t="b">
        <f t="shared" si="42"/>
        <v>1</v>
      </c>
    </row>
    <row r="430" spans="1:29" x14ac:dyDescent="0.25">
      <c r="A430" s="52" t="s">
        <v>259</v>
      </c>
      <c r="B430" s="46">
        <v>30013</v>
      </c>
      <c r="C430" s="47">
        <v>45786</v>
      </c>
      <c r="D430" s="46">
        <v>311500</v>
      </c>
      <c r="E430" s="46">
        <v>2</v>
      </c>
      <c r="F430" s="52" t="s">
        <v>2075</v>
      </c>
      <c r="G430" s="46">
        <v>6</v>
      </c>
      <c r="H430" s="52" t="s">
        <v>784</v>
      </c>
      <c r="I430" s="46"/>
      <c r="J430" s="46">
        <v>0</v>
      </c>
      <c r="K430" s="46"/>
      <c r="L430" s="52" t="s">
        <v>261</v>
      </c>
      <c r="M430" s="53">
        <v>4250000</v>
      </c>
      <c r="N430" s="46">
        <v>60</v>
      </c>
      <c r="O430" s="46">
        <v>0</v>
      </c>
      <c r="P430" s="46">
        <v>1</v>
      </c>
      <c r="Q430" s="46">
        <v>12</v>
      </c>
      <c r="R430" s="53">
        <v>126331</v>
      </c>
      <c r="S430" s="46">
        <v>1</v>
      </c>
      <c r="T430" s="53">
        <v>169375</v>
      </c>
      <c r="U430" s="53">
        <f t="shared" si="45"/>
        <v>54200</v>
      </c>
      <c r="V430" s="53">
        <v>1</v>
      </c>
      <c r="W430" s="53">
        <v>99482</v>
      </c>
      <c r="X430" s="46">
        <v>1</v>
      </c>
      <c r="Y430" s="46">
        <v>1</v>
      </c>
      <c r="Z430" s="50">
        <v>0.18209605929010381</v>
      </c>
      <c r="AA430" s="15">
        <f t="shared" si="40"/>
        <v>1.517467160750865E-2</v>
      </c>
      <c r="AB430" s="15">
        <f t="shared" si="41"/>
        <v>0.18209605929010381</v>
      </c>
      <c r="AC430" t="b">
        <f t="shared" si="42"/>
        <v>1</v>
      </c>
    </row>
    <row r="431" spans="1:29" x14ac:dyDescent="0.25">
      <c r="A431" s="52" t="s">
        <v>259</v>
      </c>
      <c r="B431" s="46">
        <v>30013</v>
      </c>
      <c r="C431" s="47">
        <v>45786</v>
      </c>
      <c r="D431" s="46">
        <v>311500</v>
      </c>
      <c r="E431" s="46">
        <v>2</v>
      </c>
      <c r="F431" s="52" t="s">
        <v>2076</v>
      </c>
      <c r="G431" s="46">
        <v>6</v>
      </c>
      <c r="H431" s="52" t="s">
        <v>784</v>
      </c>
      <c r="I431" s="46"/>
      <c r="J431" s="46">
        <v>0</v>
      </c>
      <c r="K431" s="46"/>
      <c r="L431" s="52" t="s">
        <v>261</v>
      </c>
      <c r="M431" s="53">
        <v>5900000</v>
      </c>
      <c r="N431" s="46">
        <v>72</v>
      </c>
      <c r="O431" s="46">
        <v>0</v>
      </c>
      <c r="P431" s="46">
        <v>1</v>
      </c>
      <c r="Q431" s="46">
        <v>12</v>
      </c>
      <c r="R431" s="53">
        <v>105227</v>
      </c>
      <c r="S431" s="46">
        <v>1</v>
      </c>
      <c r="T431" s="53">
        <v>275500</v>
      </c>
      <c r="U431" s="53">
        <f t="shared" si="45"/>
        <v>70700</v>
      </c>
      <c r="V431" s="53">
        <v>1</v>
      </c>
      <c r="W431" s="53">
        <v>122422</v>
      </c>
      <c r="X431" s="46">
        <v>1</v>
      </c>
      <c r="Y431" s="46">
        <v>1</v>
      </c>
      <c r="Z431" s="50">
        <v>0.17397716602820357</v>
      </c>
      <c r="AA431" s="15">
        <f t="shared" si="40"/>
        <v>1.4498097169016965E-2</v>
      </c>
      <c r="AB431" s="15">
        <f t="shared" si="41"/>
        <v>0.17397716602820357</v>
      </c>
      <c r="AC431" t="b">
        <f t="shared" si="42"/>
        <v>1</v>
      </c>
    </row>
    <row r="432" spans="1:29" x14ac:dyDescent="0.25">
      <c r="A432" s="52" t="s">
        <v>259</v>
      </c>
      <c r="B432" s="46">
        <v>30013</v>
      </c>
      <c r="C432" s="47">
        <v>45789</v>
      </c>
      <c r="D432" s="46">
        <v>311500</v>
      </c>
      <c r="E432" s="46">
        <v>2</v>
      </c>
      <c r="F432" s="52" t="s">
        <v>2077</v>
      </c>
      <c r="G432" s="46">
        <v>6</v>
      </c>
      <c r="H432" s="52" t="s">
        <v>784</v>
      </c>
      <c r="I432" s="46"/>
      <c r="J432" s="46">
        <v>0</v>
      </c>
      <c r="K432" s="46"/>
      <c r="L432" s="52" t="s">
        <v>261</v>
      </c>
      <c r="M432" s="53">
        <v>10000000</v>
      </c>
      <c r="N432" s="46">
        <v>60</v>
      </c>
      <c r="O432" s="46">
        <v>0</v>
      </c>
      <c r="P432" s="46">
        <v>1</v>
      </c>
      <c r="Q432" s="46">
        <v>12</v>
      </c>
      <c r="R432" s="53">
        <v>297250</v>
      </c>
      <c r="S432" s="46">
        <v>1</v>
      </c>
      <c r="T432" s="53">
        <v>390000</v>
      </c>
      <c r="U432" s="53">
        <f t="shared" si="45"/>
        <v>111700</v>
      </c>
      <c r="V432" s="53">
        <v>1</v>
      </c>
      <c r="W432" s="53">
        <v>234074</v>
      </c>
      <c r="X432" s="46">
        <v>1</v>
      </c>
      <c r="Y432" s="46">
        <v>1</v>
      </c>
      <c r="Z432" s="50">
        <v>0.1808542734871087</v>
      </c>
      <c r="AA432" s="15">
        <f t="shared" si="40"/>
        <v>1.5071189457259057E-2</v>
      </c>
      <c r="AB432" s="15">
        <f t="shared" si="41"/>
        <v>0.1808542734871087</v>
      </c>
      <c r="AC432" t="b">
        <f t="shared" si="42"/>
        <v>1</v>
      </c>
    </row>
    <row r="433" spans="1:29" x14ac:dyDescent="0.25">
      <c r="A433" s="52" t="s">
        <v>259</v>
      </c>
      <c r="B433" s="46">
        <v>30013</v>
      </c>
      <c r="C433" s="47">
        <v>45789</v>
      </c>
      <c r="D433" s="46">
        <v>311500</v>
      </c>
      <c r="E433" s="46">
        <v>2</v>
      </c>
      <c r="F433" s="52" t="s">
        <v>2078</v>
      </c>
      <c r="G433" s="46">
        <v>6</v>
      </c>
      <c r="H433" s="52" t="s">
        <v>784</v>
      </c>
      <c r="I433" s="46"/>
      <c r="J433" s="46">
        <v>0</v>
      </c>
      <c r="K433" s="46"/>
      <c r="L433" s="52" t="s">
        <v>261</v>
      </c>
      <c r="M433" s="53">
        <v>4500000</v>
      </c>
      <c r="N433" s="46">
        <v>60</v>
      </c>
      <c r="O433" s="46">
        <v>0</v>
      </c>
      <c r="P433" s="46">
        <v>1</v>
      </c>
      <c r="Q433" s="46">
        <v>13</v>
      </c>
      <c r="R433" s="53">
        <v>133763</v>
      </c>
      <c r="S433" s="46">
        <v>1</v>
      </c>
      <c r="T433" s="53">
        <v>178750</v>
      </c>
      <c r="U433" s="53">
        <f t="shared" si="45"/>
        <v>56700</v>
      </c>
      <c r="V433" s="53">
        <v>1</v>
      </c>
      <c r="W433" s="53">
        <v>108137</v>
      </c>
      <c r="X433" s="46">
        <v>1</v>
      </c>
      <c r="Y433" s="46">
        <v>1</v>
      </c>
      <c r="Z433" s="50">
        <v>0.19431044480902587</v>
      </c>
      <c r="AA433" s="15">
        <f t="shared" si="40"/>
        <v>1.6192537067418824E-2</v>
      </c>
      <c r="AB433" s="15">
        <f t="shared" si="41"/>
        <v>0.19431044480902587</v>
      </c>
      <c r="AC433" t="b">
        <f t="shared" si="42"/>
        <v>1</v>
      </c>
    </row>
    <row r="434" spans="1:29" x14ac:dyDescent="0.25">
      <c r="A434" s="52" t="s">
        <v>259</v>
      </c>
      <c r="B434" s="46">
        <v>30013</v>
      </c>
      <c r="C434" s="47">
        <v>45789</v>
      </c>
      <c r="D434" s="46">
        <v>311500</v>
      </c>
      <c r="E434" s="46">
        <v>2</v>
      </c>
      <c r="F434" s="52" t="s">
        <v>2079</v>
      </c>
      <c r="G434" s="46">
        <v>6</v>
      </c>
      <c r="H434" s="52" t="s">
        <v>784</v>
      </c>
      <c r="I434" s="46"/>
      <c r="J434" s="46">
        <v>0</v>
      </c>
      <c r="K434" s="46"/>
      <c r="L434" s="52" t="s">
        <v>691</v>
      </c>
      <c r="M434" s="53">
        <v>4000000</v>
      </c>
      <c r="N434" s="46">
        <v>60</v>
      </c>
      <c r="O434" s="46">
        <v>0</v>
      </c>
      <c r="P434" s="46">
        <v>1</v>
      </c>
      <c r="Q434" s="46">
        <v>12</v>
      </c>
      <c r="R434" s="53">
        <v>118900</v>
      </c>
      <c r="S434" s="46">
        <v>1</v>
      </c>
      <c r="T434" s="53">
        <v>160000</v>
      </c>
      <c r="U434" s="53">
        <f t="shared" si="45"/>
        <v>51700</v>
      </c>
      <c r="V434" s="53">
        <v>1</v>
      </c>
      <c r="W434" s="53">
        <v>93630</v>
      </c>
      <c r="X434" s="46">
        <v>1</v>
      </c>
      <c r="Y434" s="46">
        <v>1</v>
      </c>
      <c r="Z434" s="50">
        <v>0.18225820613323224</v>
      </c>
      <c r="AA434" s="15">
        <f t="shared" si="40"/>
        <v>1.5188183844436019E-2</v>
      </c>
      <c r="AB434" s="15">
        <f t="shared" si="41"/>
        <v>0.18225820613323224</v>
      </c>
      <c r="AC434" t="b">
        <f t="shared" si="42"/>
        <v>1</v>
      </c>
    </row>
    <row r="435" spans="1:29" x14ac:dyDescent="0.25">
      <c r="A435" s="52" t="s">
        <v>259</v>
      </c>
      <c r="B435" s="46">
        <v>30013</v>
      </c>
      <c r="C435" s="47">
        <v>45789</v>
      </c>
      <c r="D435" s="46">
        <v>311500</v>
      </c>
      <c r="E435" s="46">
        <v>2</v>
      </c>
      <c r="F435" s="52" t="s">
        <v>2080</v>
      </c>
      <c r="G435" s="46">
        <v>6</v>
      </c>
      <c r="H435" s="52" t="s">
        <v>784</v>
      </c>
      <c r="I435" s="46"/>
      <c r="J435" s="46">
        <v>0</v>
      </c>
      <c r="K435" s="46"/>
      <c r="L435" s="52" t="s">
        <v>261</v>
      </c>
      <c r="M435" s="53">
        <v>5050000</v>
      </c>
      <c r="N435" s="46">
        <v>72</v>
      </c>
      <c r="O435" s="46">
        <v>0</v>
      </c>
      <c r="P435" s="46">
        <v>1</v>
      </c>
      <c r="Q435" s="46">
        <v>12</v>
      </c>
      <c r="R435" s="53">
        <v>90067</v>
      </c>
      <c r="S435" s="46">
        <v>1</v>
      </c>
      <c r="T435" s="53">
        <v>237250</v>
      </c>
      <c r="U435" s="53">
        <f t="shared" si="45"/>
        <v>62200</v>
      </c>
      <c r="V435" s="53">
        <v>1</v>
      </c>
      <c r="W435" s="53">
        <v>104785</v>
      </c>
      <c r="X435" s="46">
        <v>1</v>
      </c>
      <c r="Y435" s="46">
        <v>1</v>
      </c>
      <c r="Z435" s="50">
        <v>0.17424606776657123</v>
      </c>
      <c r="AA435" s="15">
        <f t="shared" si="40"/>
        <v>1.452050564721427E-2</v>
      </c>
      <c r="AB435" s="15">
        <f t="shared" si="41"/>
        <v>0.17424606776657123</v>
      </c>
      <c r="AC435" t="b">
        <f t="shared" si="42"/>
        <v>1</v>
      </c>
    </row>
    <row r="436" spans="1:29" x14ac:dyDescent="0.25">
      <c r="A436" s="52" t="s">
        <v>259</v>
      </c>
      <c r="B436" s="46">
        <v>30013</v>
      </c>
      <c r="C436" s="47">
        <v>45789</v>
      </c>
      <c r="D436" s="46">
        <v>311500</v>
      </c>
      <c r="E436" s="46">
        <v>2</v>
      </c>
      <c r="F436" s="52" t="s">
        <v>2081</v>
      </c>
      <c r="G436" s="46">
        <v>6</v>
      </c>
      <c r="H436" s="52" t="s">
        <v>784</v>
      </c>
      <c r="I436" s="46"/>
      <c r="J436" s="46">
        <v>0</v>
      </c>
      <c r="K436" s="46"/>
      <c r="L436" s="52" t="s">
        <v>270</v>
      </c>
      <c r="M436" s="53">
        <v>4400000</v>
      </c>
      <c r="N436" s="46">
        <v>84</v>
      </c>
      <c r="O436" s="46">
        <v>0</v>
      </c>
      <c r="P436" s="46">
        <v>1</v>
      </c>
      <c r="Q436" s="46">
        <v>12</v>
      </c>
      <c r="R436" s="53">
        <v>78474</v>
      </c>
      <c r="S436" s="46">
        <v>1</v>
      </c>
      <c r="T436" s="53">
        <v>241000</v>
      </c>
      <c r="U436" s="53">
        <f t="shared" si="45"/>
        <v>55700</v>
      </c>
      <c r="V436" s="53">
        <v>1</v>
      </c>
      <c r="W436" s="53">
        <v>83109</v>
      </c>
      <c r="X436" s="46">
        <v>1</v>
      </c>
      <c r="Y436" s="46">
        <v>1</v>
      </c>
      <c r="Z436" s="50">
        <v>0.17368094828118497</v>
      </c>
      <c r="AA436" s="15">
        <f t="shared" si="40"/>
        <v>1.4473412356765414E-2</v>
      </c>
      <c r="AB436" s="15">
        <f t="shared" si="41"/>
        <v>0.17368094828118497</v>
      </c>
      <c r="AC436" t="b">
        <f t="shared" si="42"/>
        <v>1</v>
      </c>
    </row>
    <row r="437" spans="1:29" x14ac:dyDescent="0.25">
      <c r="A437" s="52" t="s">
        <v>259</v>
      </c>
      <c r="B437" s="46">
        <v>30013</v>
      </c>
      <c r="C437" s="47">
        <v>45789</v>
      </c>
      <c r="D437" s="46">
        <v>311500</v>
      </c>
      <c r="E437" s="46">
        <v>2</v>
      </c>
      <c r="F437" s="52" t="s">
        <v>2082</v>
      </c>
      <c r="G437" s="46">
        <v>6</v>
      </c>
      <c r="H437" s="52" t="s">
        <v>784</v>
      </c>
      <c r="I437" s="46"/>
      <c r="J437" s="46">
        <v>0</v>
      </c>
      <c r="K437" s="46"/>
      <c r="L437" s="52" t="s">
        <v>261</v>
      </c>
      <c r="M437" s="53">
        <v>6000000</v>
      </c>
      <c r="N437" s="46">
        <v>72</v>
      </c>
      <c r="O437" s="46">
        <v>0</v>
      </c>
      <c r="P437" s="46">
        <v>1</v>
      </c>
      <c r="Q437" s="46">
        <v>11</v>
      </c>
      <c r="R437" s="53">
        <v>107010</v>
      </c>
      <c r="S437" s="46">
        <v>1</v>
      </c>
      <c r="T437" s="53">
        <v>280000</v>
      </c>
      <c r="U437" s="53">
        <f t="shared" si="45"/>
        <v>71700</v>
      </c>
      <c r="V437" s="53">
        <v>1</v>
      </c>
      <c r="W437" s="53">
        <v>120695</v>
      </c>
      <c r="X437" s="46">
        <v>1</v>
      </c>
      <c r="Y437" s="46">
        <v>1</v>
      </c>
      <c r="Z437" s="50">
        <v>0.16161814828417767</v>
      </c>
      <c r="AA437" s="15">
        <f t="shared" si="40"/>
        <v>1.3468179023681472E-2</v>
      </c>
      <c r="AB437" s="15">
        <f t="shared" si="41"/>
        <v>0.16161814828417767</v>
      </c>
      <c r="AC437" t="b">
        <f t="shared" si="42"/>
        <v>1</v>
      </c>
    </row>
    <row r="438" spans="1:29" x14ac:dyDescent="0.25">
      <c r="A438" s="52" t="s">
        <v>259</v>
      </c>
      <c r="B438" s="46">
        <v>30013</v>
      </c>
      <c r="C438" s="47">
        <v>45789</v>
      </c>
      <c r="D438" s="46">
        <v>311500</v>
      </c>
      <c r="E438" s="46">
        <v>2</v>
      </c>
      <c r="F438" s="52" t="s">
        <v>2083</v>
      </c>
      <c r="G438" s="46">
        <v>6</v>
      </c>
      <c r="H438" s="52" t="s">
        <v>784</v>
      </c>
      <c r="I438" s="46"/>
      <c r="J438" s="46">
        <v>0</v>
      </c>
      <c r="K438" s="46"/>
      <c r="L438" s="52" t="s">
        <v>261</v>
      </c>
      <c r="M438" s="53">
        <v>2500000</v>
      </c>
      <c r="N438" s="46">
        <v>48</v>
      </c>
      <c r="O438" s="46">
        <v>0</v>
      </c>
      <c r="P438" s="46">
        <v>1</v>
      </c>
      <c r="Q438" s="46">
        <v>12</v>
      </c>
      <c r="R438" s="53">
        <v>74313</v>
      </c>
      <c r="S438" s="46">
        <v>1</v>
      </c>
      <c r="T438" s="53">
        <v>85000</v>
      </c>
      <c r="U438" s="53">
        <f t="shared" si="45"/>
        <v>36700</v>
      </c>
      <c r="V438" s="53">
        <v>1</v>
      </c>
      <c r="W438" s="53">
        <v>68653</v>
      </c>
      <c r="X438" s="46">
        <v>1</v>
      </c>
      <c r="Y438" s="46">
        <v>1</v>
      </c>
      <c r="Z438" s="50">
        <v>0.18805304726808938</v>
      </c>
      <c r="AA438" s="15">
        <f t="shared" si="40"/>
        <v>1.5671087272340782E-2</v>
      </c>
      <c r="AB438" s="15">
        <f t="shared" si="41"/>
        <v>0.18805304726808938</v>
      </c>
      <c r="AC438" t="b">
        <f t="shared" si="42"/>
        <v>1</v>
      </c>
    </row>
    <row r="439" spans="1:29" x14ac:dyDescent="0.25">
      <c r="A439" s="52" t="s">
        <v>259</v>
      </c>
      <c r="B439" s="46">
        <v>30013</v>
      </c>
      <c r="C439" s="47">
        <v>45789</v>
      </c>
      <c r="D439" s="46">
        <v>311500</v>
      </c>
      <c r="E439" s="46">
        <v>2</v>
      </c>
      <c r="F439" s="52" t="s">
        <v>714</v>
      </c>
      <c r="G439" s="46">
        <v>6</v>
      </c>
      <c r="H439" s="52" t="s">
        <v>784</v>
      </c>
      <c r="I439" s="46"/>
      <c r="J439" s="46">
        <v>0</v>
      </c>
      <c r="K439" s="46"/>
      <c r="L439" s="52" t="s">
        <v>268</v>
      </c>
      <c r="M439" s="53">
        <v>3700000</v>
      </c>
      <c r="N439" s="46">
        <v>84</v>
      </c>
      <c r="O439" s="46">
        <v>0</v>
      </c>
      <c r="P439" s="46">
        <v>1</v>
      </c>
      <c r="Q439" s="46">
        <v>12</v>
      </c>
      <c r="R439" s="53">
        <v>65990</v>
      </c>
      <c r="S439" s="46">
        <v>1</v>
      </c>
      <c r="T439" s="53">
        <v>204250</v>
      </c>
      <c r="U439" s="53">
        <f t="shared" si="45"/>
        <v>48700</v>
      </c>
      <c r="V439" s="53">
        <v>1</v>
      </c>
      <c r="W439" s="53">
        <v>69887</v>
      </c>
      <c r="X439" s="46">
        <v>1</v>
      </c>
      <c r="Y439" s="46">
        <v>1</v>
      </c>
      <c r="Z439" s="50">
        <v>0.17404325000588078</v>
      </c>
      <c r="AA439" s="15">
        <f t="shared" si="40"/>
        <v>1.4503604167156731E-2</v>
      </c>
      <c r="AB439" s="15">
        <f t="shared" si="41"/>
        <v>0.17404325000588078</v>
      </c>
      <c r="AC439" t="b">
        <f t="shared" si="42"/>
        <v>1</v>
      </c>
    </row>
    <row r="440" spans="1:29" x14ac:dyDescent="0.25">
      <c r="A440" s="52" t="s">
        <v>259</v>
      </c>
      <c r="B440" s="46">
        <v>30013</v>
      </c>
      <c r="C440" s="47">
        <v>45789</v>
      </c>
      <c r="D440" s="46">
        <v>311500</v>
      </c>
      <c r="E440" s="46">
        <v>2</v>
      </c>
      <c r="F440" s="52" t="s">
        <v>2084</v>
      </c>
      <c r="G440" s="46">
        <v>6</v>
      </c>
      <c r="H440" s="52" t="s">
        <v>1642</v>
      </c>
      <c r="I440" s="46"/>
      <c r="J440" s="46">
        <v>0</v>
      </c>
      <c r="K440" s="46"/>
      <c r="L440" s="52" t="s">
        <v>231</v>
      </c>
      <c r="M440" s="53">
        <v>4620000</v>
      </c>
      <c r="N440" s="46">
        <v>48</v>
      </c>
      <c r="O440" s="46">
        <v>0</v>
      </c>
      <c r="P440" s="46">
        <v>1</v>
      </c>
      <c r="Q440" s="46">
        <v>8</v>
      </c>
      <c r="R440" s="53">
        <v>137330</v>
      </c>
      <c r="S440" s="46">
        <v>1</v>
      </c>
      <c r="T440" s="53">
        <v>148600</v>
      </c>
      <c r="U440" s="53">
        <f t="shared" si="45"/>
        <v>57900</v>
      </c>
      <c r="V440" s="53">
        <v>1</v>
      </c>
      <c r="W440" s="53">
        <v>116095</v>
      </c>
      <c r="X440" s="46">
        <v>1</v>
      </c>
      <c r="Y440" s="46">
        <v>1</v>
      </c>
      <c r="Z440" s="50">
        <v>0.13646128021257742</v>
      </c>
      <c r="AA440" s="15">
        <f t="shared" si="40"/>
        <v>1.1371773351048118E-2</v>
      </c>
      <c r="AB440" s="15">
        <f t="shared" si="41"/>
        <v>0.13646128021257742</v>
      </c>
      <c r="AC440" t="b">
        <f t="shared" si="42"/>
        <v>1</v>
      </c>
    </row>
    <row r="441" spans="1:29" x14ac:dyDescent="0.25">
      <c r="A441" s="52" t="s">
        <v>259</v>
      </c>
      <c r="B441" s="46">
        <v>30013</v>
      </c>
      <c r="C441" s="47">
        <v>45790</v>
      </c>
      <c r="D441" s="46">
        <v>321600</v>
      </c>
      <c r="E441" s="46">
        <v>2</v>
      </c>
      <c r="F441" s="52" t="s">
        <v>2085</v>
      </c>
      <c r="G441" s="46">
        <v>6</v>
      </c>
      <c r="H441" s="52" t="s">
        <v>784</v>
      </c>
      <c r="I441" s="46"/>
      <c r="J441" s="46">
        <v>0</v>
      </c>
      <c r="K441" s="46"/>
      <c r="L441" s="52" t="s">
        <v>690</v>
      </c>
      <c r="M441" s="53">
        <v>350000</v>
      </c>
      <c r="N441" s="46">
        <v>12</v>
      </c>
      <c r="O441" s="46">
        <v>0</v>
      </c>
      <c r="P441" s="46">
        <v>1</v>
      </c>
      <c r="Q441" s="46">
        <v>10</v>
      </c>
      <c r="R441" s="53">
        <v>832</v>
      </c>
      <c r="S441" s="46">
        <v>1</v>
      </c>
      <c r="T441" s="53">
        <v>0</v>
      </c>
      <c r="U441" s="53">
        <v>21700</v>
      </c>
      <c r="V441" s="53">
        <v>1</v>
      </c>
      <c r="W441" s="53">
        <v>31079</v>
      </c>
      <c r="X441" s="46">
        <v>1</v>
      </c>
      <c r="Y441" s="46">
        <v>1</v>
      </c>
      <c r="Z441" s="50">
        <v>0.24717120924053398</v>
      </c>
      <c r="AA441" s="15">
        <f t="shared" si="40"/>
        <v>2.0597600770044498E-2</v>
      </c>
      <c r="AB441" s="15">
        <f t="shared" si="41"/>
        <v>0.24717120924053398</v>
      </c>
      <c r="AC441" t="b">
        <f t="shared" si="42"/>
        <v>1</v>
      </c>
    </row>
    <row r="442" spans="1:29" x14ac:dyDescent="0.25">
      <c r="A442" s="52" t="s">
        <v>259</v>
      </c>
      <c r="B442" s="46">
        <v>30013</v>
      </c>
      <c r="C442" s="47">
        <v>45790</v>
      </c>
      <c r="D442" s="46">
        <v>311500</v>
      </c>
      <c r="E442" s="46">
        <v>2</v>
      </c>
      <c r="F442" s="52" t="s">
        <v>2086</v>
      </c>
      <c r="G442" s="46">
        <v>6</v>
      </c>
      <c r="H442" s="52" t="s">
        <v>784</v>
      </c>
      <c r="I442" s="46"/>
      <c r="J442" s="46">
        <v>0</v>
      </c>
      <c r="K442" s="46"/>
      <c r="L442" s="52" t="s">
        <v>231</v>
      </c>
      <c r="M442" s="53">
        <v>9500000</v>
      </c>
      <c r="N442" s="46">
        <v>96</v>
      </c>
      <c r="O442" s="46">
        <v>0</v>
      </c>
      <c r="P442" s="46">
        <v>1</v>
      </c>
      <c r="Q442" s="46">
        <v>8</v>
      </c>
      <c r="R442" s="53">
        <v>169433</v>
      </c>
      <c r="S442" s="46">
        <v>1</v>
      </c>
      <c r="T442" s="53">
        <v>585000</v>
      </c>
      <c r="U442" s="53">
        <f t="shared" ref="U442:U450" si="46">M442/100+11700</f>
        <v>106700</v>
      </c>
      <c r="V442" s="53">
        <v>1</v>
      </c>
      <c r="W442" s="53">
        <v>141713</v>
      </c>
      <c r="X442" s="46">
        <v>1</v>
      </c>
      <c r="Y442" s="46">
        <v>1</v>
      </c>
      <c r="Z442" s="50">
        <v>0.12274643904180474</v>
      </c>
      <c r="AA442" s="15">
        <f t="shared" si="40"/>
        <v>1.0228869920150395E-2</v>
      </c>
      <c r="AB442" s="15">
        <f t="shared" si="41"/>
        <v>0.12274643904180474</v>
      </c>
      <c r="AC442" t="b">
        <f t="shared" si="42"/>
        <v>1</v>
      </c>
    </row>
    <row r="443" spans="1:29" x14ac:dyDescent="0.25">
      <c r="A443" s="52" t="s">
        <v>259</v>
      </c>
      <c r="B443" s="46">
        <v>30013</v>
      </c>
      <c r="C443" s="47">
        <v>45790</v>
      </c>
      <c r="D443" s="46">
        <v>311500</v>
      </c>
      <c r="E443" s="46">
        <v>2</v>
      </c>
      <c r="F443" s="52" t="s">
        <v>2087</v>
      </c>
      <c r="G443" s="46">
        <v>6</v>
      </c>
      <c r="H443" s="52" t="s">
        <v>784</v>
      </c>
      <c r="I443" s="46"/>
      <c r="J443" s="46">
        <v>0</v>
      </c>
      <c r="K443" s="46"/>
      <c r="L443" s="52" t="s">
        <v>261</v>
      </c>
      <c r="M443" s="53">
        <v>2400000</v>
      </c>
      <c r="N443" s="46">
        <v>48</v>
      </c>
      <c r="O443" s="46">
        <v>0</v>
      </c>
      <c r="P443" s="46">
        <v>1</v>
      </c>
      <c r="Q443" s="46">
        <v>13</v>
      </c>
      <c r="R443" s="53">
        <v>71340</v>
      </c>
      <c r="S443" s="46">
        <v>1</v>
      </c>
      <c r="T443" s="53">
        <v>82000</v>
      </c>
      <c r="U443" s="53">
        <f t="shared" si="46"/>
        <v>35700</v>
      </c>
      <c r="V443" s="53">
        <v>1</v>
      </c>
      <c r="W443" s="53">
        <v>67351</v>
      </c>
      <c r="X443" s="46">
        <v>1</v>
      </c>
      <c r="Y443" s="46">
        <v>1</v>
      </c>
      <c r="Z443" s="50">
        <v>0.20059988601050113</v>
      </c>
      <c r="AA443" s="15">
        <f t="shared" si="40"/>
        <v>1.6716657167541761E-2</v>
      </c>
      <c r="AB443" s="15">
        <f t="shared" si="41"/>
        <v>0.20059988601050113</v>
      </c>
      <c r="AC443" t="b">
        <f t="shared" si="42"/>
        <v>1</v>
      </c>
    </row>
    <row r="444" spans="1:29" x14ac:dyDescent="0.25">
      <c r="A444" s="52" t="s">
        <v>259</v>
      </c>
      <c r="B444" s="46">
        <v>30013</v>
      </c>
      <c r="C444" s="47">
        <v>45790</v>
      </c>
      <c r="D444" s="46">
        <v>311500</v>
      </c>
      <c r="E444" s="46">
        <v>2</v>
      </c>
      <c r="F444" s="52" t="s">
        <v>2088</v>
      </c>
      <c r="G444" s="46">
        <v>6</v>
      </c>
      <c r="H444" s="52" t="s">
        <v>784</v>
      </c>
      <c r="I444" s="46"/>
      <c r="J444" s="46">
        <v>0</v>
      </c>
      <c r="K444" s="46"/>
      <c r="L444" s="52" t="s">
        <v>261</v>
      </c>
      <c r="M444" s="53">
        <v>4250000</v>
      </c>
      <c r="N444" s="46">
        <v>60</v>
      </c>
      <c r="O444" s="46">
        <v>0</v>
      </c>
      <c r="P444" s="46">
        <v>1</v>
      </c>
      <c r="Q444" s="46">
        <v>13</v>
      </c>
      <c r="R444" s="53">
        <v>126331</v>
      </c>
      <c r="S444" s="46">
        <v>1</v>
      </c>
      <c r="T444" s="53">
        <v>169375</v>
      </c>
      <c r="U444" s="53">
        <f t="shared" si="46"/>
        <v>54200</v>
      </c>
      <c r="V444" s="53">
        <v>1</v>
      </c>
      <c r="W444" s="53">
        <v>102130</v>
      </c>
      <c r="X444" s="46">
        <v>1</v>
      </c>
      <c r="Y444" s="46">
        <v>1</v>
      </c>
      <c r="Z444" s="50">
        <v>0.19445953104728458</v>
      </c>
      <c r="AA444" s="15">
        <f t="shared" si="40"/>
        <v>1.620496092060705E-2</v>
      </c>
      <c r="AB444" s="15">
        <f t="shared" si="41"/>
        <v>0.19445953104728458</v>
      </c>
      <c r="AC444" t="b">
        <f t="shared" si="42"/>
        <v>1</v>
      </c>
    </row>
    <row r="445" spans="1:29" x14ac:dyDescent="0.25">
      <c r="A445" s="52" t="s">
        <v>259</v>
      </c>
      <c r="B445" s="46">
        <v>30013</v>
      </c>
      <c r="C445" s="47">
        <v>45790</v>
      </c>
      <c r="D445" s="46">
        <v>311500</v>
      </c>
      <c r="E445" s="46">
        <v>2</v>
      </c>
      <c r="F445" s="52" t="s">
        <v>2089</v>
      </c>
      <c r="G445" s="46">
        <v>6</v>
      </c>
      <c r="H445" s="52" t="s">
        <v>1650</v>
      </c>
      <c r="I445" s="46"/>
      <c r="J445" s="46">
        <v>0</v>
      </c>
      <c r="K445" s="46"/>
      <c r="L445" s="52" t="s">
        <v>261</v>
      </c>
      <c r="M445" s="53">
        <v>2650000</v>
      </c>
      <c r="N445" s="46">
        <v>48</v>
      </c>
      <c r="O445" s="46">
        <v>0</v>
      </c>
      <c r="P445" s="46">
        <v>1</v>
      </c>
      <c r="Q445" s="46">
        <v>12</v>
      </c>
      <c r="R445" s="53">
        <v>78771</v>
      </c>
      <c r="S445" s="46">
        <v>1</v>
      </c>
      <c r="T445" s="53">
        <v>89500</v>
      </c>
      <c r="U445" s="53">
        <f t="shared" si="46"/>
        <v>38200</v>
      </c>
      <c r="V445" s="53">
        <v>1</v>
      </c>
      <c r="W445" s="53">
        <v>72772</v>
      </c>
      <c r="X445" s="46">
        <v>1</v>
      </c>
      <c r="Y445" s="46">
        <v>1</v>
      </c>
      <c r="Z445" s="50">
        <v>0.18774997079103517</v>
      </c>
      <c r="AA445" s="15">
        <f t="shared" si="40"/>
        <v>1.5645830899252932E-2</v>
      </c>
      <c r="AB445" s="15">
        <f t="shared" si="41"/>
        <v>0.18774997079103517</v>
      </c>
      <c r="AC445" t="b">
        <f t="shared" si="42"/>
        <v>1</v>
      </c>
    </row>
    <row r="446" spans="1:29" x14ac:dyDescent="0.25">
      <c r="A446" s="52" t="s">
        <v>259</v>
      </c>
      <c r="B446" s="46">
        <v>30013</v>
      </c>
      <c r="C446" s="47">
        <v>45790</v>
      </c>
      <c r="D446" s="46">
        <v>311500</v>
      </c>
      <c r="E446" s="46">
        <v>2</v>
      </c>
      <c r="F446" s="52" t="s">
        <v>2090</v>
      </c>
      <c r="G446" s="46">
        <v>6</v>
      </c>
      <c r="H446" s="52" t="s">
        <v>784</v>
      </c>
      <c r="I446" s="46"/>
      <c r="J446" s="46">
        <v>0</v>
      </c>
      <c r="K446" s="46"/>
      <c r="L446" s="52" t="s">
        <v>270</v>
      </c>
      <c r="M446" s="53">
        <v>7400000</v>
      </c>
      <c r="N446" s="46">
        <v>84</v>
      </c>
      <c r="O446" s="46">
        <v>0</v>
      </c>
      <c r="P446" s="46">
        <v>1</v>
      </c>
      <c r="Q446" s="46">
        <v>8</v>
      </c>
      <c r="R446" s="53">
        <v>131979</v>
      </c>
      <c r="S446" s="46">
        <v>1</v>
      </c>
      <c r="T446" s="53">
        <v>398500</v>
      </c>
      <c r="U446" s="53">
        <f t="shared" si="46"/>
        <v>85700</v>
      </c>
      <c r="V446" s="53">
        <v>1</v>
      </c>
      <c r="W446" s="53">
        <v>120991</v>
      </c>
      <c r="X446" s="46">
        <v>1</v>
      </c>
      <c r="Y446" s="46">
        <v>1</v>
      </c>
      <c r="Z446" s="50">
        <v>0.1234028704682277</v>
      </c>
      <c r="AA446" s="15">
        <f t="shared" si="40"/>
        <v>1.0283572539018975E-2</v>
      </c>
      <c r="AB446" s="15">
        <f t="shared" si="41"/>
        <v>0.1234028704682277</v>
      </c>
      <c r="AC446" t="b">
        <f t="shared" si="42"/>
        <v>1</v>
      </c>
    </row>
    <row r="447" spans="1:29" x14ac:dyDescent="0.25">
      <c r="A447" s="52" t="s">
        <v>259</v>
      </c>
      <c r="B447" s="46">
        <v>30013</v>
      </c>
      <c r="C447" s="47">
        <v>45790</v>
      </c>
      <c r="D447" s="46">
        <v>311500</v>
      </c>
      <c r="E447" s="46">
        <v>2</v>
      </c>
      <c r="F447" s="52" t="s">
        <v>2091</v>
      </c>
      <c r="G447" s="46">
        <v>6</v>
      </c>
      <c r="H447" s="52" t="s">
        <v>1642</v>
      </c>
      <c r="I447" s="46"/>
      <c r="J447" s="46">
        <v>0</v>
      </c>
      <c r="K447" s="46"/>
      <c r="L447" s="52" t="s">
        <v>231</v>
      </c>
      <c r="M447" s="53">
        <v>10000000</v>
      </c>
      <c r="N447" s="46">
        <v>48</v>
      </c>
      <c r="O447" s="46">
        <v>0</v>
      </c>
      <c r="P447" s="46">
        <v>1</v>
      </c>
      <c r="Q447" s="46">
        <v>10</v>
      </c>
      <c r="R447" s="53">
        <v>297250</v>
      </c>
      <c r="S447" s="46">
        <v>1</v>
      </c>
      <c r="T447" s="53">
        <v>315000</v>
      </c>
      <c r="U447" s="53">
        <f t="shared" si="46"/>
        <v>111700</v>
      </c>
      <c r="V447" s="53">
        <v>1</v>
      </c>
      <c r="W447" s="53">
        <v>262799</v>
      </c>
      <c r="X447" s="46">
        <v>1</v>
      </c>
      <c r="Y447" s="46">
        <v>1</v>
      </c>
      <c r="Z447" s="50">
        <v>0.15981714499942351</v>
      </c>
      <c r="AA447" s="15">
        <f t="shared" si="40"/>
        <v>1.3318095416618627E-2</v>
      </c>
      <c r="AB447" s="15">
        <f t="shared" si="41"/>
        <v>0.15981714499942351</v>
      </c>
      <c r="AC447" t="b">
        <f t="shared" si="42"/>
        <v>1</v>
      </c>
    </row>
    <row r="448" spans="1:29" x14ac:dyDescent="0.25">
      <c r="A448" s="52" t="s">
        <v>259</v>
      </c>
      <c r="B448" s="46">
        <v>30013</v>
      </c>
      <c r="C448" s="47">
        <v>45790</v>
      </c>
      <c r="D448" s="46">
        <v>311500</v>
      </c>
      <c r="E448" s="46">
        <v>2</v>
      </c>
      <c r="F448" s="52" t="s">
        <v>2092</v>
      </c>
      <c r="G448" s="46">
        <v>6</v>
      </c>
      <c r="H448" s="52" t="s">
        <v>784</v>
      </c>
      <c r="I448" s="46"/>
      <c r="J448" s="46">
        <v>0</v>
      </c>
      <c r="K448" s="46"/>
      <c r="L448" s="52" t="s">
        <v>261</v>
      </c>
      <c r="M448" s="53">
        <v>4200000</v>
      </c>
      <c r="N448" s="46">
        <v>60</v>
      </c>
      <c r="O448" s="46">
        <v>0</v>
      </c>
      <c r="P448" s="46">
        <v>1</v>
      </c>
      <c r="Q448" s="46">
        <v>12</v>
      </c>
      <c r="R448" s="53">
        <v>124845</v>
      </c>
      <c r="S448" s="46">
        <v>1</v>
      </c>
      <c r="T448" s="53">
        <v>167500</v>
      </c>
      <c r="U448" s="53">
        <f t="shared" si="46"/>
        <v>53700</v>
      </c>
      <c r="V448" s="53">
        <v>1</v>
      </c>
      <c r="W448" s="53">
        <v>98311</v>
      </c>
      <c r="X448" s="46">
        <v>1</v>
      </c>
      <c r="Y448" s="46">
        <v>1</v>
      </c>
      <c r="Z448" s="50">
        <v>0.18212410744384089</v>
      </c>
      <c r="AA448" s="15">
        <f t="shared" si="40"/>
        <v>1.5177008953653408E-2</v>
      </c>
      <c r="AB448" s="15">
        <f t="shared" si="41"/>
        <v>0.18212410744384089</v>
      </c>
      <c r="AC448" t="b">
        <f t="shared" si="42"/>
        <v>1</v>
      </c>
    </row>
    <row r="449" spans="1:29" x14ac:dyDescent="0.25">
      <c r="A449" s="52" t="s">
        <v>259</v>
      </c>
      <c r="B449" s="46">
        <v>30013</v>
      </c>
      <c r="C449" s="47">
        <v>45790</v>
      </c>
      <c r="D449" s="46">
        <v>321300</v>
      </c>
      <c r="E449" s="46">
        <v>2</v>
      </c>
      <c r="F449" s="52" t="s">
        <v>2093</v>
      </c>
      <c r="G449" s="46">
        <v>6</v>
      </c>
      <c r="H449" s="52" t="s">
        <v>1642</v>
      </c>
      <c r="I449" s="46"/>
      <c r="J449" s="46">
        <v>0</v>
      </c>
      <c r="K449" s="46"/>
      <c r="L449" s="52" t="s">
        <v>270</v>
      </c>
      <c r="M449" s="53">
        <v>8400000</v>
      </c>
      <c r="N449" s="46">
        <v>24</v>
      </c>
      <c r="O449" s="46">
        <v>0</v>
      </c>
      <c r="P449" s="46">
        <v>1</v>
      </c>
      <c r="Q449" s="46">
        <v>10</v>
      </c>
      <c r="R449" s="53">
        <v>249690</v>
      </c>
      <c r="S449" s="46">
        <v>1</v>
      </c>
      <c r="T449" s="53">
        <v>141000</v>
      </c>
      <c r="U449" s="53">
        <f t="shared" si="46"/>
        <v>95700</v>
      </c>
      <c r="V449" s="53">
        <v>1</v>
      </c>
      <c r="W449" s="53">
        <v>394986</v>
      </c>
      <c r="X449" s="46">
        <v>1</v>
      </c>
      <c r="Y449" s="46">
        <v>1</v>
      </c>
      <c r="Z449" s="50">
        <v>0.17975448005824143</v>
      </c>
      <c r="AA449" s="15">
        <f t="shared" si="40"/>
        <v>1.4979540004853452E-2</v>
      </c>
      <c r="AB449" s="15">
        <f t="shared" si="41"/>
        <v>0.17975448005824143</v>
      </c>
      <c r="AC449" t="b">
        <f t="shared" si="42"/>
        <v>1</v>
      </c>
    </row>
    <row r="450" spans="1:29" x14ac:dyDescent="0.25">
      <c r="A450" s="52" t="s">
        <v>259</v>
      </c>
      <c r="B450" s="46">
        <v>30013</v>
      </c>
      <c r="C450" s="47">
        <v>45790</v>
      </c>
      <c r="D450" s="46">
        <v>311500</v>
      </c>
      <c r="E450" s="46">
        <v>2</v>
      </c>
      <c r="F450" s="52" t="s">
        <v>2094</v>
      </c>
      <c r="G450" s="46">
        <v>6</v>
      </c>
      <c r="H450" s="52" t="s">
        <v>784</v>
      </c>
      <c r="I450" s="46"/>
      <c r="J450" s="46">
        <v>0</v>
      </c>
      <c r="K450" s="46"/>
      <c r="L450" s="52" t="s">
        <v>261</v>
      </c>
      <c r="M450" s="53">
        <v>3300000</v>
      </c>
      <c r="N450" s="46">
        <v>48</v>
      </c>
      <c r="O450" s="46">
        <v>0</v>
      </c>
      <c r="P450" s="46">
        <v>1</v>
      </c>
      <c r="Q450" s="46">
        <v>12</v>
      </c>
      <c r="R450" s="53">
        <v>98093</v>
      </c>
      <c r="S450" s="46">
        <v>1</v>
      </c>
      <c r="T450" s="53">
        <v>109000</v>
      </c>
      <c r="U450" s="53">
        <f t="shared" si="46"/>
        <v>44700</v>
      </c>
      <c r="V450" s="53">
        <v>1</v>
      </c>
      <c r="W450" s="53">
        <v>90622</v>
      </c>
      <c r="X450" s="46">
        <v>1</v>
      </c>
      <c r="Y450" s="46">
        <v>1</v>
      </c>
      <c r="Z450" s="50">
        <v>0.18676364114815425</v>
      </c>
      <c r="AA450" s="15">
        <f t="shared" si="40"/>
        <v>1.5563636762346188E-2</v>
      </c>
      <c r="AB450" s="15">
        <f t="shared" si="41"/>
        <v>0.18676364114815425</v>
      </c>
      <c r="AC450" t="b">
        <f t="shared" si="42"/>
        <v>1</v>
      </c>
    </row>
    <row r="451" spans="1:29" x14ac:dyDescent="0.25">
      <c r="A451" s="52" t="s">
        <v>259</v>
      </c>
      <c r="B451" s="46">
        <v>30013</v>
      </c>
      <c r="C451" s="47">
        <v>45790</v>
      </c>
      <c r="D451" s="46">
        <v>321500</v>
      </c>
      <c r="E451" s="46">
        <v>2</v>
      </c>
      <c r="F451" s="52" t="s">
        <v>2095</v>
      </c>
      <c r="G451" s="46">
        <v>6</v>
      </c>
      <c r="H451" s="52" t="s">
        <v>784</v>
      </c>
      <c r="I451" s="46"/>
      <c r="J451" s="46">
        <v>0</v>
      </c>
      <c r="K451" s="46"/>
      <c r="L451" s="52" t="s">
        <v>690</v>
      </c>
      <c r="M451" s="53">
        <v>625000</v>
      </c>
      <c r="N451" s="46">
        <v>12</v>
      </c>
      <c r="O451" s="46">
        <v>0</v>
      </c>
      <c r="P451" s="46">
        <v>1</v>
      </c>
      <c r="Q451" s="46">
        <v>10</v>
      </c>
      <c r="R451" s="53">
        <v>7431</v>
      </c>
      <c r="S451" s="46">
        <v>1</v>
      </c>
      <c r="T451" s="53">
        <v>0</v>
      </c>
      <c r="U451" s="53">
        <v>21700</v>
      </c>
      <c r="V451" s="53">
        <v>1</v>
      </c>
      <c r="W451" s="53">
        <v>55498</v>
      </c>
      <c r="X451" s="46">
        <v>1</v>
      </c>
      <c r="Y451" s="46">
        <v>1</v>
      </c>
      <c r="Z451" s="50">
        <v>0.21050310325492011</v>
      </c>
      <c r="AA451" s="15">
        <f t="shared" si="40"/>
        <v>1.7541925271243344E-2</v>
      </c>
      <c r="AB451" s="15">
        <f t="shared" si="41"/>
        <v>0.21050310325492011</v>
      </c>
      <c r="AC451" t="b">
        <f t="shared" si="42"/>
        <v>1</v>
      </c>
    </row>
    <row r="452" spans="1:29" x14ac:dyDescent="0.25">
      <c r="A452" s="52" t="s">
        <v>259</v>
      </c>
      <c r="B452" s="46">
        <v>30013</v>
      </c>
      <c r="C452" s="47">
        <v>45790</v>
      </c>
      <c r="D452" s="46">
        <v>311500</v>
      </c>
      <c r="E452" s="46">
        <v>2</v>
      </c>
      <c r="F452" s="52" t="s">
        <v>2096</v>
      </c>
      <c r="G452" s="46">
        <v>6</v>
      </c>
      <c r="H452" s="52" t="s">
        <v>784</v>
      </c>
      <c r="I452" s="46"/>
      <c r="J452" s="46">
        <v>0</v>
      </c>
      <c r="K452" s="46"/>
      <c r="L452" s="52" t="s">
        <v>268</v>
      </c>
      <c r="M452" s="53">
        <v>3600000</v>
      </c>
      <c r="N452" s="46">
        <v>60</v>
      </c>
      <c r="O452" s="46">
        <v>0</v>
      </c>
      <c r="P452" s="46">
        <v>1</v>
      </c>
      <c r="Q452" s="46">
        <v>12</v>
      </c>
      <c r="R452" s="53">
        <v>107010</v>
      </c>
      <c r="S452" s="46">
        <v>1</v>
      </c>
      <c r="T452" s="53">
        <v>145000</v>
      </c>
      <c r="U452" s="53">
        <f t="shared" ref="U452:U515" si="47">M452/100+11700</f>
        <v>47700</v>
      </c>
      <c r="V452" s="53">
        <v>1</v>
      </c>
      <c r="W452" s="53">
        <v>84267</v>
      </c>
      <c r="X452" s="46">
        <v>1</v>
      </c>
      <c r="Y452" s="46">
        <v>1</v>
      </c>
      <c r="Z452" s="50">
        <v>0.18256576313251005</v>
      </c>
      <c r="AA452" s="15">
        <f t="shared" ref="AA452:AA515" si="48">RATE(N452,-W452,M452-R452-T452-U452)</f>
        <v>1.5213813594375838E-2</v>
      </c>
      <c r="AB452" s="15">
        <f t="shared" ref="AB452:AB515" si="49">IF(P452=1,AA452*12,IF(P452=2,AA452*4,IF(P452=3,AA452*2,AA452)))</f>
        <v>0.18256576313251005</v>
      </c>
      <c r="AC452" t="b">
        <f t="shared" ref="AC452:AC515" si="50">AB452=Z452</f>
        <v>1</v>
      </c>
    </row>
    <row r="453" spans="1:29" x14ac:dyDescent="0.25">
      <c r="A453" s="52" t="s">
        <v>259</v>
      </c>
      <c r="B453" s="46">
        <v>30013</v>
      </c>
      <c r="C453" s="47">
        <v>45790</v>
      </c>
      <c r="D453" s="46">
        <v>311500</v>
      </c>
      <c r="E453" s="46">
        <v>2</v>
      </c>
      <c r="F453" s="52" t="s">
        <v>2097</v>
      </c>
      <c r="G453" s="46">
        <v>6</v>
      </c>
      <c r="H453" s="52" t="s">
        <v>784</v>
      </c>
      <c r="I453" s="46"/>
      <c r="J453" s="46">
        <v>0</v>
      </c>
      <c r="K453" s="46"/>
      <c r="L453" s="52" t="s">
        <v>261</v>
      </c>
      <c r="M453" s="53">
        <v>9500000</v>
      </c>
      <c r="N453" s="46">
        <v>72</v>
      </c>
      <c r="O453" s="46">
        <v>0</v>
      </c>
      <c r="P453" s="46">
        <v>1</v>
      </c>
      <c r="Q453" s="46">
        <v>11</v>
      </c>
      <c r="R453" s="53">
        <v>169433</v>
      </c>
      <c r="S453" s="46">
        <v>1</v>
      </c>
      <c r="T453" s="53">
        <v>442500</v>
      </c>
      <c r="U453" s="53">
        <f t="shared" si="47"/>
        <v>106700</v>
      </c>
      <c r="V453" s="53">
        <v>1</v>
      </c>
      <c r="W453" s="53">
        <v>191100</v>
      </c>
      <c r="X453" s="46">
        <v>1</v>
      </c>
      <c r="Y453" s="46">
        <v>1</v>
      </c>
      <c r="Z453" s="50">
        <v>0.16127297245104999</v>
      </c>
      <c r="AA453" s="15">
        <f t="shared" si="48"/>
        <v>1.3439414370920832E-2</v>
      </c>
      <c r="AB453" s="15">
        <f t="shared" si="49"/>
        <v>0.16127297245104999</v>
      </c>
      <c r="AC453" t="b">
        <f t="shared" si="50"/>
        <v>1</v>
      </c>
    </row>
    <row r="454" spans="1:29" x14ac:dyDescent="0.25">
      <c r="A454" s="52" t="s">
        <v>259</v>
      </c>
      <c r="B454" s="46">
        <v>30013</v>
      </c>
      <c r="C454" s="47">
        <v>45790</v>
      </c>
      <c r="D454" s="46">
        <v>311500</v>
      </c>
      <c r="E454" s="46">
        <v>2</v>
      </c>
      <c r="F454" s="52" t="s">
        <v>2098</v>
      </c>
      <c r="G454" s="46">
        <v>6</v>
      </c>
      <c r="H454" s="52" t="s">
        <v>1642</v>
      </c>
      <c r="I454" s="46"/>
      <c r="J454" s="46">
        <v>0</v>
      </c>
      <c r="K454" s="46"/>
      <c r="L454" s="52" t="s">
        <v>261</v>
      </c>
      <c r="M454" s="53">
        <v>5500000</v>
      </c>
      <c r="N454" s="46">
        <v>60</v>
      </c>
      <c r="O454" s="46">
        <v>0</v>
      </c>
      <c r="P454" s="46">
        <v>1</v>
      </c>
      <c r="Q454" s="46">
        <v>12</v>
      </c>
      <c r="R454" s="53">
        <v>163488</v>
      </c>
      <c r="S454" s="46">
        <v>1</v>
      </c>
      <c r="T454" s="53">
        <v>216250</v>
      </c>
      <c r="U454" s="53">
        <f t="shared" si="47"/>
        <v>66700</v>
      </c>
      <c r="V454" s="53">
        <v>1</v>
      </c>
      <c r="W454" s="53">
        <v>128741</v>
      </c>
      <c r="X454" s="46">
        <v>1</v>
      </c>
      <c r="Y454" s="46">
        <v>1</v>
      </c>
      <c r="Z454" s="50">
        <v>0.18150368394951813</v>
      </c>
      <c r="AA454" s="15">
        <f t="shared" si="48"/>
        <v>1.5125306995793177E-2</v>
      </c>
      <c r="AB454" s="15">
        <f t="shared" si="49"/>
        <v>0.18150368394951813</v>
      </c>
      <c r="AC454" t="b">
        <f t="shared" si="50"/>
        <v>1</v>
      </c>
    </row>
    <row r="455" spans="1:29" x14ac:dyDescent="0.25">
      <c r="A455" s="52" t="s">
        <v>259</v>
      </c>
      <c r="B455" s="46">
        <v>30013</v>
      </c>
      <c r="C455" s="47">
        <v>45790</v>
      </c>
      <c r="D455" s="46">
        <v>311500</v>
      </c>
      <c r="E455" s="46">
        <v>2</v>
      </c>
      <c r="F455" s="52" t="s">
        <v>2099</v>
      </c>
      <c r="G455" s="46">
        <v>6</v>
      </c>
      <c r="H455" s="52" t="s">
        <v>784</v>
      </c>
      <c r="I455" s="46"/>
      <c r="J455" s="46">
        <v>0</v>
      </c>
      <c r="K455" s="46"/>
      <c r="L455" s="52" t="s">
        <v>261</v>
      </c>
      <c r="M455" s="53">
        <v>4250000</v>
      </c>
      <c r="N455" s="46">
        <v>60</v>
      </c>
      <c r="O455" s="46">
        <v>0</v>
      </c>
      <c r="P455" s="46">
        <v>1</v>
      </c>
      <c r="Q455" s="46">
        <v>13</v>
      </c>
      <c r="R455" s="53">
        <v>126331</v>
      </c>
      <c r="S455" s="46">
        <v>1</v>
      </c>
      <c r="T455" s="53">
        <v>169375</v>
      </c>
      <c r="U455" s="53">
        <f t="shared" si="47"/>
        <v>54200</v>
      </c>
      <c r="V455" s="53">
        <v>1</v>
      </c>
      <c r="W455" s="53">
        <v>102130</v>
      </c>
      <c r="X455" s="46">
        <v>1</v>
      </c>
      <c r="Y455" s="46">
        <v>1</v>
      </c>
      <c r="Z455" s="50">
        <v>0.19445953104728458</v>
      </c>
      <c r="AA455" s="15">
        <f t="shared" si="48"/>
        <v>1.620496092060705E-2</v>
      </c>
      <c r="AB455" s="15">
        <f t="shared" si="49"/>
        <v>0.19445953104728458</v>
      </c>
      <c r="AC455" t="b">
        <f t="shared" si="50"/>
        <v>1</v>
      </c>
    </row>
    <row r="456" spans="1:29" x14ac:dyDescent="0.25">
      <c r="A456" s="52" t="s">
        <v>259</v>
      </c>
      <c r="B456" s="46">
        <v>30013</v>
      </c>
      <c r="C456" s="47">
        <v>45790</v>
      </c>
      <c r="D456" s="46">
        <v>311500</v>
      </c>
      <c r="E456" s="46">
        <v>2</v>
      </c>
      <c r="F456" s="52" t="s">
        <v>2100</v>
      </c>
      <c r="G456" s="46">
        <v>6</v>
      </c>
      <c r="H456" s="52" t="s">
        <v>1642</v>
      </c>
      <c r="I456" s="46"/>
      <c r="J456" s="46">
        <v>0</v>
      </c>
      <c r="K456" s="46"/>
      <c r="L456" s="52" t="s">
        <v>231</v>
      </c>
      <c r="M456" s="53">
        <v>9000000</v>
      </c>
      <c r="N456" s="46">
        <v>60</v>
      </c>
      <c r="O456" s="46">
        <v>0</v>
      </c>
      <c r="P456" s="46">
        <v>1</v>
      </c>
      <c r="Q456" s="46">
        <v>10</v>
      </c>
      <c r="R456" s="53">
        <v>267525</v>
      </c>
      <c r="S456" s="46">
        <v>1</v>
      </c>
      <c r="T456" s="53">
        <v>352500</v>
      </c>
      <c r="U456" s="53">
        <f t="shared" si="47"/>
        <v>101700</v>
      </c>
      <c r="V456" s="53">
        <v>1</v>
      </c>
      <c r="W456" s="53">
        <v>199700</v>
      </c>
      <c r="X456" s="46">
        <v>1</v>
      </c>
      <c r="Y456" s="46">
        <v>1</v>
      </c>
      <c r="Z456" s="50">
        <v>0.15632799889440951</v>
      </c>
      <c r="AA456" s="15">
        <f t="shared" si="48"/>
        <v>1.3027333241200792E-2</v>
      </c>
      <c r="AB456" s="15">
        <f t="shared" si="49"/>
        <v>0.15632799889440951</v>
      </c>
      <c r="AC456" t="b">
        <f t="shared" si="50"/>
        <v>1</v>
      </c>
    </row>
    <row r="457" spans="1:29" x14ac:dyDescent="0.25">
      <c r="A457" s="52" t="s">
        <v>259</v>
      </c>
      <c r="B457" s="46">
        <v>30013</v>
      </c>
      <c r="C457" s="47">
        <v>45790</v>
      </c>
      <c r="D457" s="46">
        <v>311500</v>
      </c>
      <c r="E457" s="46">
        <v>2</v>
      </c>
      <c r="F457" s="52" t="s">
        <v>2101</v>
      </c>
      <c r="G457" s="46">
        <v>6</v>
      </c>
      <c r="H457" s="52" t="s">
        <v>1642</v>
      </c>
      <c r="I457" s="46"/>
      <c r="J457" s="46">
        <v>0</v>
      </c>
      <c r="K457" s="46"/>
      <c r="L457" s="52" t="s">
        <v>690</v>
      </c>
      <c r="M457" s="53">
        <v>10000000</v>
      </c>
      <c r="N457" s="46">
        <v>48</v>
      </c>
      <c r="O457" s="46">
        <v>0</v>
      </c>
      <c r="P457" s="46">
        <v>1</v>
      </c>
      <c r="Q457" s="46">
        <v>10</v>
      </c>
      <c r="R457" s="53">
        <v>297250</v>
      </c>
      <c r="S457" s="46">
        <v>1</v>
      </c>
      <c r="T457" s="53">
        <v>315000</v>
      </c>
      <c r="U457" s="53">
        <f t="shared" si="47"/>
        <v>111700</v>
      </c>
      <c r="V457" s="53">
        <v>1</v>
      </c>
      <c r="W457" s="53">
        <v>262799</v>
      </c>
      <c r="X457" s="46">
        <v>1</v>
      </c>
      <c r="Y457" s="46">
        <v>1</v>
      </c>
      <c r="Z457" s="50">
        <v>0.15981714499942351</v>
      </c>
      <c r="AA457" s="15">
        <f t="shared" si="48"/>
        <v>1.3318095416618627E-2</v>
      </c>
      <c r="AB457" s="15">
        <f t="shared" si="49"/>
        <v>0.15981714499942351</v>
      </c>
      <c r="AC457" t="b">
        <f t="shared" si="50"/>
        <v>1</v>
      </c>
    </row>
    <row r="458" spans="1:29" x14ac:dyDescent="0.25">
      <c r="A458" s="52" t="s">
        <v>259</v>
      </c>
      <c r="B458" s="46">
        <v>30013</v>
      </c>
      <c r="C458" s="47">
        <v>45790</v>
      </c>
      <c r="D458" s="46">
        <v>311500</v>
      </c>
      <c r="E458" s="46">
        <v>2</v>
      </c>
      <c r="F458" s="52" t="s">
        <v>711</v>
      </c>
      <c r="G458" s="46">
        <v>6</v>
      </c>
      <c r="H458" s="52" t="s">
        <v>784</v>
      </c>
      <c r="I458" s="46"/>
      <c r="J458" s="46">
        <v>0</v>
      </c>
      <c r="K458" s="46"/>
      <c r="L458" s="52" t="s">
        <v>261</v>
      </c>
      <c r="M458" s="53">
        <v>5000000</v>
      </c>
      <c r="N458" s="46">
        <v>60</v>
      </c>
      <c r="O458" s="46">
        <v>0</v>
      </c>
      <c r="P458" s="46">
        <v>1</v>
      </c>
      <c r="Q458" s="46">
        <v>12</v>
      </c>
      <c r="R458" s="53">
        <v>148625</v>
      </c>
      <c r="S458" s="46">
        <v>1</v>
      </c>
      <c r="T458" s="53">
        <v>197500</v>
      </c>
      <c r="U458" s="53">
        <f t="shared" si="47"/>
        <v>61700</v>
      </c>
      <c r="V458" s="53">
        <v>1</v>
      </c>
      <c r="W458" s="53">
        <v>117037</v>
      </c>
      <c r="X458" s="46">
        <v>1</v>
      </c>
      <c r="Y458" s="46">
        <v>1</v>
      </c>
      <c r="Z458" s="50">
        <v>0.18170335041994667</v>
      </c>
      <c r="AA458" s="15">
        <f t="shared" si="48"/>
        <v>1.5141945868328888E-2</v>
      </c>
      <c r="AB458" s="15">
        <f t="shared" si="49"/>
        <v>0.18170335041994667</v>
      </c>
      <c r="AC458" t="b">
        <f t="shared" si="50"/>
        <v>1</v>
      </c>
    </row>
    <row r="459" spans="1:29" x14ac:dyDescent="0.25">
      <c r="A459" s="52" t="s">
        <v>259</v>
      </c>
      <c r="B459" s="46">
        <v>30013</v>
      </c>
      <c r="C459" s="47">
        <v>45790</v>
      </c>
      <c r="D459" s="46">
        <v>311500</v>
      </c>
      <c r="E459" s="46">
        <v>2</v>
      </c>
      <c r="F459" s="52" t="s">
        <v>2102</v>
      </c>
      <c r="G459" s="46">
        <v>6</v>
      </c>
      <c r="H459" s="52" t="s">
        <v>784</v>
      </c>
      <c r="I459" s="46"/>
      <c r="J459" s="46">
        <v>0</v>
      </c>
      <c r="K459" s="46"/>
      <c r="L459" s="52" t="s">
        <v>270</v>
      </c>
      <c r="M459" s="53">
        <v>1600000</v>
      </c>
      <c r="N459" s="46">
        <v>48</v>
      </c>
      <c r="O459" s="46">
        <v>0</v>
      </c>
      <c r="P459" s="46">
        <v>1</v>
      </c>
      <c r="Q459" s="46">
        <v>13</v>
      </c>
      <c r="R459" s="53">
        <v>40723</v>
      </c>
      <c r="S459" s="46">
        <v>1</v>
      </c>
      <c r="T459" s="53">
        <v>0</v>
      </c>
      <c r="U459" s="53">
        <f t="shared" si="47"/>
        <v>27700</v>
      </c>
      <c r="V459" s="53">
        <v>1</v>
      </c>
      <c r="W459" s="53">
        <v>44901</v>
      </c>
      <c r="X459" s="46">
        <v>1</v>
      </c>
      <c r="Y459" s="46">
        <v>1</v>
      </c>
      <c r="Z459" s="50">
        <v>0.17888640495223318</v>
      </c>
      <c r="AA459" s="15">
        <f t="shared" si="48"/>
        <v>1.4907200412686099E-2</v>
      </c>
      <c r="AB459" s="15">
        <f t="shared" si="49"/>
        <v>0.17888640495223318</v>
      </c>
      <c r="AC459" t="b">
        <f t="shared" si="50"/>
        <v>1</v>
      </c>
    </row>
    <row r="460" spans="1:29" x14ac:dyDescent="0.25">
      <c r="A460" s="52" t="s">
        <v>259</v>
      </c>
      <c r="B460" s="46">
        <v>30013</v>
      </c>
      <c r="C460" s="47">
        <v>45790</v>
      </c>
      <c r="D460" s="46">
        <v>311500</v>
      </c>
      <c r="E460" s="46">
        <v>2</v>
      </c>
      <c r="F460" s="52" t="s">
        <v>2103</v>
      </c>
      <c r="G460" s="46">
        <v>6</v>
      </c>
      <c r="H460" s="52" t="s">
        <v>1650</v>
      </c>
      <c r="I460" s="46"/>
      <c r="J460" s="46">
        <v>0</v>
      </c>
      <c r="K460" s="46"/>
      <c r="L460" s="52" t="s">
        <v>693</v>
      </c>
      <c r="M460" s="53">
        <v>3000000</v>
      </c>
      <c r="N460" s="46">
        <v>36</v>
      </c>
      <c r="O460" s="46">
        <v>0</v>
      </c>
      <c r="P460" s="46">
        <v>1</v>
      </c>
      <c r="Q460" s="46">
        <v>12</v>
      </c>
      <c r="R460" s="53">
        <v>89175</v>
      </c>
      <c r="S460" s="46">
        <v>1</v>
      </c>
      <c r="T460" s="53">
        <v>77500</v>
      </c>
      <c r="U460" s="53">
        <f t="shared" si="47"/>
        <v>41700</v>
      </c>
      <c r="V460" s="53">
        <v>1</v>
      </c>
      <c r="W460" s="53">
        <v>102924</v>
      </c>
      <c r="X460" s="46">
        <v>1</v>
      </c>
      <c r="Y460" s="46">
        <v>1</v>
      </c>
      <c r="Z460" s="50">
        <v>0.19420258016823416</v>
      </c>
      <c r="AA460" s="15">
        <f t="shared" si="48"/>
        <v>1.6183548347352847E-2</v>
      </c>
      <c r="AB460" s="15">
        <f t="shared" si="49"/>
        <v>0.19420258016823416</v>
      </c>
      <c r="AC460" t="b">
        <f t="shared" si="50"/>
        <v>1</v>
      </c>
    </row>
    <row r="461" spans="1:29" x14ac:dyDescent="0.25">
      <c r="A461" s="52" t="s">
        <v>259</v>
      </c>
      <c r="B461" s="46">
        <v>30013</v>
      </c>
      <c r="C461" s="47">
        <v>45791</v>
      </c>
      <c r="D461" s="46">
        <v>311500</v>
      </c>
      <c r="E461" s="46">
        <v>2</v>
      </c>
      <c r="F461" s="52" t="s">
        <v>2104</v>
      </c>
      <c r="G461" s="46">
        <v>6</v>
      </c>
      <c r="H461" s="52" t="s">
        <v>784</v>
      </c>
      <c r="I461" s="46"/>
      <c r="J461" s="46">
        <v>0</v>
      </c>
      <c r="K461" s="46"/>
      <c r="L461" s="52" t="s">
        <v>700</v>
      </c>
      <c r="M461" s="53">
        <v>5000000</v>
      </c>
      <c r="N461" s="46">
        <v>60</v>
      </c>
      <c r="O461" s="46">
        <v>0</v>
      </c>
      <c r="P461" s="46">
        <v>1</v>
      </c>
      <c r="Q461" s="46">
        <v>12</v>
      </c>
      <c r="R461" s="53">
        <v>148625</v>
      </c>
      <c r="S461" s="46">
        <v>1</v>
      </c>
      <c r="T461" s="53">
        <v>197500</v>
      </c>
      <c r="U461" s="53">
        <f t="shared" si="47"/>
        <v>61700</v>
      </c>
      <c r="V461" s="53">
        <v>1</v>
      </c>
      <c r="W461" s="53">
        <v>117037</v>
      </c>
      <c r="X461" s="46">
        <v>1</v>
      </c>
      <c r="Y461" s="46">
        <v>1</v>
      </c>
      <c r="Z461" s="50">
        <v>0.18170335041994667</v>
      </c>
      <c r="AA461" s="15">
        <f t="shared" si="48"/>
        <v>1.5141945868328888E-2</v>
      </c>
      <c r="AB461" s="15">
        <f t="shared" si="49"/>
        <v>0.18170335041994667</v>
      </c>
      <c r="AC461" t="b">
        <f t="shared" si="50"/>
        <v>1</v>
      </c>
    </row>
    <row r="462" spans="1:29" x14ac:dyDescent="0.25">
      <c r="A462" s="52" t="s">
        <v>259</v>
      </c>
      <c r="B462" s="46">
        <v>30013</v>
      </c>
      <c r="C462" s="47">
        <v>45791</v>
      </c>
      <c r="D462" s="46">
        <v>311500</v>
      </c>
      <c r="E462" s="46">
        <v>2</v>
      </c>
      <c r="F462" s="52" t="s">
        <v>705</v>
      </c>
      <c r="G462" s="46">
        <v>6</v>
      </c>
      <c r="H462" s="52" t="s">
        <v>784</v>
      </c>
      <c r="I462" s="46"/>
      <c r="J462" s="46">
        <v>0</v>
      </c>
      <c r="K462" s="46"/>
      <c r="L462" s="52" t="s">
        <v>261</v>
      </c>
      <c r="M462" s="53">
        <v>5100000</v>
      </c>
      <c r="N462" s="46">
        <v>60</v>
      </c>
      <c r="O462" s="46">
        <v>0</v>
      </c>
      <c r="P462" s="46">
        <v>1</v>
      </c>
      <c r="Q462" s="46">
        <v>13</v>
      </c>
      <c r="R462" s="53">
        <v>151598</v>
      </c>
      <c r="S462" s="46">
        <v>1</v>
      </c>
      <c r="T462" s="53">
        <v>201250</v>
      </c>
      <c r="U462" s="53">
        <f t="shared" si="47"/>
        <v>62700</v>
      </c>
      <c r="V462" s="53">
        <v>1</v>
      </c>
      <c r="W462" s="53">
        <v>122555</v>
      </c>
      <c r="X462" s="46">
        <v>1</v>
      </c>
      <c r="Y462" s="46">
        <v>1</v>
      </c>
      <c r="Z462" s="50">
        <v>0.19401692668290235</v>
      </c>
      <c r="AA462" s="15">
        <f t="shared" si="48"/>
        <v>1.6168077223575196E-2</v>
      </c>
      <c r="AB462" s="15">
        <f t="shared" si="49"/>
        <v>0.19401692668290235</v>
      </c>
      <c r="AC462" t="b">
        <f t="shared" si="50"/>
        <v>1</v>
      </c>
    </row>
    <row r="463" spans="1:29" x14ac:dyDescent="0.25">
      <c r="A463" s="52" t="s">
        <v>259</v>
      </c>
      <c r="B463" s="46">
        <v>30013</v>
      </c>
      <c r="C463" s="47">
        <v>45791</v>
      </c>
      <c r="D463" s="46">
        <v>311500</v>
      </c>
      <c r="E463" s="46">
        <v>2</v>
      </c>
      <c r="F463" s="52" t="s">
        <v>2105</v>
      </c>
      <c r="G463" s="46">
        <v>6</v>
      </c>
      <c r="H463" s="52" t="s">
        <v>1642</v>
      </c>
      <c r="I463" s="46"/>
      <c r="J463" s="46">
        <v>0</v>
      </c>
      <c r="K463" s="46"/>
      <c r="L463" s="52" t="s">
        <v>686</v>
      </c>
      <c r="M463" s="53">
        <v>5000000</v>
      </c>
      <c r="N463" s="46">
        <v>84</v>
      </c>
      <c r="O463" s="46">
        <v>0</v>
      </c>
      <c r="P463" s="46">
        <v>1</v>
      </c>
      <c r="Q463" s="46">
        <v>8</v>
      </c>
      <c r="R463" s="53">
        <v>89175</v>
      </c>
      <c r="S463" s="46">
        <v>1</v>
      </c>
      <c r="T463" s="53">
        <v>272500</v>
      </c>
      <c r="U463" s="53">
        <f t="shared" si="47"/>
        <v>61700</v>
      </c>
      <c r="V463" s="53">
        <v>1</v>
      </c>
      <c r="W463" s="53">
        <v>81751</v>
      </c>
      <c r="X463" s="46">
        <v>1</v>
      </c>
      <c r="Y463" s="46">
        <v>1</v>
      </c>
      <c r="Z463" s="50">
        <v>0.12391393532540862</v>
      </c>
      <c r="AA463" s="15">
        <f t="shared" si="48"/>
        <v>1.0326161277117385E-2</v>
      </c>
      <c r="AB463" s="15">
        <f t="shared" si="49"/>
        <v>0.12391393532540862</v>
      </c>
      <c r="AC463" t="b">
        <f t="shared" si="50"/>
        <v>1</v>
      </c>
    </row>
    <row r="464" spans="1:29" x14ac:dyDescent="0.25">
      <c r="A464" s="52" t="s">
        <v>259</v>
      </c>
      <c r="B464" s="46">
        <v>30013</v>
      </c>
      <c r="C464" s="47">
        <v>45791</v>
      </c>
      <c r="D464" s="46">
        <v>321300</v>
      </c>
      <c r="E464" s="46">
        <v>2</v>
      </c>
      <c r="F464" s="52" t="s">
        <v>2106</v>
      </c>
      <c r="G464" s="46">
        <v>6</v>
      </c>
      <c r="H464" s="52" t="s">
        <v>1642</v>
      </c>
      <c r="I464" s="46"/>
      <c r="J464" s="46">
        <v>0</v>
      </c>
      <c r="K464" s="46"/>
      <c r="L464" s="52" t="s">
        <v>231</v>
      </c>
      <c r="M464" s="53">
        <v>2800000</v>
      </c>
      <c r="N464" s="46">
        <v>24</v>
      </c>
      <c r="O464" s="46">
        <v>0</v>
      </c>
      <c r="P464" s="46">
        <v>1</v>
      </c>
      <c r="Q464" s="46">
        <v>12</v>
      </c>
      <c r="R464" s="53">
        <v>83230</v>
      </c>
      <c r="S464" s="46">
        <v>1</v>
      </c>
      <c r="T464" s="53">
        <v>52000</v>
      </c>
      <c r="U464" s="53">
        <f t="shared" si="47"/>
        <v>39700</v>
      </c>
      <c r="V464" s="53">
        <v>1</v>
      </c>
      <c r="W464" s="53">
        <v>134791</v>
      </c>
      <c r="X464" s="46">
        <v>1</v>
      </c>
      <c r="Y464" s="46">
        <v>1</v>
      </c>
      <c r="Z464" s="50">
        <v>0.20922480479899308</v>
      </c>
      <c r="AA464" s="15">
        <f t="shared" si="48"/>
        <v>1.743540039991609E-2</v>
      </c>
      <c r="AB464" s="15">
        <f t="shared" si="49"/>
        <v>0.20922480479899308</v>
      </c>
      <c r="AC464" t="b">
        <f t="shared" si="50"/>
        <v>1</v>
      </c>
    </row>
    <row r="465" spans="1:29" x14ac:dyDescent="0.25">
      <c r="A465" s="52" t="s">
        <v>259</v>
      </c>
      <c r="B465" s="46">
        <v>30013</v>
      </c>
      <c r="C465" s="47">
        <v>45791</v>
      </c>
      <c r="D465" s="46">
        <v>311500</v>
      </c>
      <c r="E465" s="46">
        <v>2</v>
      </c>
      <c r="F465" s="52" t="s">
        <v>2107</v>
      </c>
      <c r="G465" s="46">
        <v>6</v>
      </c>
      <c r="H465" s="52" t="s">
        <v>1642</v>
      </c>
      <c r="I465" s="46"/>
      <c r="J465" s="46">
        <v>0</v>
      </c>
      <c r="K465" s="46"/>
      <c r="L465" s="52" t="s">
        <v>686</v>
      </c>
      <c r="M465" s="53">
        <v>10000000</v>
      </c>
      <c r="N465" s="46">
        <v>84</v>
      </c>
      <c r="O465" s="46">
        <v>0</v>
      </c>
      <c r="P465" s="46">
        <v>1</v>
      </c>
      <c r="Q465" s="46">
        <v>8</v>
      </c>
      <c r="R465" s="53">
        <v>178350</v>
      </c>
      <c r="S465" s="46">
        <v>1</v>
      </c>
      <c r="T465" s="53">
        <v>540000</v>
      </c>
      <c r="U465" s="53">
        <f t="shared" si="47"/>
        <v>111700</v>
      </c>
      <c r="V465" s="53">
        <v>1</v>
      </c>
      <c r="W465" s="53">
        <v>163501</v>
      </c>
      <c r="X465" s="46">
        <v>1</v>
      </c>
      <c r="Y465" s="46">
        <v>1</v>
      </c>
      <c r="Z465" s="50">
        <v>0.12330724409438909</v>
      </c>
      <c r="AA465" s="15">
        <f t="shared" si="48"/>
        <v>1.0275603674532424E-2</v>
      </c>
      <c r="AB465" s="15">
        <f t="shared" si="49"/>
        <v>0.12330724409438909</v>
      </c>
      <c r="AC465" t="b">
        <f t="shared" si="50"/>
        <v>1</v>
      </c>
    </row>
    <row r="466" spans="1:29" x14ac:dyDescent="0.25">
      <c r="A466" s="52" t="s">
        <v>259</v>
      </c>
      <c r="B466" s="46">
        <v>30013</v>
      </c>
      <c r="C466" s="47">
        <v>45791</v>
      </c>
      <c r="D466" s="46">
        <v>311500</v>
      </c>
      <c r="E466" s="46">
        <v>2</v>
      </c>
      <c r="F466" s="52" t="s">
        <v>2108</v>
      </c>
      <c r="G466" s="46">
        <v>6</v>
      </c>
      <c r="H466" s="52" t="s">
        <v>784</v>
      </c>
      <c r="I466" s="46"/>
      <c r="J466" s="46">
        <v>0</v>
      </c>
      <c r="K466" s="46"/>
      <c r="L466" s="52" t="s">
        <v>691</v>
      </c>
      <c r="M466" s="53">
        <v>4700000</v>
      </c>
      <c r="N466" s="46">
        <v>60</v>
      </c>
      <c r="O466" s="46">
        <v>0</v>
      </c>
      <c r="P466" s="46">
        <v>1</v>
      </c>
      <c r="Q466" s="46">
        <v>12</v>
      </c>
      <c r="R466" s="53">
        <v>139708</v>
      </c>
      <c r="S466" s="46">
        <v>1</v>
      </c>
      <c r="T466" s="53">
        <v>186250</v>
      </c>
      <c r="U466" s="53">
        <f t="shared" si="47"/>
        <v>58700</v>
      </c>
      <c r="V466" s="53">
        <v>1</v>
      </c>
      <c r="W466" s="53">
        <v>110015</v>
      </c>
      <c r="X466" s="46">
        <v>1</v>
      </c>
      <c r="Y466" s="46">
        <v>1</v>
      </c>
      <c r="Z466" s="50">
        <v>0.18184540389109152</v>
      </c>
      <c r="AA466" s="15">
        <f t="shared" si="48"/>
        <v>1.515378365759096E-2</v>
      </c>
      <c r="AB466" s="15">
        <f t="shared" si="49"/>
        <v>0.18184540389109152</v>
      </c>
      <c r="AC466" t="b">
        <f t="shared" si="50"/>
        <v>1</v>
      </c>
    </row>
    <row r="467" spans="1:29" x14ac:dyDescent="0.25">
      <c r="A467" s="52" t="s">
        <v>259</v>
      </c>
      <c r="B467" s="46">
        <v>30013</v>
      </c>
      <c r="C467" s="47">
        <v>45791</v>
      </c>
      <c r="D467" s="46">
        <v>311500</v>
      </c>
      <c r="E467" s="46">
        <v>2</v>
      </c>
      <c r="F467" s="52" t="s">
        <v>2109</v>
      </c>
      <c r="G467" s="46">
        <v>6</v>
      </c>
      <c r="H467" s="52" t="s">
        <v>1642</v>
      </c>
      <c r="I467" s="46"/>
      <c r="J467" s="46">
        <v>0</v>
      </c>
      <c r="K467" s="46"/>
      <c r="L467" s="52" t="s">
        <v>231</v>
      </c>
      <c r="M467" s="53">
        <v>10000000</v>
      </c>
      <c r="N467" s="46">
        <v>48</v>
      </c>
      <c r="O467" s="46">
        <v>0</v>
      </c>
      <c r="P467" s="46">
        <v>1</v>
      </c>
      <c r="Q467" s="46">
        <v>9</v>
      </c>
      <c r="R467" s="53">
        <v>297250</v>
      </c>
      <c r="S467" s="46">
        <v>1</v>
      </c>
      <c r="T467" s="53">
        <v>315000</v>
      </c>
      <c r="U467" s="53">
        <f t="shared" si="47"/>
        <v>111700</v>
      </c>
      <c r="V467" s="53">
        <v>1</v>
      </c>
      <c r="W467" s="53">
        <v>257006</v>
      </c>
      <c r="X467" s="46">
        <v>1</v>
      </c>
      <c r="Y467" s="46">
        <v>1</v>
      </c>
      <c r="Z467" s="50">
        <v>0.14754389394740203</v>
      </c>
      <c r="AA467" s="15">
        <f t="shared" si="48"/>
        <v>1.2295324495616836E-2</v>
      </c>
      <c r="AB467" s="15">
        <f t="shared" si="49"/>
        <v>0.14754389394740203</v>
      </c>
      <c r="AC467" t="b">
        <f t="shared" si="50"/>
        <v>1</v>
      </c>
    </row>
    <row r="468" spans="1:29" x14ac:dyDescent="0.25">
      <c r="A468" s="52" t="s">
        <v>259</v>
      </c>
      <c r="B468" s="46">
        <v>30013</v>
      </c>
      <c r="C468" s="47">
        <v>45791</v>
      </c>
      <c r="D468" s="46">
        <v>311500</v>
      </c>
      <c r="E468" s="46">
        <v>2</v>
      </c>
      <c r="F468" s="52" t="s">
        <v>2110</v>
      </c>
      <c r="G468" s="46">
        <v>6</v>
      </c>
      <c r="H468" s="52" t="s">
        <v>784</v>
      </c>
      <c r="I468" s="46"/>
      <c r="J468" s="46">
        <v>0</v>
      </c>
      <c r="K468" s="46"/>
      <c r="L468" s="52" t="s">
        <v>261</v>
      </c>
      <c r="M468" s="53">
        <v>3400000</v>
      </c>
      <c r="N468" s="46">
        <v>60</v>
      </c>
      <c r="O468" s="46">
        <v>0</v>
      </c>
      <c r="P468" s="46">
        <v>1</v>
      </c>
      <c r="Q468" s="46">
        <v>13</v>
      </c>
      <c r="R468" s="53">
        <v>101065</v>
      </c>
      <c r="S468" s="46">
        <v>1</v>
      </c>
      <c r="T468" s="53">
        <v>137500</v>
      </c>
      <c r="U468" s="53">
        <f t="shared" si="47"/>
        <v>45700</v>
      </c>
      <c r="V468" s="53">
        <v>1</v>
      </c>
      <c r="W468" s="53">
        <v>81704</v>
      </c>
      <c r="X468" s="46">
        <v>1</v>
      </c>
      <c r="Y468" s="46">
        <v>1</v>
      </c>
      <c r="Z468" s="50">
        <v>0.19511891948293608</v>
      </c>
      <c r="AA468" s="15">
        <f t="shared" si="48"/>
        <v>1.6259909956911341E-2</v>
      </c>
      <c r="AB468" s="15">
        <f t="shared" si="49"/>
        <v>0.19511891948293608</v>
      </c>
      <c r="AC468" t="b">
        <f t="shared" si="50"/>
        <v>1</v>
      </c>
    </row>
    <row r="469" spans="1:29" x14ac:dyDescent="0.25">
      <c r="A469" s="52" t="s">
        <v>259</v>
      </c>
      <c r="B469" s="46">
        <v>30013</v>
      </c>
      <c r="C469" s="47">
        <v>45791</v>
      </c>
      <c r="D469" s="46">
        <v>311500</v>
      </c>
      <c r="E469" s="46">
        <v>2</v>
      </c>
      <c r="F469" s="52" t="s">
        <v>2111</v>
      </c>
      <c r="G469" s="46">
        <v>6</v>
      </c>
      <c r="H469" s="52" t="s">
        <v>784</v>
      </c>
      <c r="I469" s="46"/>
      <c r="J469" s="46">
        <v>0</v>
      </c>
      <c r="K469" s="46"/>
      <c r="L469" s="52" t="s">
        <v>261</v>
      </c>
      <c r="M469" s="53">
        <v>4300000</v>
      </c>
      <c r="N469" s="46">
        <v>60</v>
      </c>
      <c r="O469" s="46">
        <v>0</v>
      </c>
      <c r="P469" s="46">
        <v>1</v>
      </c>
      <c r="Q469" s="46">
        <v>12</v>
      </c>
      <c r="R469" s="53">
        <v>127818</v>
      </c>
      <c r="S469" s="46">
        <v>1</v>
      </c>
      <c r="T469" s="53">
        <v>171250</v>
      </c>
      <c r="U469" s="53">
        <f t="shared" si="47"/>
        <v>54700</v>
      </c>
      <c r="V469" s="53">
        <v>1</v>
      </c>
      <c r="W469" s="53">
        <v>100652</v>
      </c>
      <c r="X469" s="46">
        <v>1</v>
      </c>
      <c r="Y469" s="46">
        <v>1</v>
      </c>
      <c r="Z469" s="50">
        <v>0.18206413750872019</v>
      </c>
      <c r="AA469" s="15">
        <f t="shared" si="48"/>
        <v>1.5172011459060017E-2</v>
      </c>
      <c r="AB469" s="15">
        <f t="shared" si="49"/>
        <v>0.18206413750872019</v>
      </c>
      <c r="AC469" t="b">
        <f t="shared" si="50"/>
        <v>1</v>
      </c>
    </row>
    <row r="470" spans="1:29" x14ac:dyDescent="0.25">
      <c r="A470" s="52" t="s">
        <v>259</v>
      </c>
      <c r="B470" s="46">
        <v>30013</v>
      </c>
      <c r="C470" s="47">
        <v>45791</v>
      </c>
      <c r="D470" s="46">
        <v>311500</v>
      </c>
      <c r="E470" s="46">
        <v>2</v>
      </c>
      <c r="F470" s="52" t="s">
        <v>2112</v>
      </c>
      <c r="G470" s="46">
        <v>6</v>
      </c>
      <c r="H470" s="52" t="s">
        <v>784</v>
      </c>
      <c r="I470" s="46"/>
      <c r="J470" s="46">
        <v>0</v>
      </c>
      <c r="K470" s="46"/>
      <c r="L470" s="52" t="s">
        <v>261</v>
      </c>
      <c r="M470" s="53">
        <v>5100000</v>
      </c>
      <c r="N470" s="46">
        <v>60</v>
      </c>
      <c r="O470" s="46">
        <v>0</v>
      </c>
      <c r="P470" s="46">
        <v>1</v>
      </c>
      <c r="Q470" s="46">
        <v>12</v>
      </c>
      <c r="R470" s="53">
        <v>151598</v>
      </c>
      <c r="S470" s="46">
        <v>1</v>
      </c>
      <c r="T470" s="53">
        <v>201250</v>
      </c>
      <c r="U470" s="53">
        <f t="shared" si="47"/>
        <v>62700</v>
      </c>
      <c r="V470" s="53">
        <v>1</v>
      </c>
      <c r="W470" s="53">
        <v>119378</v>
      </c>
      <c r="X470" s="46">
        <v>1</v>
      </c>
      <c r="Y470" s="46">
        <v>1</v>
      </c>
      <c r="Z470" s="50">
        <v>0.18166109772537459</v>
      </c>
      <c r="AA470" s="15">
        <f t="shared" si="48"/>
        <v>1.5138424810447882E-2</v>
      </c>
      <c r="AB470" s="15">
        <f t="shared" si="49"/>
        <v>0.18166109772537459</v>
      </c>
      <c r="AC470" t="b">
        <f t="shared" si="50"/>
        <v>1</v>
      </c>
    </row>
    <row r="471" spans="1:29" x14ac:dyDescent="0.25">
      <c r="A471" s="52" t="s">
        <v>259</v>
      </c>
      <c r="B471" s="46">
        <v>30013</v>
      </c>
      <c r="C471" s="47">
        <v>45791</v>
      </c>
      <c r="D471" s="46">
        <v>311500</v>
      </c>
      <c r="E471" s="46">
        <v>2</v>
      </c>
      <c r="F471" s="52" t="s">
        <v>2113</v>
      </c>
      <c r="G471" s="46">
        <v>6</v>
      </c>
      <c r="H471" s="52" t="s">
        <v>784</v>
      </c>
      <c r="I471" s="46"/>
      <c r="J471" s="46">
        <v>0</v>
      </c>
      <c r="K471" s="46"/>
      <c r="L471" s="52" t="s">
        <v>261</v>
      </c>
      <c r="M471" s="55">
        <v>3100000</v>
      </c>
      <c r="N471" s="46">
        <v>48</v>
      </c>
      <c r="O471" s="46">
        <v>0</v>
      </c>
      <c r="P471" s="46">
        <v>1</v>
      </c>
      <c r="Q471" s="46">
        <v>12</v>
      </c>
      <c r="R471" s="55">
        <v>92148</v>
      </c>
      <c r="S471" s="46">
        <v>1</v>
      </c>
      <c r="T471" s="55">
        <v>103000</v>
      </c>
      <c r="U471" s="55">
        <f t="shared" si="47"/>
        <v>42700</v>
      </c>
      <c r="V471" s="55">
        <v>1</v>
      </c>
      <c r="W471" s="55">
        <v>85129</v>
      </c>
      <c r="X471" s="46">
        <v>1</v>
      </c>
      <c r="Y471" s="46">
        <v>1</v>
      </c>
      <c r="Z471" s="54">
        <v>0.1870182791870158</v>
      </c>
      <c r="AA471" s="15">
        <f t="shared" si="48"/>
        <v>1.5584856598917982E-2</v>
      </c>
      <c r="AB471" s="15">
        <f t="shared" si="49"/>
        <v>0.1870182791870158</v>
      </c>
      <c r="AC471" t="b">
        <f t="shared" si="50"/>
        <v>1</v>
      </c>
    </row>
    <row r="472" spans="1:29" x14ac:dyDescent="0.25">
      <c r="A472" s="52" t="s">
        <v>259</v>
      </c>
      <c r="B472" s="46">
        <v>30013</v>
      </c>
      <c r="C472" s="47">
        <v>45791</v>
      </c>
      <c r="D472" s="46">
        <v>311500</v>
      </c>
      <c r="E472" s="46">
        <v>2</v>
      </c>
      <c r="F472" s="52" t="s">
        <v>2114</v>
      </c>
      <c r="G472" s="46">
        <v>6</v>
      </c>
      <c r="H472" s="52" t="s">
        <v>1642</v>
      </c>
      <c r="I472" s="46"/>
      <c r="J472" s="46">
        <v>0</v>
      </c>
      <c r="K472" s="46"/>
      <c r="L472" s="52" t="s">
        <v>231</v>
      </c>
      <c r="M472" s="55">
        <v>4100000</v>
      </c>
      <c r="N472" s="46">
        <v>84</v>
      </c>
      <c r="O472" s="46">
        <v>0</v>
      </c>
      <c r="P472" s="46">
        <v>1</v>
      </c>
      <c r="Q472" s="46">
        <v>8</v>
      </c>
      <c r="R472" s="55">
        <v>73124</v>
      </c>
      <c r="S472" s="46">
        <v>1</v>
      </c>
      <c r="T472" s="55">
        <v>225250</v>
      </c>
      <c r="U472" s="55">
        <f t="shared" si="47"/>
        <v>52700</v>
      </c>
      <c r="V472" s="55">
        <v>1</v>
      </c>
      <c r="W472" s="55">
        <v>67036</v>
      </c>
      <c r="X472" s="46">
        <v>1</v>
      </c>
      <c r="Y472" s="46">
        <v>1</v>
      </c>
      <c r="Z472" s="54">
        <v>0.12426053058247638</v>
      </c>
      <c r="AA472" s="15">
        <f t="shared" si="48"/>
        <v>1.0355044215206366E-2</v>
      </c>
      <c r="AB472" s="15">
        <f t="shared" si="49"/>
        <v>0.12426053058247638</v>
      </c>
      <c r="AC472" t="b">
        <f t="shared" si="50"/>
        <v>1</v>
      </c>
    </row>
    <row r="473" spans="1:29" x14ac:dyDescent="0.25">
      <c r="A473" s="52" t="s">
        <v>259</v>
      </c>
      <c r="B473" s="46">
        <v>30013</v>
      </c>
      <c r="C473" s="47">
        <v>45791</v>
      </c>
      <c r="D473" s="46">
        <v>311500</v>
      </c>
      <c r="E473" s="46">
        <v>2</v>
      </c>
      <c r="F473" s="52" t="s">
        <v>2115</v>
      </c>
      <c r="G473" s="46">
        <v>6</v>
      </c>
      <c r="H473" s="52" t="s">
        <v>1650</v>
      </c>
      <c r="I473" s="46"/>
      <c r="J473" s="46">
        <v>0</v>
      </c>
      <c r="K473" s="46"/>
      <c r="L473" s="52" t="s">
        <v>261</v>
      </c>
      <c r="M473" s="55">
        <v>3665000</v>
      </c>
      <c r="N473" s="46">
        <v>48</v>
      </c>
      <c r="O473" s="46">
        <v>0</v>
      </c>
      <c r="P473" s="46">
        <v>1</v>
      </c>
      <c r="Q473" s="46">
        <v>12</v>
      </c>
      <c r="R473" s="55">
        <v>108942</v>
      </c>
      <c r="S473" s="46">
        <v>1</v>
      </c>
      <c r="T473" s="55">
        <v>119950</v>
      </c>
      <c r="U473" s="55">
        <f t="shared" si="47"/>
        <v>48350</v>
      </c>
      <c r="V473" s="55">
        <v>1</v>
      </c>
      <c r="W473" s="55">
        <v>100645</v>
      </c>
      <c r="X473" s="46">
        <v>1</v>
      </c>
      <c r="Y473" s="46">
        <v>1</v>
      </c>
      <c r="Z473" s="54">
        <v>0.18636111446242545</v>
      </c>
      <c r="AA473" s="15">
        <f t="shared" si="48"/>
        <v>1.5530092871868788E-2</v>
      </c>
      <c r="AB473" s="15">
        <f t="shared" si="49"/>
        <v>0.18636111446242545</v>
      </c>
      <c r="AC473" t="b">
        <f t="shared" si="50"/>
        <v>1</v>
      </c>
    </row>
    <row r="474" spans="1:29" x14ac:dyDescent="0.25">
      <c r="A474" s="52" t="s">
        <v>259</v>
      </c>
      <c r="B474" s="46">
        <v>30013</v>
      </c>
      <c r="C474" s="47">
        <v>45791</v>
      </c>
      <c r="D474" s="46">
        <v>311100</v>
      </c>
      <c r="E474" s="46">
        <v>5</v>
      </c>
      <c r="F474" s="52" t="s">
        <v>2116</v>
      </c>
      <c r="G474" s="48" t="s">
        <v>1851</v>
      </c>
      <c r="H474" s="52" t="s">
        <v>1642</v>
      </c>
      <c r="I474" s="46" t="s">
        <v>1181</v>
      </c>
      <c r="J474" s="46">
        <v>0</v>
      </c>
      <c r="K474" s="46"/>
      <c r="L474" s="52" t="s">
        <v>696</v>
      </c>
      <c r="M474" s="55">
        <v>15000000</v>
      </c>
      <c r="N474" s="46">
        <v>18</v>
      </c>
      <c r="O474" s="46">
        <v>0</v>
      </c>
      <c r="P474" s="46">
        <v>1</v>
      </c>
      <c r="Q474" s="46">
        <v>8</v>
      </c>
      <c r="R474" s="55">
        <v>178350</v>
      </c>
      <c r="S474" s="46">
        <v>1</v>
      </c>
      <c r="T474" s="55">
        <v>0</v>
      </c>
      <c r="U474" s="55">
        <f t="shared" si="47"/>
        <v>161700</v>
      </c>
      <c r="V474" s="55">
        <v>1</v>
      </c>
      <c r="W474" s="55">
        <v>898606</v>
      </c>
      <c r="X474" s="46">
        <v>1</v>
      </c>
      <c r="Y474" s="46">
        <v>1</v>
      </c>
      <c r="Z474" s="54">
        <v>0.12676276342892484</v>
      </c>
      <c r="AA474" s="15">
        <f t="shared" si="48"/>
        <v>1.0563563619077069E-2</v>
      </c>
      <c r="AB474" s="15">
        <f t="shared" si="49"/>
        <v>0.12676276342892484</v>
      </c>
      <c r="AC474" t="b">
        <f t="shared" si="50"/>
        <v>1</v>
      </c>
    </row>
    <row r="475" spans="1:29" x14ac:dyDescent="0.25">
      <c r="A475" s="52" t="s">
        <v>259</v>
      </c>
      <c r="B475" s="46">
        <v>30013</v>
      </c>
      <c r="C475" s="47">
        <v>45791</v>
      </c>
      <c r="D475" s="46">
        <v>311500</v>
      </c>
      <c r="E475" s="46">
        <v>2</v>
      </c>
      <c r="F475" s="52" t="s">
        <v>2117</v>
      </c>
      <c r="G475" s="46">
        <v>6</v>
      </c>
      <c r="H475" s="52" t="s">
        <v>1642</v>
      </c>
      <c r="I475" s="46"/>
      <c r="J475" s="46">
        <v>0</v>
      </c>
      <c r="K475" s="46"/>
      <c r="L475" s="52" t="s">
        <v>231</v>
      </c>
      <c r="M475" s="55">
        <v>4875000</v>
      </c>
      <c r="N475" s="46">
        <v>36</v>
      </c>
      <c r="O475" s="46">
        <v>0</v>
      </c>
      <c r="P475" s="46">
        <v>1</v>
      </c>
      <c r="Q475" s="46">
        <v>8</v>
      </c>
      <c r="R475" s="55">
        <v>144909</v>
      </c>
      <c r="S475" s="46">
        <v>1</v>
      </c>
      <c r="T475" s="55">
        <v>119688</v>
      </c>
      <c r="U475" s="55">
        <f t="shared" si="47"/>
        <v>60450</v>
      </c>
      <c r="V475" s="55">
        <v>1</v>
      </c>
      <c r="W475" s="55">
        <v>156188</v>
      </c>
      <c r="X475" s="46">
        <v>1</v>
      </c>
      <c r="Y475" s="46">
        <v>1</v>
      </c>
      <c r="Z475" s="54">
        <v>0.14307947426850015</v>
      </c>
      <c r="AA475" s="15">
        <f t="shared" si="48"/>
        <v>1.1923289522375013E-2</v>
      </c>
      <c r="AB475" s="15">
        <f t="shared" si="49"/>
        <v>0.14307947426850015</v>
      </c>
      <c r="AC475" t="b">
        <f t="shared" si="50"/>
        <v>1</v>
      </c>
    </row>
    <row r="476" spans="1:29" x14ac:dyDescent="0.25">
      <c r="A476" s="52" t="s">
        <v>259</v>
      </c>
      <c r="B476" s="46">
        <v>30013</v>
      </c>
      <c r="C476" s="47">
        <v>45791</v>
      </c>
      <c r="D476" s="46">
        <v>321300</v>
      </c>
      <c r="E476" s="46">
        <v>2</v>
      </c>
      <c r="F476" s="52" t="s">
        <v>2118</v>
      </c>
      <c r="G476" s="46">
        <v>6</v>
      </c>
      <c r="H476" s="52" t="s">
        <v>1642</v>
      </c>
      <c r="I476" s="46"/>
      <c r="J476" s="46">
        <v>0</v>
      </c>
      <c r="K476" s="46"/>
      <c r="L476" s="52" t="s">
        <v>717</v>
      </c>
      <c r="M476" s="55">
        <v>1800000</v>
      </c>
      <c r="N476" s="46">
        <v>4</v>
      </c>
      <c r="O476" s="46">
        <v>0</v>
      </c>
      <c r="P476" s="46">
        <v>2</v>
      </c>
      <c r="Q476" s="46">
        <v>12</v>
      </c>
      <c r="R476" s="55">
        <v>53505</v>
      </c>
      <c r="S476" s="46">
        <v>1</v>
      </c>
      <c r="T476" s="55">
        <v>23500</v>
      </c>
      <c r="U476" s="55">
        <f t="shared" si="47"/>
        <v>29700</v>
      </c>
      <c r="V476" s="55">
        <v>1</v>
      </c>
      <c r="W476" s="55">
        <v>490832</v>
      </c>
      <c r="X476" s="46">
        <v>1</v>
      </c>
      <c r="Y476" s="46">
        <v>1</v>
      </c>
      <c r="Z476" s="54">
        <v>0.24772016056027044</v>
      </c>
      <c r="AA476" s="15">
        <f t="shared" si="48"/>
        <v>6.1930040140067609E-2</v>
      </c>
      <c r="AB476" s="15">
        <f t="shared" si="49"/>
        <v>0.24772016056027044</v>
      </c>
      <c r="AC476" t="b">
        <f t="shared" si="50"/>
        <v>1</v>
      </c>
    </row>
    <row r="477" spans="1:29" x14ac:dyDescent="0.25">
      <c r="A477" s="52" t="s">
        <v>259</v>
      </c>
      <c r="B477" s="46">
        <v>30013</v>
      </c>
      <c r="C477" s="47">
        <v>45791</v>
      </c>
      <c r="D477" s="46">
        <v>311500</v>
      </c>
      <c r="E477" s="46">
        <v>2</v>
      </c>
      <c r="F477" s="52" t="s">
        <v>2119</v>
      </c>
      <c r="G477" s="46">
        <v>6</v>
      </c>
      <c r="H477" s="52" t="s">
        <v>1642</v>
      </c>
      <c r="I477" s="46"/>
      <c r="J477" s="46">
        <v>0</v>
      </c>
      <c r="K477" s="46"/>
      <c r="L477" s="52" t="s">
        <v>231</v>
      </c>
      <c r="M477" s="55">
        <v>6350000</v>
      </c>
      <c r="N477" s="46">
        <v>84</v>
      </c>
      <c r="O477" s="46">
        <v>0</v>
      </c>
      <c r="P477" s="46">
        <v>1</v>
      </c>
      <c r="Q477" s="46">
        <v>8</v>
      </c>
      <c r="R477" s="55">
        <v>113252</v>
      </c>
      <c r="S477" s="46">
        <v>1</v>
      </c>
      <c r="T477" s="55">
        <v>343375</v>
      </c>
      <c r="U477" s="55">
        <f t="shared" si="47"/>
        <v>75200</v>
      </c>
      <c r="V477" s="55">
        <v>1</v>
      </c>
      <c r="W477" s="55">
        <v>103823</v>
      </c>
      <c r="X477" s="46">
        <v>1</v>
      </c>
      <c r="Y477" s="46">
        <v>1</v>
      </c>
      <c r="Z477" s="54">
        <v>0.12357718602062578</v>
      </c>
      <c r="AA477" s="15">
        <f t="shared" si="48"/>
        <v>1.0298098835052149E-2</v>
      </c>
      <c r="AB477" s="15">
        <f t="shared" si="49"/>
        <v>0.12357718602062578</v>
      </c>
      <c r="AC477" t="b">
        <f t="shared" si="50"/>
        <v>1</v>
      </c>
    </row>
    <row r="478" spans="1:29" x14ac:dyDescent="0.25">
      <c r="A478" s="52" t="s">
        <v>259</v>
      </c>
      <c r="B478" s="46">
        <v>30013</v>
      </c>
      <c r="C478" s="47">
        <v>45792</v>
      </c>
      <c r="D478" s="46">
        <v>311500</v>
      </c>
      <c r="E478" s="46">
        <v>2</v>
      </c>
      <c r="F478" s="52" t="s">
        <v>2120</v>
      </c>
      <c r="G478" s="46">
        <v>6</v>
      </c>
      <c r="H478" s="52" t="s">
        <v>784</v>
      </c>
      <c r="I478" s="46"/>
      <c r="J478" s="46">
        <v>0</v>
      </c>
      <c r="K478" s="46"/>
      <c r="L478" s="52" t="s">
        <v>261</v>
      </c>
      <c r="M478" s="55">
        <v>4000000</v>
      </c>
      <c r="N478" s="46">
        <v>60</v>
      </c>
      <c r="O478" s="46">
        <v>0</v>
      </c>
      <c r="P478" s="46">
        <v>1</v>
      </c>
      <c r="Q478" s="46">
        <v>13</v>
      </c>
      <c r="R478" s="55">
        <v>118900</v>
      </c>
      <c r="S478" s="46">
        <v>1</v>
      </c>
      <c r="T478" s="55">
        <v>160000</v>
      </c>
      <c r="U478" s="55">
        <f t="shared" si="47"/>
        <v>51700</v>
      </c>
      <c r="V478" s="55">
        <v>1</v>
      </c>
      <c r="W478" s="55">
        <v>96122</v>
      </c>
      <c r="X478" s="46">
        <v>1</v>
      </c>
      <c r="Y478" s="46">
        <v>1</v>
      </c>
      <c r="Z478" s="54">
        <v>0.1946225353827844</v>
      </c>
      <c r="AA478" s="15">
        <f t="shared" si="48"/>
        <v>1.6218544615232033E-2</v>
      </c>
      <c r="AB478" s="15">
        <f t="shared" si="49"/>
        <v>0.1946225353827844</v>
      </c>
      <c r="AC478" t="b">
        <f t="shared" si="50"/>
        <v>1</v>
      </c>
    </row>
    <row r="479" spans="1:29" x14ac:dyDescent="0.25">
      <c r="A479" s="52" t="s">
        <v>259</v>
      </c>
      <c r="B479" s="46">
        <v>30013</v>
      </c>
      <c r="C479" s="47">
        <v>45792</v>
      </c>
      <c r="D479" s="46">
        <v>311500</v>
      </c>
      <c r="E479" s="46">
        <v>2</v>
      </c>
      <c r="F479" s="52" t="s">
        <v>2121</v>
      </c>
      <c r="G479" s="46">
        <v>6</v>
      </c>
      <c r="H479" s="52" t="s">
        <v>784</v>
      </c>
      <c r="I479" s="46"/>
      <c r="J479" s="46">
        <v>0</v>
      </c>
      <c r="K479" s="46"/>
      <c r="L479" s="52" t="s">
        <v>261</v>
      </c>
      <c r="M479" s="55">
        <v>2500000</v>
      </c>
      <c r="N479" s="46">
        <v>48</v>
      </c>
      <c r="O479" s="46">
        <v>0</v>
      </c>
      <c r="P479" s="46">
        <v>1</v>
      </c>
      <c r="Q479" s="46">
        <v>13</v>
      </c>
      <c r="R479" s="55">
        <v>74313</v>
      </c>
      <c r="S479" s="46">
        <v>1</v>
      </c>
      <c r="T479" s="55">
        <v>85000</v>
      </c>
      <c r="U479" s="55">
        <f t="shared" si="47"/>
        <v>36700</v>
      </c>
      <c r="V479" s="55">
        <v>1</v>
      </c>
      <c r="W479" s="55">
        <v>70157</v>
      </c>
      <c r="X479" s="46">
        <v>1</v>
      </c>
      <c r="Y479" s="46">
        <v>1</v>
      </c>
      <c r="Z479" s="54">
        <v>0.20037336573464629</v>
      </c>
      <c r="AA479" s="15">
        <f t="shared" si="48"/>
        <v>1.669778047788719E-2</v>
      </c>
      <c r="AB479" s="15">
        <f t="shared" si="49"/>
        <v>0.20037336573464629</v>
      </c>
      <c r="AC479" t="b">
        <f t="shared" si="50"/>
        <v>1</v>
      </c>
    </row>
    <row r="480" spans="1:29" x14ac:dyDescent="0.25">
      <c r="A480" s="52" t="s">
        <v>259</v>
      </c>
      <c r="B480" s="46">
        <v>30013</v>
      </c>
      <c r="C480" s="47">
        <v>45792</v>
      </c>
      <c r="D480" s="46">
        <v>311500</v>
      </c>
      <c r="E480" s="46">
        <v>2</v>
      </c>
      <c r="F480" s="52" t="s">
        <v>2122</v>
      </c>
      <c r="G480" s="46">
        <v>6</v>
      </c>
      <c r="H480" s="52" t="s">
        <v>784</v>
      </c>
      <c r="I480" s="46"/>
      <c r="J480" s="46">
        <v>0</v>
      </c>
      <c r="K480" s="46"/>
      <c r="L480" s="52" t="s">
        <v>261</v>
      </c>
      <c r="M480" s="55">
        <v>3500000</v>
      </c>
      <c r="N480" s="46">
        <v>60</v>
      </c>
      <c r="O480" s="46">
        <v>0</v>
      </c>
      <c r="P480" s="46">
        <v>1</v>
      </c>
      <c r="Q480" s="46">
        <v>12</v>
      </c>
      <c r="R480" s="55">
        <v>104038</v>
      </c>
      <c r="S480" s="46">
        <v>1</v>
      </c>
      <c r="T480" s="55">
        <v>141250</v>
      </c>
      <c r="U480" s="55">
        <f t="shared" si="47"/>
        <v>46700</v>
      </c>
      <c r="V480" s="55">
        <v>1</v>
      </c>
      <c r="W480" s="55">
        <v>81926</v>
      </c>
      <c r="X480" s="46">
        <v>1</v>
      </c>
      <c r="Y480" s="46">
        <v>1</v>
      </c>
      <c r="Z480" s="54">
        <v>0.1826523356879817</v>
      </c>
      <c r="AA480" s="15">
        <f t="shared" si="48"/>
        <v>1.5221027973998475E-2</v>
      </c>
      <c r="AB480" s="15">
        <f t="shared" si="49"/>
        <v>0.1826523356879817</v>
      </c>
      <c r="AC480" t="b">
        <f t="shared" si="50"/>
        <v>1</v>
      </c>
    </row>
    <row r="481" spans="1:29" x14ac:dyDescent="0.25">
      <c r="A481" s="52" t="s">
        <v>259</v>
      </c>
      <c r="B481" s="46">
        <v>30013</v>
      </c>
      <c r="C481" s="47">
        <v>45792</v>
      </c>
      <c r="D481" s="46">
        <v>311500</v>
      </c>
      <c r="E481" s="46">
        <v>2</v>
      </c>
      <c r="F481" s="52" t="s">
        <v>2123</v>
      </c>
      <c r="G481" s="46">
        <v>6</v>
      </c>
      <c r="H481" s="52" t="s">
        <v>784</v>
      </c>
      <c r="I481" s="46"/>
      <c r="J481" s="46">
        <v>0</v>
      </c>
      <c r="K481" s="46"/>
      <c r="L481" s="52" t="s">
        <v>261</v>
      </c>
      <c r="M481" s="55">
        <v>1600000</v>
      </c>
      <c r="N481" s="46">
        <v>36</v>
      </c>
      <c r="O481" s="46">
        <v>0</v>
      </c>
      <c r="P481" s="46">
        <v>1</v>
      </c>
      <c r="Q481" s="46">
        <v>12</v>
      </c>
      <c r="R481" s="55">
        <v>47560</v>
      </c>
      <c r="S481" s="46">
        <v>1</v>
      </c>
      <c r="T481" s="55">
        <v>46000</v>
      </c>
      <c r="U481" s="55">
        <f t="shared" si="47"/>
        <v>27700</v>
      </c>
      <c r="V481" s="55">
        <v>1</v>
      </c>
      <c r="W481" s="55">
        <v>54893</v>
      </c>
      <c r="X481" s="46">
        <v>1</v>
      </c>
      <c r="Y481" s="46">
        <v>1</v>
      </c>
      <c r="Z481" s="54">
        <v>0.19917318400319969</v>
      </c>
      <c r="AA481" s="15">
        <f t="shared" si="48"/>
        <v>1.6597765333599974E-2</v>
      </c>
      <c r="AB481" s="15">
        <f t="shared" si="49"/>
        <v>0.19917318400319969</v>
      </c>
      <c r="AC481" t="b">
        <f t="shared" si="50"/>
        <v>1</v>
      </c>
    </row>
    <row r="482" spans="1:29" x14ac:dyDescent="0.25">
      <c r="A482" s="52" t="s">
        <v>259</v>
      </c>
      <c r="B482" s="46">
        <v>30013</v>
      </c>
      <c r="C482" s="47">
        <v>45792</v>
      </c>
      <c r="D482" s="46">
        <v>311500</v>
      </c>
      <c r="E482" s="46">
        <v>2</v>
      </c>
      <c r="F482" s="52" t="s">
        <v>2124</v>
      </c>
      <c r="G482" s="46">
        <v>6</v>
      </c>
      <c r="H482" s="52" t="s">
        <v>784</v>
      </c>
      <c r="I482" s="46"/>
      <c r="J482" s="46">
        <v>0</v>
      </c>
      <c r="K482" s="46"/>
      <c r="L482" s="52" t="s">
        <v>261</v>
      </c>
      <c r="M482" s="55">
        <v>1620000</v>
      </c>
      <c r="N482" s="46">
        <v>48</v>
      </c>
      <c r="O482" s="46">
        <v>0</v>
      </c>
      <c r="P482" s="46">
        <v>1</v>
      </c>
      <c r="Q482" s="46">
        <v>12</v>
      </c>
      <c r="R482" s="55">
        <v>48155</v>
      </c>
      <c r="S482" s="46">
        <v>1</v>
      </c>
      <c r="T482" s="55">
        <v>58600</v>
      </c>
      <c r="U482" s="55">
        <f t="shared" si="47"/>
        <v>27900</v>
      </c>
      <c r="V482" s="55">
        <v>1</v>
      </c>
      <c r="W482" s="55">
        <v>44487</v>
      </c>
      <c r="X482" s="46">
        <v>1</v>
      </c>
      <c r="Y482" s="46">
        <v>1</v>
      </c>
      <c r="Z482" s="54">
        <v>0.19095654873486928</v>
      </c>
      <c r="AA482" s="15">
        <f t="shared" si="48"/>
        <v>1.5913045727905775E-2</v>
      </c>
      <c r="AB482" s="15">
        <f t="shared" si="49"/>
        <v>0.19095654873486928</v>
      </c>
      <c r="AC482" t="b">
        <f t="shared" si="50"/>
        <v>1</v>
      </c>
    </row>
    <row r="483" spans="1:29" x14ac:dyDescent="0.25">
      <c r="A483" s="52" t="s">
        <v>259</v>
      </c>
      <c r="B483" s="46">
        <v>30013</v>
      </c>
      <c r="C483" s="47">
        <v>45792</v>
      </c>
      <c r="D483" s="46">
        <v>311500</v>
      </c>
      <c r="E483" s="46">
        <v>2</v>
      </c>
      <c r="F483" s="52" t="s">
        <v>2125</v>
      </c>
      <c r="G483" s="46">
        <v>6</v>
      </c>
      <c r="H483" s="52" t="s">
        <v>784</v>
      </c>
      <c r="I483" s="46"/>
      <c r="J483" s="46">
        <v>0</v>
      </c>
      <c r="K483" s="46"/>
      <c r="L483" s="52" t="s">
        <v>261</v>
      </c>
      <c r="M483" s="55">
        <v>3350000</v>
      </c>
      <c r="N483" s="46">
        <v>60</v>
      </c>
      <c r="O483" s="46">
        <v>0</v>
      </c>
      <c r="P483" s="46">
        <v>1</v>
      </c>
      <c r="Q483" s="46">
        <v>13</v>
      </c>
      <c r="R483" s="55">
        <v>99579</v>
      </c>
      <c r="S483" s="46">
        <v>1</v>
      </c>
      <c r="T483" s="55">
        <v>135625</v>
      </c>
      <c r="U483" s="55">
        <f t="shared" si="47"/>
        <v>45200</v>
      </c>
      <c r="V483" s="55">
        <v>1</v>
      </c>
      <c r="W483" s="55">
        <v>80502</v>
      </c>
      <c r="X483" s="46">
        <v>1</v>
      </c>
      <c r="Y483" s="46">
        <v>1</v>
      </c>
      <c r="Z483" s="54">
        <v>0.19516544800879526</v>
      </c>
      <c r="AA483" s="15">
        <f t="shared" si="48"/>
        <v>1.6263787334066273E-2</v>
      </c>
      <c r="AB483" s="15">
        <f t="shared" si="49"/>
        <v>0.19516544800879526</v>
      </c>
      <c r="AC483" t="b">
        <f t="shared" si="50"/>
        <v>1</v>
      </c>
    </row>
    <row r="484" spans="1:29" x14ac:dyDescent="0.25">
      <c r="A484" s="52" t="s">
        <v>259</v>
      </c>
      <c r="B484" s="46">
        <v>30013</v>
      </c>
      <c r="C484" s="47">
        <v>45792</v>
      </c>
      <c r="D484" s="46">
        <v>311500</v>
      </c>
      <c r="E484" s="46">
        <v>2</v>
      </c>
      <c r="F484" s="52" t="s">
        <v>2126</v>
      </c>
      <c r="G484" s="46">
        <v>6</v>
      </c>
      <c r="H484" s="52" t="s">
        <v>784</v>
      </c>
      <c r="I484" s="46"/>
      <c r="J484" s="46">
        <v>0</v>
      </c>
      <c r="K484" s="46"/>
      <c r="L484" s="52" t="s">
        <v>690</v>
      </c>
      <c r="M484" s="55">
        <v>10000000</v>
      </c>
      <c r="N484" s="46">
        <v>48</v>
      </c>
      <c r="O484" s="46">
        <v>0</v>
      </c>
      <c r="P484" s="46">
        <v>1</v>
      </c>
      <c r="Q484" s="46">
        <v>8</v>
      </c>
      <c r="R484" s="55">
        <v>297250</v>
      </c>
      <c r="S484" s="46">
        <v>1</v>
      </c>
      <c r="T484" s="55">
        <v>315000</v>
      </c>
      <c r="U484" s="55">
        <f t="shared" si="47"/>
        <v>111700</v>
      </c>
      <c r="V484" s="55">
        <v>1</v>
      </c>
      <c r="W484" s="55">
        <v>251289</v>
      </c>
      <c r="X484" s="46">
        <v>1</v>
      </c>
      <c r="Y484" s="46">
        <v>1</v>
      </c>
      <c r="Z484" s="54">
        <v>0.13527579893411382</v>
      </c>
      <c r="AA484" s="15">
        <f t="shared" si="48"/>
        <v>1.1272983244509484E-2</v>
      </c>
      <c r="AB484" s="15">
        <f t="shared" si="49"/>
        <v>0.13527579893411382</v>
      </c>
      <c r="AC484" t="b">
        <f t="shared" si="50"/>
        <v>1</v>
      </c>
    </row>
    <row r="485" spans="1:29" x14ac:dyDescent="0.25">
      <c r="A485" s="52" t="s">
        <v>259</v>
      </c>
      <c r="B485" s="46">
        <v>30013</v>
      </c>
      <c r="C485" s="47">
        <v>45792</v>
      </c>
      <c r="D485" s="46">
        <v>311500</v>
      </c>
      <c r="E485" s="46">
        <v>2</v>
      </c>
      <c r="F485" s="52" t="s">
        <v>2127</v>
      </c>
      <c r="G485" s="46">
        <v>6</v>
      </c>
      <c r="H485" s="52" t="s">
        <v>784</v>
      </c>
      <c r="I485" s="46"/>
      <c r="J485" s="46">
        <v>0</v>
      </c>
      <c r="K485" s="46"/>
      <c r="L485" s="52" t="s">
        <v>261</v>
      </c>
      <c r="M485" s="55">
        <v>3000000</v>
      </c>
      <c r="N485" s="46">
        <v>48</v>
      </c>
      <c r="O485" s="46">
        <v>0</v>
      </c>
      <c r="P485" s="46">
        <v>1</v>
      </c>
      <c r="Q485" s="46">
        <v>13</v>
      </c>
      <c r="R485" s="55">
        <v>89175</v>
      </c>
      <c r="S485" s="46">
        <v>1</v>
      </c>
      <c r="T485" s="55">
        <v>100000</v>
      </c>
      <c r="U485" s="55">
        <f t="shared" si="47"/>
        <v>41700</v>
      </c>
      <c r="V485" s="55">
        <v>1</v>
      </c>
      <c r="W485" s="55">
        <v>84189</v>
      </c>
      <c r="X485" s="46">
        <v>1</v>
      </c>
      <c r="Y485" s="46">
        <v>1</v>
      </c>
      <c r="Z485" s="54">
        <v>0.19948151440258396</v>
      </c>
      <c r="AA485" s="15">
        <f t="shared" si="48"/>
        <v>1.6623459533548664E-2</v>
      </c>
      <c r="AB485" s="15">
        <f t="shared" si="49"/>
        <v>0.19948151440258396</v>
      </c>
      <c r="AC485" t="b">
        <f t="shared" si="50"/>
        <v>1</v>
      </c>
    </row>
    <row r="486" spans="1:29" x14ac:dyDescent="0.25">
      <c r="A486" s="52" t="s">
        <v>259</v>
      </c>
      <c r="B486" s="46">
        <v>30013</v>
      </c>
      <c r="C486" s="47">
        <v>45792</v>
      </c>
      <c r="D486" s="46">
        <v>311500</v>
      </c>
      <c r="E486" s="46">
        <v>2</v>
      </c>
      <c r="F486" s="52" t="s">
        <v>2128</v>
      </c>
      <c r="G486" s="46">
        <v>6</v>
      </c>
      <c r="H486" s="52" t="s">
        <v>784</v>
      </c>
      <c r="I486" s="46"/>
      <c r="J486" s="46">
        <v>0</v>
      </c>
      <c r="K486" s="46"/>
      <c r="L486" s="52" t="s">
        <v>261</v>
      </c>
      <c r="M486" s="55">
        <v>4250000</v>
      </c>
      <c r="N486" s="46">
        <v>60</v>
      </c>
      <c r="O486" s="46">
        <v>0</v>
      </c>
      <c r="P486" s="46">
        <v>1</v>
      </c>
      <c r="Q486" s="46">
        <v>13</v>
      </c>
      <c r="R486" s="55">
        <v>126331</v>
      </c>
      <c r="S486" s="46">
        <v>1</v>
      </c>
      <c r="T486" s="55">
        <v>169375</v>
      </c>
      <c r="U486" s="55">
        <f t="shared" si="47"/>
        <v>54200</v>
      </c>
      <c r="V486" s="55">
        <v>1</v>
      </c>
      <c r="W486" s="55">
        <v>102130</v>
      </c>
      <c r="X486" s="46">
        <v>1</v>
      </c>
      <c r="Y486" s="46">
        <v>1</v>
      </c>
      <c r="Z486" s="54">
        <v>0.19445953104728458</v>
      </c>
      <c r="AA486" s="15">
        <f t="shared" si="48"/>
        <v>1.620496092060705E-2</v>
      </c>
      <c r="AB486" s="15">
        <f t="shared" si="49"/>
        <v>0.19445953104728458</v>
      </c>
      <c r="AC486" t="b">
        <f t="shared" si="50"/>
        <v>1</v>
      </c>
    </row>
    <row r="487" spans="1:29" x14ac:dyDescent="0.25">
      <c r="A487" s="52" t="s">
        <v>259</v>
      </c>
      <c r="B487" s="46">
        <v>30013</v>
      </c>
      <c r="C487" s="47">
        <v>45792</v>
      </c>
      <c r="D487" s="46">
        <v>311500</v>
      </c>
      <c r="E487" s="46">
        <v>2</v>
      </c>
      <c r="F487" s="52" t="s">
        <v>2129</v>
      </c>
      <c r="G487" s="46">
        <v>6</v>
      </c>
      <c r="H487" s="52" t="s">
        <v>784</v>
      </c>
      <c r="I487" s="46"/>
      <c r="J487" s="46">
        <v>0</v>
      </c>
      <c r="K487" s="46"/>
      <c r="L487" s="52" t="s">
        <v>690</v>
      </c>
      <c r="M487" s="55">
        <v>3050000</v>
      </c>
      <c r="N487" s="46">
        <v>36</v>
      </c>
      <c r="O487" s="46">
        <v>0</v>
      </c>
      <c r="P487" s="46">
        <v>1</v>
      </c>
      <c r="Q487" s="46">
        <v>13</v>
      </c>
      <c r="R487" s="55">
        <v>90661</v>
      </c>
      <c r="S487" s="46">
        <v>1</v>
      </c>
      <c r="T487" s="55">
        <v>78625</v>
      </c>
      <c r="U487" s="55">
        <f t="shared" si="47"/>
        <v>42200</v>
      </c>
      <c r="V487" s="55">
        <v>1</v>
      </c>
      <c r="W487" s="55">
        <v>106413</v>
      </c>
      <c r="X487" s="46">
        <v>1</v>
      </c>
      <c r="Y487" s="46">
        <v>1</v>
      </c>
      <c r="Z487" s="54">
        <v>0.20637069084321163</v>
      </c>
      <c r="AA487" s="15">
        <f t="shared" si="48"/>
        <v>1.7197557570267637E-2</v>
      </c>
      <c r="AB487" s="15">
        <f t="shared" si="49"/>
        <v>0.20637069084321163</v>
      </c>
      <c r="AC487" t="b">
        <f t="shared" si="50"/>
        <v>1</v>
      </c>
    </row>
    <row r="488" spans="1:29" x14ac:dyDescent="0.25">
      <c r="A488" s="52" t="s">
        <v>259</v>
      </c>
      <c r="B488" s="46">
        <v>30013</v>
      </c>
      <c r="C488" s="47">
        <v>45792</v>
      </c>
      <c r="D488" s="46">
        <v>311500</v>
      </c>
      <c r="E488" s="46">
        <v>2</v>
      </c>
      <c r="F488" s="52" t="s">
        <v>2130</v>
      </c>
      <c r="G488" s="46">
        <v>6</v>
      </c>
      <c r="H488" s="52" t="s">
        <v>1642</v>
      </c>
      <c r="I488" s="46"/>
      <c r="J488" s="46">
        <v>0</v>
      </c>
      <c r="K488" s="46"/>
      <c r="L488" s="52" t="s">
        <v>261</v>
      </c>
      <c r="M488" s="55">
        <v>3900000</v>
      </c>
      <c r="N488" s="46">
        <v>60</v>
      </c>
      <c r="O488" s="46">
        <v>0</v>
      </c>
      <c r="P488" s="46">
        <v>1</v>
      </c>
      <c r="Q488" s="46">
        <v>12</v>
      </c>
      <c r="R488" s="55">
        <v>115928</v>
      </c>
      <c r="S488" s="46">
        <v>1</v>
      </c>
      <c r="T488" s="55">
        <v>156250</v>
      </c>
      <c r="U488" s="55">
        <f t="shared" si="47"/>
        <v>50700</v>
      </c>
      <c r="V488" s="55">
        <v>1</v>
      </c>
      <c r="W488" s="55">
        <v>91289</v>
      </c>
      <c r="X488" s="46">
        <v>1</v>
      </c>
      <c r="Y488" s="46">
        <v>1</v>
      </c>
      <c r="Z488" s="54">
        <v>0.18232793868594643</v>
      </c>
      <c r="AA488" s="15">
        <f t="shared" si="48"/>
        <v>1.5193994890495536E-2</v>
      </c>
      <c r="AB488" s="15">
        <f t="shared" si="49"/>
        <v>0.18232793868594643</v>
      </c>
      <c r="AC488" t="b">
        <f t="shared" si="50"/>
        <v>1</v>
      </c>
    </row>
    <row r="489" spans="1:29" x14ac:dyDescent="0.25">
      <c r="A489" s="52" t="s">
        <v>259</v>
      </c>
      <c r="B489" s="46">
        <v>30013</v>
      </c>
      <c r="C489" s="47">
        <v>45792</v>
      </c>
      <c r="D489" s="46">
        <v>311500</v>
      </c>
      <c r="E489" s="46">
        <v>2</v>
      </c>
      <c r="F489" s="52" t="s">
        <v>2131</v>
      </c>
      <c r="G489" s="46">
        <v>6</v>
      </c>
      <c r="H489" s="52" t="s">
        <v>784</v>
      </c>
      <c r="I489" s="46"/>
      <c r="J489" s="46">
        <v>0</v>
      </c>
      <c r="K489" s="46"/>
      <c r="L489" s="52" t="s">
        <v>266</v>
      </c>
      <c r="M489" s="55">
        <v>3600000</v>
      </c>
      <c r="N489" s="46">
        <v>12</v>
      </c>
      <c r="O489" s="46">
        <v>0</v>
      </c>
      <c r="P489" s="46">
        <v>1</v>
      </c>
      <c r="Q489" s="46">
        <v>8</v>
      </c>
      <c r="R489" s="55">
        <v>107010</v>
      </c>
      <c r="S489" s="46">
        <v>1</v>
      </c>
      <c r="T489" s="55">
        <v>37000</v>
      </c>
      <c r="U489" s="55">
        <f t="shared" si="47"/>
        <v>47700</v>
      </c>
      <c r="V489" s="55">
        <v>1</v>
      </c>
      <c r="W489" s="55">
        <v>315681</v>
      </c>
      <c r="X489" s="46">
        <v>1</v>
      </c>
      <c r="Y489" s="46">
        <v>1</v>
      </c>
      <c r="Z489" s="54">
        <v>0.19972865526958217</v>
      </c>
      <c r="AA489" s="15">
        <f t="shared" si="48"/>
        <v>1.6644054605798514E-2</v>
      </c>
      <c r="AB489" s="15">
        <f t="shared" si="49"/>
        <v>0.19972865526958217</v>
      </c>
      <c r="AC489" t="b">
        <f t="shared" si="50"/>
        <v>1</v>
      </c>
    </row>
    <row r="490" spans="1:29" x14ac:dyDescent="0.25">
      <c r="A490" s="52" t="s">
        <v>259</v>
      </c>
      <c r="B490" s="46">
        <v>30013</v>
      </c>
      <c r="C490" s="47">
        <v>45792</v>
      </c>
      <c r="D490" s="46">
        <v>311500</v>
      </c>
      <c r="E490" s="46">
        <v>2</v>
      </c>
      <c r="F490" s="52" t="s">
        <v>2132</v>
      </c>
      <c r="G490" s="46">
        <v>6</v>
      </c>
      <c r="H490" s="52" t="s">
        <v>1650</v>
      </c>
      <c r="I490" s="46"/>
      <c r="J490" s="46">
        <v>0</v>
      </c>
      <c r="K490" s="46"/>
      <c r="L490" s="52" t="s">
        <v>700</v>
      </c>
      <c r="M490" s="55">
        <v>5740000</v>
      </c>
      <c r="N490" s="46">
        <v>72</v>
      </c>
      <c r="O490" s="46">
        <v>0</v>
      </c>
      <c r="P490" s="46">
        <v>1</v>
      </c>
      <c r="Q490" s="46">
        <v>12</v>
      </c>
      <c r="R490" s="55">
        <v>102373</v>
      </c>
      <c r="S490" s="46">
        <v>1</v>
      </c>
      <c r="T490" s="55">
        <v>268300</v>
      </c>
      <c r="U490" s="55">
        <f t="shared" si="47"/>
        <v>69100</v>
      </c>
      <c r="V490" s="55">
        <v>1</v>
      </c>
      <c r="W490" s="55">
        <v>119102</v>
      </c>
      <c r="X490" s="46">
        <v>1</v>
      </c>
      <c r="Y490" s="46">
        <v>1</v>
      </c>
      <c r="Z490" s="54">
        <v>0.17402133660956542</v>
      </c>
      <c r="AA490" s="15">
        <f t="shared" si="48"/>
        <v>1.4501778050797118E-2</v>
      </c>
      <c r="AB490" s="15">
        <f t="shared" si="49"/>
        <v>0.17402133660956542</v>
      </c>
      <c r="AC490" t="b">
        <f t="shared" si="50"/>
        <v>1</v>
      </c>
    </row>
    <row r="491" spans="1:29" x14ac:dyDescent="0.25">
      <c r="A491" s="52" t="s">
        <v>259</v>
      </c>
      <c r="B491" s="46">
        <v>30013</v>
      </c>
      <c r="C491" s="47">
        <v>45792</v>
      </c>
      <c r="D491" s="46">
        <v>311500</v>
      </c>
      <c r="E491" s="46">
        <v>2</v>
      </c>
      <c r="F491" s="52" t="s">
        <v>2133</v>
      </c>
      <c r="G491" s="46">
        <v>6</v>
      </c>
      <c r="H491" s="52" t="s">
        <v>784</v>
      </c>
      <c r="I491" s="46"/>
      <c r="J491" s="46">
        <v>0</v>
      </c>
      <c r="K491" s="46"/>
      <c r="L491" s="52" t="s">
        <v>261</v>
      </c>
      <c r="M491" s="55">
        <v>4250000</v>
      </c>
      <c r="N491" s="46">
        <v>60</v>
      </c>
      <c r="O491" s="46">
        <v>0</v>
      </c>
      <c r="P491" s="46">
        <v>1</v>
      </c>
      <c r="Q491" s="46">
        <v>13</v>
      </c>
      <c r="R491" s="55">
        <v>126331</v>
      </c>
      <c r="S491" s="46">
        <v>1</v>
      </c>
      <c r="T491" s="55">
        <v>169375</v>
      </c>
      <c r="U491" s="55">
        <f t="shared" si="47"/>
        <v>54200</v>
      </c>
      <c r="V491" s="55">
        <v>1</v>
      </c>
      <c r="W491" s="55">
        <v>102130</v>
      </c>
      <c r="X491" s="46">
        <v>1</v>
      </c>
      <c r="Y491" s="46">
        <v>1</v>
      </c>
      <c r="Z491" s="54">
        <v>0.19445953104728458</v>
      </c>
      <c r="AA491" s="15">
        <f t="shared" si="48"/>
        <v>1.620496092060705E-2</v>
      </c>
      <c r="AB491" s="15">
        <f t="shared" si="49"/>
        <v>0.19445953104728458</v>
      </c>
      <c r="AC491" t="b">
        <f t="shared" si="50"/>
        <v>1</v>
      </c>
    </row>
    <row r="492" spans="1:29" x14ac:dyDescent="0.25">
      <c r="A492" s="52" t="s">
        <v>259</v>
      </c>
      <c r="B492" s="46">
        <v>30013</v>
      </c>
      <c r="C492" s="47">
        <v>45792</v>
      </c>
      <c r="D492" s="46">
        <v>311500</v>
      </c>
      <c r="E492" s="46">
        <v>2</v>
      </c>
      <c r="F492" s="52" t="s">
        <v>2134</v>
      </c>
      <c r="G492" s="46">
        <v>6</v>
      </c>
      <c r="H492" s="52" t="s">
        <v>784</v>
      </c>
      <c r="I492" s="46"/>
      <c r="J492" s="46">
        <v>0</v>
      </c>
      <c r="K492" s="46"/>
      <c r="L492" s="52" t="s">
        <v>687</v>
      </c>
      <c r="M492" s="55">
        <v>5000000</v>
      </c>
      <c r="N492" s="46">
        <v>60</v>
      </c>
      <c r="O492" s="46">
        <v>0</v>
      </c>
      <c r="P492" s="46">
        <v>1</v>
      </c>
      <c r="Q492" s="46">
        <v>14</v>
      </c>
      <c r="R492" s="55">
        <v>148625</v>
      </c>
      <c r="S492" s="46">
        <v>1</v>
      </c>
      <c r="T492" s="55">
        <v>197500</v>
      </c>
      <c r="U492" s="55">
        <f t="shared" si="47"/>
        <v>61700</v>
      </c>
      <c r="V492" s="55">
        <v>1</v>
      </c>
      <c r="W492" s="55">
        <v>123313</v>
      </c>
      <c r="X492" s="46">
        <v>1</v>
      </c>
      <c r="Y492" s="46">
        <v>1</v>
      </c>
      <c r="Z492" s="54">
        <v>0.20642869799462152</v>
      </c>
      <c r="AA492" s="15">
        <f t="shared" si="48"/>
        <v>1.7202391499551793E-2</v>
      </c>
      <c r="AB492" s="15">
        <f t="shared" si="49"/>
        <v>0.20642869799462152</v>
      </c>
      <c r="AC492" t="b">
        <f t="shared" si="50"/>
        <v>1</v>
      </c>
    </row>
    <row r="493" spans="1:29" x14ac:dyDescent="0.25">
      <c r="A493" s="52" t="s">
        <v>259</v>
      </c>
      <c r="B493" s="46">
        <v>30013</v>
      </c>
      <c r="C493" s="47">
        <v>45792</v>
      </c>
      <c r="D493" s="46">
        <v>321300</v>
      </c>
      <c r="E493" s="46">
        <v>2</v>
      </c>
      <c r="F493" s="52" t="s">
        <v>2135</v>
      </c>
      <c r="G493" s="46">
        <v>6</v>
      </c>
      <c r="H493" s="52" t="s">
        <v>1642</v>
      </c>
      <c r="I493" s="46"/>
      <c r="J493" s="46">
        <v>0</v>
      </c>
      <c r="K493" s="46"/>
      <c r="L493" s="52" t="s">
        <v>698</v>
      </c>
      <c r="M493" s="55">
        <v>4400000</v>
      </c>
      <c r="N493" s="46">
        <v>24</v>
      </c>
      <c r="O493" s="46">
        <v>0</v>
      </c>
      <c r="P493" s="46">
        <v>1</v>
      </c>
      <c r="Q493" s="46">
        <v>8</v>
      </c>
      <c r="R493" s="55">
        <v>130790</v>
      </c>
      <c r="S493" s="46">
        <v>1</v>
      </c>
      <c r="T493" s="55">
        <v>76000</v>
      </c>
      <c r="U493" s="55">
        <f t="shared" si="47"/>
        <v>55700</v>
      </c>
      <c r="V493" s="55">
        <v>1</v>
      </c>
      <c r="W493" s="55">
        <v>202048</v>
      </c>
      <c r="X493" s="46">
        <v>1</v>
      </c>
      <c r="Y493" s="46">
        <v>1</v>
      </c>
      <c r="Z493" s="54">
        <v>0.15727977871868343</v>
      </c>
      <c r="AA493" s="15">
        <f t="shared" si="48"/>
        <v>1.3106648226556952E-2</v>
      </c>
      <c r="AB493" s="15">
        <f t="shared" si="49"/>
        <v>0.15727977871868343</v>
      </c>
      <c r="AC493" t="b">
        <f t="shared" si="50"/>
        <v>1</v>
      </c>
    </row>
    <row r="494" spans="1:29" x14ac:dyDescent="0.25">
      <c r="A494" s="52" t="s">
        <v>259</v>
      </c>
      <c r="B494" s="46">
        <v>30013</v>
      </c>
      <c r="C494" s="47">
        <v>45792</v>
      </c>
      <c r="D494" s="46">
        <v>311500</v>
      </c>
      <c r="E494" s="46">
        <v>2</v>
      </c>
      <c r="F494" s="52" t="s">
        <v>2136</v>
      </c>
      <c r="G494" s="46">
        <v>6</v>
      </c>
      <c r="H494" s="52" t="s">
        <v>784</v>
      </c>
      <c r="I494" s="46"/>
      <c r="J494" s="46">
        <v>0</v>
      </c>
      <c r="K494" s="46"/>
      <c r="L494" s="52" t="s">
        <v>690</v>
      </c>
      <c r="M494" s="55">
        <v>3300000</v>
      </c>
      <c r="N494" s="46">
        <v>60</v>
      </c>
      <c r="O494" s="46">
        <v>0</v>
      </c>
      <c r="P494" s="46">
        <v>1</v>
      </c>
      <c r="Q494" s="46">
        <v>12</v>
      </c>
      <c r="R494" s="55">
        <v>98093</v>
      </c>
      <c r="S494" s="46">
        <v>1</v>
      </c>
      <c r="T494" s="55">
        <v>133750</v>
      </c>
      <c r="U494" s="55">
        <f t="shared" si="47"/>
        <v>44700</v>
      </c>
      <c r="V494" s="55">
        <v>1</v>
      </c>
      <c r="W494" s="55">
        <v>77245</v>
      </c>
      <c r="X494" s="46">
        <v>1</v>
      </c>
      <c r="Y494" s="46">
        <v>1</v>
      </c>
      <c r="Z494" s="54">
        <v>0.18284720974661928</v>
      </c>
      <c r="AA494" s="15">
        <f t="shared" si="48"/>
        <v>1.5237267478884939E-2</v>
      </c>
      <c r="AB494" s="15">
        <f t="shared" si="49"/>
        <v>0.18284720974661928</v>
      </c>
      <c r="AC494" t="b">
        <f t="shared" si="50"/>
        <v>1</v>
      </c>
    </row>
    <row r="495" spans="1:29" x14ac:dyDescent="0.25">
      <c r="A495" s="52" t="s">
        <v>259</v>
      </c>
      <c r="B495" s="46">
        <v>30013</v>
      </c>
      <c r="C495" s="47">
        <v>45793</v>
      </c>
      <c r="D495" s="46">
        <v>311500</v>
      </c>
      <c r="E495" s="46">
        <v>2</v>
      </c>
      <c r="F495" s="52" t="s">
        <v>2137</v>
      </c>
      <c r="G495" s="46">
        <v>6</v>
      </c>
      <c r="H495" s="52" t="s">
        <v>784</v>
      </c>
      <c r="I495" s="46"/>
      <c r="J495" s="46">
        <v>0</v>
      </c>
      <c r="K495" s="46"/>
      <c r="L495" s="52" t="s">
        <v>261</v>
      </c>
      <c r="M495" s="55">
        <v>2000000</v>
      </c>
      <c r="N495" s="46">
        <v>48</v>
      </c>
      <c r="O495" s="46">
        <v>0</v>
      </c>
      <c r="P495" s="46">
        <v>1</v>
      </c>
      <c r="Q495" s="46">
        <v>12</v>
      </c>
      <c r="R495" s="55">
        <v>59450</v>
      </c>
      <c r="S495" s="46">
        <v>1</v>
      </c>
      <c r="T495" s="55">
        <v>70000</v>
      </c>
      <c r="U495" s="55">
        <f t="shared" si="47"/>
        <v>31700</v>
      </c>
      <c r="V495" s="55">
        <v>1</v>
      </c>
      <c r="W495" s="55">
        <v>54922</v>
      </c>
      <c r="X495" s="46">
        <v>1</v>
      </c>
      <c r="Y495" s="46">
        <v>1</v>
      </c>
      <c r="Z495" s="54">
        <v>0.18938320145239776</v>
      </c>
      <c r="AA495" s="15">
        <f t="shared" si="48"/>
        <v>1.578193345436648E-2</v>
      </c>
      <c r="AB495" s="15">
        <f t="shared" si="49"/>
        <v>0.18938320145239776</v>
      </c>
      <c r="AC495" t="b">
        <f t="shared" si="50"/>
        <v>1</v>
      </c>
    </row>
    <row r="496" spans="1:29" x14ac:dyDescent="0.25">
      <c r="A496" s="52" t="s">
        <v>259</v>
      </c>
      <c r="B496" s="46">
        <v>30013</v>
      </c>
      <c r="C496" s="47">
        <v>45793</v>
      </c>
      <c r="D496" s="46">
        <v>311500</v>
      </c>
      <c r="E496" s="46">
        <v>2</v>
      </c>
      <c r="F496" s="52" t="s">
        <v>2138</v>
      </c>
      <c r="G496" s="46">
        <v>6</v>
      </c>
      <c r="H496" s="52" t="s">
        <v>784</v>
      </c>
      <c r="I496" s="46"/>
      <c r="J496" s="46">
        <v>0</v>
      </c>
      <c r="K496" s="46"/>
      <c r="L496" s="52" t="s">
        <v>261</v>
      </c>
      <c r="M496" s="55">
        <v>5420000</v>
      </c>
      <c r="N496" s="46">
        <v>72</v>
      </c>
      <c r="O496" s="46">
        <v>0</v>
      </c>
      <c r="P496" s="46">
        <v>1</v>
      </c>
      <c r="Q496" s="46">
        <v>12</v>
      </c>
      <c r="R496" s="55">
        <v>96666</v>
      </c>
      <c r="S496" s="46">
        <v>1</v>
      </c>
      <c r="T496" s="55">
        <v>253900</v>
      </c>
      <c r="U496" s="55">
        <f t="shared" si="47"/>
        <v>65900</v>
      </c>
      <c r="V496" s="55">
        <v>1</v>
      </c>
      <c r="W496" s="55">
        <v>112462</v>
      </c>
      <c r="X496" s="46">
        <v>1</v>
      </c>
      <c r="Y496" s="46">
        <v>1</v>
      </c>
      <c r="Z496" s="54">
        <v>0.17411760650066971</v>
      </c>
      <c r="AA496" s="15">
        <f t="shared" si="48"/>
        <v>1.4509800541722476E-2</v>
      </c>
      <c r="AB496" s="15">
        <f t="shared" si="49"/>
        <v>0.17411760650066971</v>
      </c>
      <c r="AC496" t="b">
        <f t="shared" si="50"/>
        <v>1</v>
      </c>
    </row>
    <row r="497" spans="1:29" x14ac:dyDescent="0.25">
      <c r="A497" s="52" t="s">
        <v>259</v>
      </c>
      <c r="B497" s="46">
        <v>30013</v>
      </c>
      <c r="C497" s="47">
        <v>45793</v>
      </c>
      <c r="D497" s="46">
        <v>311500</v>
      </c>
      <c r="E497" s="46">
        <v>2</v>
      </c>
      <c r="F497" s="52" t="s">
        <v>2139</v>
      </c>
      <c r="G497" s="46">
        <v>6</v>
      </c>
      <c r="H497" s="52" t="s">
        <v>784</v>
      </c>
      <c r="I497" s="46"/>
      <c r="J497" s="46">
        <v>0</v>
      </c>
      <c r="K497" s="46"/>
      <c r="L497" s="52" t="s">
        <v>261</v>
      </c>
      <c r="M497" s="55">
        <v>2200000</v>
      </c>
      <c r="N497" s="46">
        <v>48</v>
      </c>
      <c r="O497" s="46">
        <v>0</v>
      </c>
      <c r="P497" s="46">
        <v>1</v>
      </c>
      <c r="Q497" s="46">
        <v>13</v>
      </c>
      <c r="R497" s="55">
        <v>65395</v>
      </c>
      <c r="S497" s="46">
        <v>1</v>
      </c>
      <c r="T497" s="55">
        <v>76000</v>
      </c>
      <c r="U497" s="55">
        <f t="shared" si="47"/>
        <v>33700</v>
      </c>
      <c r="V497" s="55">
        <v>1</v>
      </c>
      <c r="W497" s="55">
        <v>61738</v>
      </c>
      <c r="X497" s="46">
        <v>1</v>
      </c>
      <c r="Y497" s="46">
        <v>1</v>
      </c>
      <c r="Z497" s="54">
        <v>0.20110620721393568</v>
      </c>
      <c r="AA497" s="15">
        <f t="shared" si="48"/>
        <v>1.6758850601161307E-2</v>
      </c>
      <c r="AB497" s="15">
        <f t="shared" si="49"/>
        <v>0.20110620721393568</v>
      </c>
      <c r="AC497" t="b">
        <f t="shared" si="50"/>
        <v>1</v>
      </c>
    </row>
    <row r="498" spans="1:29" x14ac:dyDescent="0.25">
      <c r="A498" s="52" t="s">
        <v>259</v>
      </c>
      <c r="B498" s="46">
        <v>30013</v>
      </c>
      <c r="C498" s="47">
        <v>45793</v>
      </c>
      <c r="D498" s="46">
        <v>311500</v>
      </c>
      <c r="E498" s="46">
        <v>2</v>
      </c>
      <c r="F498" s="52" t="s">
        <v>2140</v>
      </c>
      <c r="G498" s="46">
        <v>6</v>
      </c>
      <c r="H498" s="52" t="s">
        <v>784</v>
      </c>
      <c r="I498" s="46"/>
      <c r="J498" s="46">
        <v>0</v>
      </c>
      <c r="K498" s="46"/>
      <c r="L498" s="52" t="s">
        <v>261</v>
      </c>
      <c r="M498" s="55">
        <v>4800000</v>
      </c>
      <c r="N498" s="46">
        <v>72</v>
      </c>
      <c r="O498" s="46">
        <v>0</v>
      </c>
      <c r="P498" s="46">
        <v>1</v>
      </c>
      <c r="Q498" s="46">
        <v>12</v>
      </c>
      <c r="R498" s="55">
        <v>85608</v>
      </c>
      <c r="S498" s="46">
        <v>1</v>
      </c>
      <c r="T498" s="55">
        <v>226000</v>
      </c>
      <c r="U498" s="55">
        <f t="shared" si="47"/>
        <v>59700</v>
      </c>
      <c r="V498" s="55">
        <v>1</v>
      </c>
      <c r="W498" s="55">
        <v>99598</v>
      </c>
      <c r="X498" s="46">
        <v>1</v>
      </c>
      <c r="Y498" s="46">
        <v>1</v>
      </c>
      <c r="Z498" s="54">
        <v>0.17434475069274694</v>
      </c>
      <c r="AA498" s="15">
        <f t="shared" si="48"/>
        <v>1.4528729224395577E-2</v>
      </c>
      <c r="AB498" s="15">
        <f t="shared" si="49"/>
        <v>0.17434475069274694</v>
      </c>
      <c r="AC498" t="b">
        <f t="shared" si="50"/>
        <v>1</v>
      </c>
    </row>
    <row r="499" spans="1:29" x14ac:dyDescent="0.25">
      <c r="A499" s="52" t="s">
        <v>259</v>
      </c>
      <c r="B499" s="46">
        <v>30013</v>
      </c>
      <c r="C499" s="47">
        <v>45793</v>
      </c>
      <c r="D499" s="46">
        <v>311500</v>
      </c>
      <c r="E499" s="46">
        <v>2</v>
      </c>
      <c r="F499" s="52" t="s">
        <v>2141</v>
      </c>
      <c r="G499" s="46">
        <v>6</v>
      </c>
      <c r="H499" s="52" t="s">
        <v>784</v>
      </c>
      <c r="I499" s="46"/>
      <c r="J499" s="46">
        <v>0</v>
      </c>
      <c r="K499" s="46"/>
      <c r="L499" s="52" t="s">
        <v>261</v>
      </c>
      <c r="M499" s="55">
        <v>4400000</v>
      </c>
      <c r="N499" s="46">
        <v>72</v>
      </c>
      <c r="O499" s="46">
        <v>0</v>
      </c>
      <c r="P499" s="46">
        <v>1</v>
      </c>
      <c r="Q499" s="46">
        <v>12</v>
      </c>
      <c r="R499" s="55">
        <v>78474</v>
      </c>
      <c r="S499" s="46">
        <v>1</v>
      </c>
      <c r="T499" s="55">
        <v>208000</v>
      </c>
      <c r="U499" s="55">
        <f t="shared" si="47"/>
        <v>55700</v>
      </c>
      <c r="V499" s="55">
        <v>1</v>
      </c>
      <c r="W499" s="55">
        <v>91298</v>
      </c>
      <c r="X499" s="46">
        <v>1</v>
      </c>
      <c r="Y499" s="46">
        <v>1</v>
      </c>
      <c r="Z499" s="54">
        <v>0.17452258722249359</v>
      </c>
      <c r="AA499" s="15">
        <f t="shared" si="48"/>
        <v>1.4543548935207798E-2</v>
      </c>
      <c r="AB499" s="15">
        <f t="shared" si="49"/>
        <v>0.17452258722249359</v>
      </c>
      <c r="AC499" t="b">
        <f t="shared" si="50"/>
        <v>1</v>
      </c>
    </row>
    <row r="500" spans="1:29" x14ac:dyDescent="0.25">
      <c r="A500" s="52" t="s">
        <v>259</v>
      </c>
      <c r="B500" s="46">
        <v>30013</v>
      </c>
      <c r="C500" s="47">
        <v>45793</v>
      </c>
      <c r="D500" s="46">
        <v>311500</v>
      </c>
      <c r="E500" s="46">
        <v>2</v>
      </c>
      <c r="F500" s="52" t="s">
        <v>2142</v>
      </c>
      <c r="G500" s="46">
        <v>6</v>
      </c>
      <c r="H500" s="52" t="s">
        <v>784</v>
      </c>
      <c r="I500" s="46"/>
      <c r="J500" s="46">
        <v>0</v>
      </c>
      <c r="K500" s="46"/>
      <c r="L500" s="52" t="s">
        <v>261</v>
      </c>
      <c r="M500" s="55">
        <v>8000000</v>
      </c>
      <c r="N500" s="46">
        <v>42</v>
      </c>
      <c r="O500" s="46">
        <v>0</v>
      </c>
      <c r="P500" s="46">
        <v>1</v>
      </c>
      <c r="Q500" s="46">
        <v>13</v>
      </c>
      <c r="R500" s="55">
        <v>237800</v>
      </c>
      <c r="S500" s="46">
        <v>1</v>
      </c>
      <c r="T500" s="55">
        <v>225000</v>
      </c>
      <c r="U500" s="55">
        <f t="shared" si="47"/>
        <v>91700</v>
      </c>
      <c r="V500" s="55">
        <v>1</v>
      </c>
      <c r="W500" s="55">
        <v>247818</v>
      </c>
      <c r="X500" s="46">
        <v>1</v>
      </c>
      <c r="Y500" s="46">
        <v>1</v>
      </c>
      <c r="Z500" s="54">
        <v>0.19975029040058165</v>
      </c>
      <c r="AA500" s="15">
        <f t="shared" si="48"/>
        <v>1.6645857533381804E-2</v>
      </c>
      <c r="AB500" s="15">
        <f t="shared" si="49"/>
        <v>0.19975029040058165</v>
      </c>
      <c r="AC500" t="b">
        <f t="shared" si="50"/>
        <v>1</v>
      </c>
    </row>
    <row r="501" spans="1:29" x14ac:dyDescent="0.25">
      <c r="A501" s="52" t="s">
        <v>259</v>
      </c>
      <c r="B501" s="46">
        <v>30013</v>
      </c>
      <c r="C501" s="47">
        <v>45793</v>
      </c>
      <c r="D501" s="46">
        <v>311500</v>
      </c>
      <c r="E501" s="46">
        <v>2</v>
      </c>
      <c r="F501" s="52" t="s">
        <v>2143</v>
      </c>
      <c r="G501" s="46">
        <v>6</v>
      </c>
      <c r="H501" s="52" t="s">
        <v>784</v>
      </c>
      <c r="I501" s="46"/>
      <c r="J501" s="46">
        <v>0</v>
      </c>
      <c r="K501" s="46"/>
      <c r="L501" s="52" t="s">
        <v>261</v>
      </c>
      <c r="M501" s="55">
        <v>5250000</v>
      </c>
      <c r="N501" s="46">
        <v>72</v>
      </c>
      <c r="O501" s="46">
        <v>0</v>
      </c>
      <c r="P501" s="46">
        <v>1</v>
      </c>
      <c r="Q501" s="46">
        <v>12</v>
      </c>
      <c r="R501" s="55">
        <v>93634</v>
      </c>
      <c r="S501" s="46">
        <v>1</v>
      </c>
      <c r="T501" s="55">
        <v>246250</v>
      </c>
      <c r="U501" s="55">
        <f t="shared" si="47"/>
        <v>64200</v>
      </c>
      <c r="V501" s="55">
        <v>1</v>
      </c>
      <c r="W501" s="55">
        <v>108935</v>
      </c>
      <c r="X501" s="46">
        <v>1</v>
      </c>
      <c r="Y501" s="46">
        <v>1</v>
      </c>
      <c r="Z501" s="54">
        <v>0.17417536517605459</v>
      </c>
      <c r="AA501" s="15">
        <f t="shared" si="48"/>
        <v>1.4514613764671216E-2</v>
      </c>
      <c r="AB501" s="15">
        <f t="shared" si="49"/>
        <v>0.17417536517605459</v>
      </c>
      <c r="AC501" t="b">
        <f t="shared" si="50"/>
        <v>1</v>
      </c>
    </row>
    <row r="502" spans="1:29" x14ac:dyDescent="0.25">
      <c r="A502" s="52" t="s">
        <v>259</v>
      </c>
      <c r="B502" s="46">
        <v>30013</v>
      </c>
      <c r="C502" s="47">
        <v>45793</v>
      </c>
      <c r="D502" s="46">
        <v>321300</v>
      </c>
      <c r="E502" s="46">
        <v>2</v>
      </c>
      <c r="F502" s="52" t="s">
        <v>2144</v>
      </c>
      <c r="G502" s="46">
        <v>6</v>
      </c>
      <c r="H502" s="52" t="s">
        <v>1642</v>
      </c>
      <c r="I502" s="46"/>
      <c r="J502" s="46">
        <v>0</v>
      </c>
      <c r="K502" s="46"/>
      <c r="L502" s="52" t="s">
        <v>692</v>
      </c>
      <c r="M502" s="55">
        <v>9000000</v>
      </c>
      <c r="N502" s="46">
        <v>24</v>
      </c>
      <c r="O502" s="46">
        <v>0</v>
      </c>
      <c r="P502" s="46">
        <v>1</v>
      </c>
      <c r="Q502" s="46">
        <v>8</v>
      </c>
      <c r="R502" s="55">
        <v>267525</v>
      </c>
      <c r="S502" s="46">
        <v>1</v>
      </c>
      <c r="T502" s="55">
        <v>150000</v>
      </c>
      <c r="U502" s="55">
        <f t="shared" si="47"/>
        <v>101700</v>
      </c>
      <c r="V502" s="55">
        <v>1</v>
      </c>
      <c r="W502" s="55">
        <v>413280</v>
      </c>
      <c r="X502" s="46">
        <v>1</v>
      </c>
      <c r="Y502" s="46">
        <v>1</v>
      </c>
      <c r="Z502" s="54">
        <v>0.1551438237019557</v>
      </c>
      <c r="AA502" s="15">
        <f t="shared" si="48"/>
        <v>1.2928651975162976E-2</v>
      </c>
      <c r="AB502" s="15">
        <f t="shared" si="49"/>
        <v>0.1551438237019557</v>
      </c>
      <c r="AC502" t="b">
        <f t="shared" si="50"/>
        <v>1</v>
      </c>
    </row>
    <row r="503" spans="1:29" x14ac:dyDescent="0.25">
      <c r="A503" s="52" t="s">
        <v>259</v>
      </c>
      <c r="B503" s="46">
        <v>30013</v>
      </c>
      <c r="C503" s="47">
        <v>45793</v>
      </c>
      <c r="D503" s="46">
        <v>311500</v>
      </c>
      <c r="E503" s="46">
        <v>2</v>
      </c>
      <c r="F503" s="52" t="s">
        <v>2145</v>
      </c>
      <c r="G503" s="46">
        <v>6</v>
      </c>
      <c r="H503" s="52" t="s">
        <v>784</v>
      </c>
      <c r="I503" s="46"/>
      <c r="J503" s="46">
        <v>0</v>
      </c>
      <c r="K503" s="46"/>
      <c r="L503" s="52" t="s">
        <v>690</v>
      </c>
      <c r="M503" s="55">
        <v>7100000</v>
      </c>
      <c r="N503" s="46">
        <v>72</v>
      </c>
      <c r="O503" s="46">
        <v>0</v>
      </c>
      <c r="P503" s="46">
        <v>1</v>
      </c>
      <c r="Q503" s="46">
        <v>8</v>
      </c>
      <c r="R503" s="55">
        <v>126629</v>
      </c>
      <c r="S503" s="46">
        <v>1</v>
      </c>
      <c r="T503" s="55">
        <v>329500</v>
      </c>
      <c r="U503" s="55">
        <f t="shared" si="47"/>
        <v>82700</v>
      </c>
      <c r="V503" s="55">
        <v>1</v>
      </c>
      <c r="W503" s="55">
        <v>129793</v>
      </c>
      <c r="X503" s="46">
        <v>1</v>
      </c>
      <c r="Y503" s="46">
        <v>1</v>
      </c>
      <c r="Z503" s="54">
        <v>0.12444258855627824</v>
      </c>
      <c r="AA503" s="15">
        <f t="shared" si="48"/>
        <v>1.0370215713023186E-2</v>
      </c>
      <c r="AB503" s="15">
        <f t="shared" si="49"/>
        <v>0.12444258855627824</v>
      </c>
      <c r="AC503" t="b">
        <f t="shared" si="50"/>
        <v>1</v>
      </c>
    </row>
    <row r="504" spans="1:29" x14ac:dyDescent="0.25">
      <c r="A504" s="52" t="s">
        <v>259</v>
      </c>
      <c r="B504" s="46">
        <v>30013</v>
      </c>
      <c r="C504" s="47">
        <v>45793</v>
      </c>
      <c r="D504" s="46">
        <v>311500</v>
      </c>
      <c r="E504" s="46">
        <v>2</v>
      </c>
      <c r="F504" s="52" t="s">
        <v>2146</v>
      </c>
      <c r="G504" s="46">
        <v>6</v>
      </c>
      <c r="H504" s="52" t="s">
        <v>1650</v>
      </c>
      <c r="I504" s="46"/>
      <c r="J504" s="46">
        <v>0</v>
      </c>
      <c r="K504" s="46"/>
      <c r="L504" s="52" t="s">
        <v>261</v>
      </c>
      <c r="M504" s="55">
        <v>5800000</v>
      </c>
      <c r="N504" s="46">
        <v>72</v>
      </c>
      <c r="O504" s="46">
        <v>0</v>
      </c>
      <c r="P504" s="46">
        <v>1</v>
      </c>
      <c r="Q504" s="46">
        <v>12</v>
      </c>
      <c r="R504" s="55">
        <v>103443</v>
      </c>
      <c r="S504" s="46">
        <v>1</v>
      </c>
      <c r="T504" s="55">
        <v>271000</v>
      </c>
      <c r="U504" s="55">
        <f t="shared" si="47"/>
        <v>69700</v>
      </c>
      <c r="V504" s="55">
        <v>1</v>
      </c>
      <c r="W504" s="55">
        <v>120347</v>
      </c>
      <c r="X504" s="46">
        <v>1</v>
      </c>
      <c r="Y504" s="46">
        <v>1</v>
      </c>
      <c r="Z504" s="54">
        <v>0.1740044675019721</v>
      </c>
      <c r="AA504" s="15">
        <f t="shared" si="48"/>
        <v>1.4500372291831008E-2</v>
      </c>
      <c r="AB504" s="15">
        <f t="shared" si="49"/>
        <v>0.1740044675019721</v>
      </c>
      <c r="AC504" t="b">
        <f t="shared" si="50"/>
        <v>1</v>
      </c>
    </row>
    <row r="505" spans="1:29" x14ac:dyDescent="0.25">
      <c r="A505" s="52" t="s">
        <v>259</v>
      </c>
      <c r="B505" s="46">
        <v>30013</v>
      </c>
      <c r="C505" s="47">
        <v>45793</v>
      </c>
      <c r="D505" s="46">
        <v>311500</v>
      </c>
      <c r="E505" s="46">
        <v>2</v>
      </c>
      <c r="F505" s="52" t="s">
        <v>2147</v>
      </c>
      <c r="G505" s="46">
        <v>6</v>
      </c>
      <c r="H505" s="52" t="s">
        <v>784</v>
      </c>
      <c r="I505" s="46"/>
      <c r="J505" s="46">
        <v>0</v>
      </c>
      <c r="K505" s="46"/>
      <c r="L505" s="52" t="s">
        <v>700</v>
      </c>
      <c r="M505" s="55">
        <v>2000000</v>
      </c>
      <c r="N505" s="46">
        <v>48</v>
      </c>
      <c r="O505" s="46">
        <v>0</v>
      </c>
      <c r="P505" s="46">
        <v>1</v>
      </c>
      <c r="Q505" s="46">
        <v>13</v>
      </c>
      <c r="R505" s="55">
        <v>59450</v>
      </c>
      <c r="S505" s="46">
        <v>1</v>
      </c>
      <c r="T505" s="55">
        <v>70000</v>
      </c>
      <c r="U505" s="55">
        <f t="shared" si="47"/>
        <v>31700</v>
      </c>
      <c r="V505" s="55">
        <v>1</v>
      </c>
      <c r="W505" s="55">
        <v>56126</v>
      </c>
      <c r="X505" s="46">
        <v>1</v>
      </c>
      <c r="Y505" s="46">
        <v>1</v>
      </c>
      <c r="Z505" s="54">
        <v>0.2017248544611179</v>
      </c>
      <c r="AA505" s="15">
        <f t="shared" si="48"/>
        <v>1.6810404538426492E-2</v>
      </c>
      <c r="AB505" s="15">
        <f t="shared" si="49"/>
        <v>0.2017248544611179</v>
      </c>
      <c r="AC505" t="b">
        <f t="shared" si="50"/>
        <v>1</v>
      </c>
    </row>
    <row r="506" spans="1:29" x14ac:dyDescent="0.25">
      <c r="A506" s="52" t="s">
        <v>259</v>
      </c>
      <c r="B506" s="46">
        <v>30013</v>
      </c>
      <c r="C506" s="47">
        <v>45793</v>
      </c>
      <c r="D506" s="46">
        <v>311500</v>
      </c>
      <c r="E506" s="46">
        <v>2</v>
      </c>
      <c r="F506" s="52" t="s">
        <v>2148</v>
      </c>
      <c r="G506" s="46">
        <v>6</v>
      </c>
      <c r="H506" s="52" t="s">
        <v>784</v>
      </c>
      <c r="I506" s="46"/>
      <c r="J506" s="46">
        <v>0</v>
      </c>
      <c r="K506" s="46"/>
      <c r="L506" s="52" t="s">
        <v>690</v>
      </c>
      <c r="M506" s="55">
        <v>5000000</v>
      </c>
      <c r="N506" s="46">
        <v>60</v>
      </c>
      <c r="O506" s="46">
        <v>0</v>
      </c>
      <c r="P506" s="46">
        <v>1</v>
      </c>
      <c r="Q506" s="46">
        <v>8</v>
      </c>
      <c r="R506" s="55">
        <v>148625</v>
      </c>
      <c r="S506" s="46">
        <v>1</v>
      </c>
      <c r="T506" s="55">
        <v>197500</v>
      </c>
      <c r="U506" s="55">
        <f t="shared" si="47"/>
        <v>61700</v>
      </c>
      <c r="V506" s="55">
        <v>1</v>
      </c>
      <c r="W506" s="55">
        <v>105039</v>
      </c>
      <c r="X506" s="46">
        <v>1</v>
      </c>
      <c r="Y506" s="46">
        <v>1</v>
      </c>
      <c r="Z506" s="54">
        <v>0.13234848665913623</v>
      </c>
      <c r="AA506" s="15">
        <f t="shared" si="48"/>
        <v>1.1029040554928021E-2</v>
      </c>
      <c r="AB506" s="15">
        <f t="shared" si="49"/>
        <v>0.13234848665913623</v>
      </c>
      <c r="AC506" t="b">
        <f t="shared" si="50"/>
        <v>1</v>
      </c>
    </row>
    <row r="507" spans="1:29" x14ac:dyDescent="0.25">
      <c r="A507" s="52" t="s">
        <v>259</v>
      </c>
      <c r="B507" s="46">
        <v>30013</v>
      </c>
      <c r="C507" s="47">
        <v>45793</v>
      </c>
      <c r="D507" s="46">
        <v>311500</v>
      </c>
      <c r="E507" s="46">
        <v>2</v>
      </c>
      <c r="F507" s="52" t="s">
        <v>704</v>
      </c>
      <c r="G507" s="46">
        <v>6</v>
      </c>
      <c r="H507" s="52" t="s">
        <v>1650</v>
      </c>
      <c r="I507" s="46"/>
      <c r="J507" s="46">
        <v>0</v>
      </c>
      <c r="K507" s="46"/>
      <c r="L507" s="52" t="s">
        <v>690</v>
      </c>
      <c r="M507" s="55">
        <v>10000000</v>
      </c>
      <c r="N507" s="46">
        <v>72</v>
      </c>
      <c r="O507" s="46">
        <v>0</v>
      </c>
      <c r="P507" s="46">
        <v>1</v>
      </c>
      <c r="Q507" s="46">
        <v>8</v>
      </c>
      <c r="R507" s="55">
        <v>178350</v>
      </c>
      <c r="S507" s="46">
        <v>1</v>
      </c>
      <c r="T507" s="55">
        <v>465000</v>
      </c>
      <c r="U507" s="55">
        <f t="shared" si="47"/>
        <v>111700</v>
      </c>
      <c r="V507" s="55">
        <v>1</v>
      </c>
      <c r="W507" s="55">
        <v>182807</v>
      </c>
      <c r="X507" s="46">
        <v>1</v>
      </c>
      <c r="Y507" s="46">
        <v>1</v>
      </c>
      <c r="Z507" s="54">
        <v>0.12428453650454652</v>
      </c>
      <c r="AA507" s="15">
        <f t="shared" si="48"/>
        <v>1.035704470871221E-2</v>
      </c>
      <c r="AB507" s="15">
        <f t="shared" si="49"/>
        <v>0.12428453650454652</v>
      </c>
      <c r="AC507" t="b">
        <f t="shared" si="50"/>
        <v>1</v>
      </c>
    </row>
    <row r="508" spans="1:29" x14ac:dyDescent="0.25">
      <c r="A508" s="52" t="s">
        <v>259</v>
      </c>
      <c r="B508" s="46">
        <v>30013</v>
      </c>
      <c r="C508" s="47">
        <v>45793</v>
      </c>
      <c r="D508" s="46">
        <v>321600</v>
      </c>
      <c r="E508" s="46">
        <v>2</v>
      </c>
      <c r="F508" s="52" t="s">
        <v>2149</v>
      </c>
      <c r="G508" s="46">
        <v>6</v>
      </c>
      <c r="H508" s="52" t="s">
        <v>784</v>
      </c>
      <c r="I508" s="46"/>
      <c r="J508" s="46">
        <v>0</v>
      </c>
      <c r="K508" s="46"/>
      <c r="L508" s="52" t="s">
        <v>692</v>
      </c>
      <c r="M508" s="55">
        <v>3000000</v>
      </c>
      <c r="N508" s="46">
        <v>6</v>
      </c>
      <c r="O508" s="46">
        <v>0</v>
      </c>
      <c r="P508" s="46">
        <v>1</v>
      </c>
      <c r="Q508" s="46">
        <v>8</v>
      </c>
      <c r="R508" s="55">
        <v>53505</v>
      </c>
      <c r="S508" s="46">
        <v>1</v>
      </c>
      <c r="T508" s="55">
        <v>21250</v>
      </c>
      <c r="U508" s="55">
        <f t="shared" si="47"/>
        <v>41700</v>
      </c>
      <c r="V508" s="55">
        <v>1</v>
      </c>
      <c r="W508" s="55">
        <v>513963</v>
      </c>
      <c r="X508" s="46">
        <v>1</v>
      </c>
      <c r="Y508" s="46">
        <v>1</v>
      </c>
      <c r="Z508" s="54">
        <v>0.23430476714112811</v>
      </c>
      <c r="AA508" s="15">
        <f t="shared" si="48"/>
        <v>1.9525397261760676E-2</v>
      </c>
      <c r="AB508" s="15">
        <f t="shared" si="49"/>
        <v>0.23430476714112811</v>
      </c>
      <c r="AC508" t="b">
        <f t="shared" si="50"/>
        <v>1</v>
      </c>
    </row>
    <row r="509" spans="1:29" x14ac:dyDescent="0.25">
      <c r="A509" s="52" t="s">
        <v>259</v>
      </c>
      <c r="B509" s="46">
        <v>30013</v>
      </c>
      <c r="C509" s="47">
        <v>45793</v>
      </c>
      <c r="D509" s="46">
        <v>311500</v>
      </c>
      <c r="E509" s="46">
        <v>2</v>
      </c>
      <c r="F509" s="52" t="s">
        <v>2150</v>
      </c>
      <c r="G509" s="46">
        <v>6</v>
      </c>
      <c r="H509" s="52" t="s">
        <v>1642</v>
      </c>
      <c r="I509" s="46"/>
      <c r="J509" s="46">
        <v>0</v>
      </c>
      <c r="K509" s="46"/>
      <c r="L509" s="52" t="s">
        <v>231</v>
      </c>
      <c r="M509" s="55">
        <v>10000000</v>
      </c>
      <c r="N509" s="46">
        <v>36</v>
      </c>
      <c r="O509" s="46">
        <v>0</v>
      </c>
      <c r="P509" s="46">
        <v>1</v>
      </c>
      <c r="Q509" s="46">
        <v>8</v>
      </c>
      <c r="R509" s="55">
        <v>297250</v>
      </c>
      <c r="S509" s="46">
        <v>1</v>
      </c>
      <c r="T509" s="55">
        <v>240000</v>
      </c>
      <c r="U509" s="55">
        <f t="shared" si="47"/>
        <v>111700</v>
      </c>
      <c r="V509" s="55">
        <v>1</v>
      </c>
      <c r="W509" s="55">
        <v>320386</v>
      </c>
      <c r="X509" s="46">
        <v>1</v>
      </c>
      <c r="Y509" s="46">
        <v>1</v>
      </c>
      <c r="Z509" s="54">
        <v>0.14173658590161969</v>
      </c>
      <c r="AA509" s="15">
        <f t="shared" si="48"/>
        <v>1.1811382158468308E-2</v>
      </c>
      <c r="AB509" s="15">
        <f t="shared" si="49"/>
        <v>0.14173658590161969</v>
      </c>
      <c r="AC509" t="b">
        <f t="shared" si="50"/>
        <v>1</v>
      </c>
    </row>
    <row r="510" spans="1:29" x14ac:dyDescent="0.25">
      <c r="A510" s="52" t="s">
        <v>259</v>
      </c>
      <c r="B510" s="46">
        <v>30013</v>
      </c>
      <c r="C510" s="47">
        <v>45793</v>
      </c>
      <c r="D510" s="46">
        <v>311500</v>
      </c>
      <c r="E510" s="46">
        <v>2</v>
      </c>
      <c r="F510" s="52" t="s">
        <v>2151</v>
      </c>
      <c r="G510" s="46">
        <v>6</v>
      </c>
      <c r="H510" s="52" t="s">
        <v>1642</v>
      </c>
      <c r="I510" s="46"/>
      <c r="J510" s="46">
        <v>0</v>
      </c>
      <c r="K510" s="46"/>
      <c r="L510" s="52" t="s">
        <v>231</v>
      </c>
      <c r="M510" s="55">
        <v>10000000</v>
      </c>
      <c r="N510" s="46">
        <v>48</v>
      </c>
      <c r="O510" s="46">
        <v>0</v>
      </c>
      <c r="P510" s="46">
        <v>1</v>
      </c>
      <c r="Q510" s="46">
        <v>9</v>
      </c>
      <c r="R510" s="55">
        <v>297250</v>
      </c>
      <c r="S510" s="46">
        <v>1</v>
      </c>
      <c r="T510" s="55">
        <v>315000</v>
      </c>
      <c r="U510" s="55">
        <f t="shared" si="47"/>
        <v>111700</v>
      </c>
      <c r="V510" s="55">
        <v>1</v>
      </c>
      <c r="W510" s="55">
        <v>257006</v>
      </c>
      <c r="X510" s="46">
        <v>1</v>
      </c>
      <c r="Y510" s="46">
        <v>1</v>
      </c>
      <c r="Z510" s="54">
        <v>0.14754389394740203</v>
      </c>
      <c r="AA510" s="15">
        <f t="shared" si="48"/>
        <v>1.2295324495616836E-2</v>
      </c>
      <c r="AB510" s="15">
        <f t="shared" si="49"/>
        <v>0.14754389394740203</v>
      </c>
      <c r="AC510" t="b">
        <f t="shared" si="50"/>
        <v>1</v>
      </c>
    </row>
    <row r="511" spans="1:29" x14ac:dyDescent="0.25">
      <c r="A511" s="52" t="s">
        <v>259</v>
      </c>
      <c r="B511" s="46">
        <v>30013</v>
      </c>
      <c r="C511" s="47">
        <v>45793</v>
      </c>
      <c r="D511" s="46">
        <v>321500</v>
      </c>
      <c r="E511" s="46">
        <v>2</v>
      </c>
      <c r="F511" s="52" t="s">
        <v>2152</v>
      </c>
      <c r="G511" s="46">
        <v>6</v>
      </c>
      <c r="H511" s="52" t="s">
        <v>784</v>
      </c>
      <c r="I511" s="46"/>
      <c r="J511" s="46">
        <v>0</v>
      </c>
      <c r="K511" s="46"/>
      <c r="L511" s="52" t="s">
        <v>690</v>
      </c>
      <c r="M511" s="55">
        <v>2800000</v>
      </c>
      <c r="N511" s="46">
        <v>12</v>
      </c>
      <c r="O511" s="46">
        <v>0</v>
      </c>
      <c r="P511" s="46">
        <v>1</v>
      </c>
      <c r="Q511" s="46">
        <v>10</v>
      </c>
      <c r="R511" s="55">
        <v>33292</v>
      </c>
      <c r="S511" s="46">
        <v>1</v>
      </c>
      <c r="T511" s="55">
        <v>31000</v>
      </c>
      <c r="U511" s="55">
        <f t="shared" si="47"/>
        <v>39700</v>
      </c>
      <c r="V511" s="55">
        <v>1</v>
      </c>
      <c r="W511" s="55">
        <v>248633</v>
      </c>
      <c r="X511" s="46">
        <v>1</v>
      </c>
      <c r="Y511" s="46">
        <v>1</v>
      </c>
      <c r="Z511" s="54">
        <v>0.1913841206847178</v>
      </c>
      <c r="AA511" s="15">
        <f t="shared" si="48"/>
        <v>1.5948676723726483E-2</v>
      </c>
      <c r="AB511" s="15">
        <f t="shared" si="49"/>
        <v>0.1913841206847178</v>
      </c>
      <c r="AC511" t="b">
        <f t="shared" si="50"/>
        <v>1</v>
      </c>
    </row>
    <row r="512" spans="1:29" x14ac:dyDescent="0.25">
      <c r="A512" s="52" t="s">
        <v>259</v>
      </c>
      <c r="B512" s="46">
        <v>30013</v>
      </c>
      <c r="C512" s="47">
        <v>45796</v>
      </c>
      <c r="D512" s="46">
        <v>311500</v>
      </c>
      <c r="E512" s="46">
        <v>2</v>
      </c>
      <c r="F512" s="52" t="s">
        <v>2153</v>
      </c>
      <c r="G512" s="46">
        <v>6</v>
      </c>
      <c r="H512" s="52" t="s">
        <v>784</v>
      </c>
      <c r="I512" s="46"/>
      <c r="J512" s="46">
        <v>0</v>
      </c>
      <c r="K512" s="46"/>
      <c r="L512" s="52" t="s">
        <v>261</v>
      </c>
      <c r="M512" s="55">
        <v>5410000</v>
      </c>
      <c r="N512" s="46">
        <v>72</v>
      </c>
      <c r="O512" s="46">
        <v>0</v>
      </c>
      <c r="P512" s="46">
        <v>1</v>
      </c>
      <c r="Q512" s="46">
        <v>11</v>
      </c>
      <c r="R512" s="55">
        <v>96487</v>
      </c>
      <c r="S512" s="46">
        <v>1</v>
      </c>
      <c r="T512" s="55">
        <v>253450</v>
      </c>
      <c r="U512" s="55">
        <f t="shared" si="47"/>
        <v>65800</v>
      </c>
      <c r="V512" s="55">
        <v>1</v>
      </c>
      <c r="W512" s="55">
        <v>108827</v>
      </c>
      <c r="X512" s="46">
        <v>1</v>
      </c>
      <c r="Y512" s="46">
        <v>1</v>
      </c>
      <c r="Z512" s="54">
        <v>0.16178799665208479</v>
      </c>
      <c r="AA512" s="15">
        <f t="shared" si="48"/>
        <v>1.3482333054340399E-2</v>
      </c>
      <c r="AB512" s="15">
        <f t="shared" si="49"/>
        <v>0.16178799665208479</v>
      </c>
      <c r="AC512" t="b">
        <f t="shared" si="50"/>
        <v>1</v>
      </c>
    </row>
    <row r="513" spans="1:29" x14ac:dyDescent="0.25">
      <c r="A513" s="52" t="s">
        <v>259</v>
      </c>
      <c r="B513" s="46">
        <v>30013</v>
      </c>
      <c r="C513" s="47">
        <v>45796</v>
      </c>
      <c r="D513" s="46">
        <v>311500</v>
      </c>
      <c r="E513" s="46">
        <v>2</v>
      </c>
      <c r="F513" s="52" t="s">
        <v>2154</v>
      </c>
      <c r="G513" s="46">
        <v>6</v>
      </c>
      <c r="H513" s="52" t="s">
        <v>784</v>
      </c>
      <c r="I513" s="46"/>
      <c r="J513" s="46">
        <v>0</v>
      </c>
      <c r="K513" s="46"/>
      <c r="L513" s="52" t="s">
        <v>261</v>
      </c>
      <c r="M513" s="55">
        <v>5410000</v>
      </c>
      <c r="N513" s="46">
        <v>72</v>
      </c>
      <c r="O513" s="46">
        <v>0</v>
      </c>
      <c r="P513" s="46">
        <v>1</v>
      </c>
      <c r="Q513" s="46">
        <v>12</v>
      </c>
      <c r="R513" s="55">
        <v>96487</v>
      </c>
      <c r="S513" s="46">
        <v>1</v>
      </c>
      <c r="T513" s="55">
        <v>253450</v>
      </c>
      <c r="U513" s="55">
        <f t="shared" si="47"/>
        <v>65800</v>
      </c>
      <c r="V513" s="55">
        <v>1</v>
      </c>
      <c r="W513" s="55">
        <v>112255</v>
      </c>
      <c r="X513" s="46">
        <v>1</v>
      </c>
      <c r="Y513" s="46">
        <v>1</v>
      </c>
      <c r="Z513" s="54">
        <v>0.17412253090280042</v>
      </c>
      <c r="AA513" s="15">
        <f t="shared" si="48"/>
        <v>1.4510210908566702E-2</v>
      </c>
      <c r="AB513" s="15">
        <f t="shared" si="49"/>
        <v>0.17412253090280042</v>
      </c>
      <c r="AC513" t="b">
        <f t="shared" si="50"/>
        <v>1</v>
      </c>
    </row>
    <row r="514" spans="1:29" x14ac:dyDescent="0.25">
      <c r="A514" s="52" t="s">
        <v>259</v>
      </c>
      <c r="B514" s="46">
        <v>30013</v>
      </c>
      <c r="C514" s="47">
        <v>45796</v>
      </c>
      <c r="D514" s="46">
        <v>311500</v>
      </c>
      <c r="E514" s="46">
        <v>2</v>
      </c>
      <c r="F514" s="52" t="s">
        <v>2155</v>
      </c>
      <c r="G514" s="46">
        <v>6</v>
      </c>
      <c r="H514" s="52" t="s">
        <v>784</v>
      </c>
      <c r="I514" s="46"/>
      <c r="J514" s="46">
        <v>0</v>
      </c>
      <c r="K514" s="46"/>
      <c r="L514" s="52" t="s">
        <v>261</v>
      </c>
      <c r="M514" s="55">
        <v>5100000</v>
      </c>
      <c r="N514" s="46">
        <v>72</v>
      </c>
      <c r="O514" s="46">
        <v>0</v>
      </c>
      <c r="P514" s="46">
        <v>1</v>
      </c>
      <c r="Q514" s="46">
        <v>12</v>
      </c>
      <c r="R514" s="55">
        <v>90959</v>
      </c>
      <c r="S514" s="46">
        <v>1</v>
      </c>
      <c r="T514" s="55">
        <v>239500</v>
      </c>
      <c r="U514" s="55">
        <f t="shared" si="47"/>
        <v>62700</v>
      </c>
      <c r="V514" s="55">
        <v>1</v>
      </c>
      <c r="W514" s="55">
        <v>105823</v>
      </c>
      <c r="X514" s="46">
        <v>1</v>
      </c>
      <c r="Y514" s="46">
        <v>1</v>
      </c>
      <c r="Z514" s="54">
        <v>0.17422978497571545</v>
      </c>
      <c r="AA514" s="15">
        <f t="shared" si="48"/>
        <v>1.4519148747976288E-2</v>
      </c>
      <c r="AB514" s="15">
        <f t="shared" si="49"/>
        <v>0.17422978497571545</v>
      </c>
      <c r="AC514" t="b">
        <f t="shared" si="50"/>
        <v>1</v>
      </c>
    </row>
    <row r="515" spans="1:29" x14ac:dyDescent="0.25">
      <c r="A515" s="52" t="s">
        <v>259</v>
      </c>
      <c r="B515" s="46">
        <v>30013</v>
      </c>
      <c r="C515" s="47">
        <v>45796</v>
      </c>
      <c r="D515" s="46">
        <v>311500</v>
      </c>
      <c r="E515" s="46">
        <v>2</v>
      </c>
      <c r="F515" s="52" t="s">
        <v>2156</v>
      </c>
      <c r="G515" s="46">
        <v>6</v>
      </c>
      <c r="H515" s="52" t="s">
        <v>784</v>
      </c>
      <c r="I515" s="46"/>
      <c r="J515" s="46">
        <v>0</v>
      </c>
      <c r="K515" s="46"/>
      <c r="L515" s="52" t="s">
        <v>2157</v>
      </c>
      <c r="M515" s="55">
        <v>4900000</v>
      </c>
      <c r="N515" s="46">
        <v>84</v>
      </c>
      <c r="O515" s="46">
        <v>0</v>
      </c>
      <c r="P515" s="46">
        <v>1</v>
      </c>
      <c r="Q515" s="46">
        <v>8</v>
      </c>
      <c r="R515" s="55">
        <v>87392</v>
      </c>
      <c r="S515" s="46">
        <v>1</v>
      </c>
      <c r="T515" s="55">
        <v>267250</v>
      </c>
      <c r="U515" s="55">
        <f t="shared" si="47"/>
        <v>60700</v>
      </c>
      <c r="V515" s="55">
        <v>1</v>
      </c>
      <c r="W515" s="55">
        <v>80116</v>
      </c>
      <c r="X515" s="46">
        <v>1</v>
      </c>
      <c r="Y515" s="46">
        <v>1</v>
      </c>
      <c r="Z515" s="54">
        <v>0.12394616928578497</v>
      </c>
      <c r="AA515" s="15">
        <f t="shared" si="48"/>
        <v>1.0328847440482082E-2</v>
      </c>
      <c r="AB515" s="15">
        <f t="shared" si="49"/>
        <v>0.12394616928578497</v>
      </c>
      <c r="AC515" t="b">
        <f t="shared" si="50"/>
        <v>1</v>
      </c>
    </row>
    <row r="516" spans="1:29" x14ac:dyDescent="0.25">
      <c r="A516" s="52" t="s">
        <v>259</v>
      </c>
      <c r="B516" s="46">
        <v>30013</v>
      </c>
      <c r="C516" s="47">
        <v>45796</v>
      </c>
      <c r="D516" s="46">
        <v>311500</v>
      </c>
      <c r="E516" s="46">
        <v>2</v>
      </c>
      <c r="F516" s="52" t="s">
        <v>720</v>
      </c>
      <c r="G516" s="46">
        <v>6</v>
      </c>
      <c r="H516" s="52" t="s">
        <v>1689</v>
      </c>
      <c r="I516" s="46"/>
      <c r="J516" s="46">
        <v>0</v>
      </c>
      <c r="K516" s="46"/>
      <c r="L516" s="52" t="s">
        <v>686</v>
      </c>
      <c r="M516" s="55">
        <v>4150000</v>
      </c>
      <c r="N516" s="46">
        <v>40</v>
      </c>
      <c r="O516" s="46">
        <v>0</v>
      </c>
      <c r="P516" s="46">
        <v>1</v>
      </c>
      <c r="Q516" s="46">
        <v>8</v>
      </c>
      <c r="R516" s="55">
        <v>123359</v>
      </c>
      <c r="S516" s="46">
        <v>1</v>
      </c>
      <c r="T516" s="55">
        <v>113750</v>
      </c>
      <c r="U516" s="55">
        <f t="shared" ref="U516:U525" si="51">M516/100+11700</f>
        <v>53200</v>
      </c>
      <c r="V516" s="55">
        <v>1</v>
      </c>
      <c r="W516" s="55">
        <v>121473</v>
      </c>
      <c r="X516" s="46">
        <v>1</v>
      </c>
      <c r="Y516" s="46">
        <v>1</v>
      </c>
      <c r="Z516" s="54">
        <v>0.1408931350776203</v>
      </c>
      <c r="AA516" s="15">
        <f t="shared" ref="AA516:AA579" si="52">RATE(N516,-W516,M516-R516-T516-U516)</f>
        <v>1.1741094589801692E-2</v>
      </c>
      <c r="AB516" s="15">
        <f t="shared" ref="AB516:AB579" si="53">IF(P516=1,AA516*12,IF(P516=2,AA516*4,IF(P516=3,AA516*2,AA516)))</f>
        <v>0.1408931350776203</v>
      </c>
      <c r="AC516" t="b">
        <f t="shared" ref="AC516:AC579" si="54">AB516=Z516</f>
        <v>1</v>
      </c>
    </row>
    <row r="517" spans="1:29" x14ac:dyDescent="0.25">
      <c r="A517" s="52" t="s">
        <v>259</v>
      </c>
      <c r="B517" s="46">
        <v>30013</v>
      </c>
      <c r="C517" s="47">
        <v>45796</v>
      </c>
      <c r="D517" s="46">
        <v>311500</v>
      </c>
      <c r="E517" s="46">
        <v>2</v>
      </c>
      <c r="F517" s="52" t="s">
        <v>2158</v>
      </c>
      <c r="G517" s="46">
        <v>6</v>
      </c>
      <c r="H517" s="52" t="s">
        <v>784</v>
      </c>
      <c r="I517" s="46"/>
      <c r="J517" s="46">
        <v>0</v>
      </c>
      <c r="K517" s="46"/>
      <c r="L517" s="52" t="s">
        <v>261</v>
      </c>
      <c r="M517" s="55">
        <v>4400000</v>
      </c>
      <c r="N517" s="46">
        <v>72</v>
      </c>
      <c r="O517" s="46">
        <v>0</v>
      </c>
      <c r="P517" s="46">
        <v>1</v>
      </c>
      <c r="Q517" s="46">
        <v>12</v>
      </c>
      <c r="R517" s="55">
        <v>78474</v>
      </c>
      <c r="S517" s="46">
        <v>1</v>
      </c>
      <c r="T517" s="55">
        <v>208000</v>
      </c>
      <c r="U517" s="55">
        <f t="shared" si="51"/>
        <v>55700</v>
      </c>
      <c r="V517" s="55">
        <v>1</v>
      </c>
      <c r="W517" s="55">
        <v>91298</v>
      </c>
      <c r="X517" s="46">
        <v>1</v>
      </c>
      <c r="Y517" s="46">
        <v>1</v>
      </c>
      <c r="Z517" s="54">
        <v>0.17452258722249359</v>
      </c>
      <c r="AA517" s="15">
        <f t="shared" si="52"/>
        <v>1.4543548935207798E-2</v>
      </c>
      <c r="AB517" s="15">
        <f t="shared" si="53"/>
        <v>0.17452258722249359</v>
      </c>
      <c r="AC517" t="b">
        <f t="shared" si="54"/>
        <v>1</v>
      </c>
    </row>
    <row r="518" spans="1:29" x14ac:dyDescent="0.25">
      <c r="A518" s="52" t="s">
        <v>259</v>
      </c>
      <c r="B518" s="46">
        <v>30013</v>
      </c>
      <c r="C518" s="47">
        <v>45796</v>
      </c>
      <c r="D518" s="46">
        <v>311500</v>
      </c>
      <c r="E518" s="46">
        <v>2</v>
      </c>
      <c r="F518" s="52" t="s">
        <v>2159</v>
      </c>
      <c r="G518" s="46">
        <v>6</v>
      </c>
      <c r="H518" s="52" t="s">
        <v>784</v>
      </c>
      <c r="I518" s="46"/>
      <c r="J518" s="46">
        <v>0</v>
      </c>
      <c r="K518" s="46"/>
      <c r="L518" s="52" t="s">
        <v>261</v>
      </c>
      <c r="M518" s="55">
        <v>4400000</v>
      </c>
      <c r="N518" s="46">
        <v>60</v>
      </c>
      <c r="O518" s="46">
        <v>0</v>
      </c>
      <c r="P518" s="46">
        <v>1</v>
      </c>
      <c r="Q518" s="46">
        <v>12</v>
      </c>
      <c r="R518" s="55">
        <v>130790</v>
      </c>
      <c r="S518" s="46">
        <v>1</v>
      </c>
      <c r="T518" s="55">
        <v>175000</v>
      </c>
      <c r="U518" s="55">
        <f t="shared" si="51"/>
        <v>55700</v>
      </c>
      <c r="V518" s="55">
        <v>1</v>
      </c>
      <c r="W518" s="55">
        <v>102993</v>
      </c>
      <c r="X518" s="46">
        <v>1</v>
      </c>
      <c r="Y518" s="46">
        <v>1</v>
      </c>
      <c r="Z518" s="54">
        <v>0.18200678844757795</v>
      </c>
      <c r="AA518" s="15">
        <f t="shared" si="52"/>
        <v>1.5167232370631497E-2</v>
      </c>
      <c r="AB518" s="15">
        <f t="shared" si="53"/>
        <v>0.18200678844757795</v>
      </c>
      <c r="AC518" t="b">
        <f t="shared" si="54"/>
        <v>1</v>
      </c>
    </row>
    <row r="519" spans="1:29" x14ac:dyDescent="0.25">
      <c r="A519" s="52" t="s">
        <v>259</v>
      </c>
      <c r="B519" s="46">
        <v>30013</v>
      </c>
      <c r="C519" s="47">
        <v>45796</v>
      </c>
      <c r="D519" s="46">
        <v>311500</v>
      </c>
      <c r="E519" s="46">
        <v>2</v>
      </c>
      <c r="F519" s="52" t="s">
        <v>2160</v>
      </c>
      <c r="G519" s="46">
        <v>6</v>
      </c>
      <c r="H519" s="52" t="s">
        <v>784</v>
      </c>
      <c r="I519" s="46"/>
      <c r="J519" s="46">
        <v>0</v>
      </c>
      <c r="K519" s="46"/>
      <c r="L519" s="52" t="s">
        <v>270</v>
      </c>
      <c r="M519" s="55">
        <v>3650000</v>
      </c>
      <c r="N519" s="46">
        <v>60</v>
      </c>
      <c r="O519" s="46">
        <v>0</v>
      </c>
      <c r="P519" s="46">
        <v>1</v>
      </c>
      <c r="Q519" s="46">
        <v>12</v>
      </c>
      <c r="R519" s="55">
        <v>108496</v>
      </c>
      <c r="S519" s="46">
        <v>1</v>
      </c>
      <c r="T519" s="55">
        <v>146875</v>
      </c>
      <c r="U519" s="55">
        <f t="shared" si="51"/>
        <v>48200</v>
      </c>
      <c r="V519" s="55">
        <v>1</v>
      </c>
      <c r="W519" s="55">
        <v>85437</v>
      </c>
      <c r="X519" s="46">
        <v>1</v>
      </c>
      <c r="Y519" s="46">
        <v>1</v>
      </c>
      <c r="Z519" s="54">
        <v>0.18252152562463481</v>
      </c>
      <c r="AA519" s="15">
        <f t="shared" si="52"/>
        <v>1.5210127135386234E-2</v>
      </c>
      <c r="AB519" s="15">
        <f t="shared" si="53"/>
        <v>0.18252152562463481</v>
      </c>
      <c r="AC519" t="b">
        <f t="shared" si="54"/>
        <v>1</v>
      </c>
    </row>
    <row r="520" spans="1:29" x14ac:dyDescent="0.25">
      <c r="A520" s="52" t="s">
        <v>259</v>
      </c>
      <c r="B520" s="46">
        <v>30013</v>
      </c>
      <c r="C520" s="47">
        <v>45796</v>
      </c>
      <c r="D520" s="46">
        <v>311500</v>
      </c>
      <c r="E520" s="46">
        <v>2</v>
      </c>
      <c r="F520" s="52" t="s">
        <v>2161</v>
      </c>
      <c r="G520" s="46">
        <v>6</v>
      </c>
      <c r="H520" s="52" t="s">
        <v>784</v>
      </c>
      <c r="I520" s="46"/>
      <c r="J520" s="46">
        <v>0</v>
      </c>
      <c r="K520" s="46"/>
      <c r="L520" s="52" t="s">
        <v>270</v>
      </c>
      <c r="M520" s="55">
        <v>2300000</v>
      </c>
      <c r="N520" s="46">
        <v>48</v>
      </c>
      <c r="O520" s="46">
        <v>0</v>
      </c>
      <c r="P520" s="46">
        <v>1</v>
      </c>
      <c r="Q520" s="46">
        <v>13</v>
      </c>
      <c r="R520" s="55">
        <v>68368</v>
      </c>
      <c r="S520" s="46">
        <v>1</v>
      </c>
      <c r="T520" s="55">
        <v>79000</v>
      </c>
      <c r="U520" s="55">
        <f t="shared" si="51"/>
        <v>34700</v>
      </c>
      <c r="V520" s="55">
        <v>1</v>
      </c>
      <c r="W520" s="55">
        <v>64545</v>
      </c>
      <c r="X520" s="46">
        <v>1</v>
      </c>
      <c r="Y520" s="46">
        <v>1</v>
      </c>
      <c r="Z520" s="54">
        <v>0.20084651967679112</v>
      </c>
      <c r="AA520" s="15">
        <f t="shared" si="52"/>
        <v>1.6737209973065926E-2</v>
      </c>
      <c r="AB520" s="15">
        <f t="shared" si="53"/>
        <v>0.20084651967679112</v>
      </c>
      <c r="AC520" t="b">
        <f t="shared" si="54"/>
        <v>1</v>
      </c>
    </row>
    <row r="521" spans="1:29" x14ac:dyDescent="0.25">
      <c r="A521" s="52" t="s">
        <v>259</v>
      </c>
      <c r="B521" s="46">
        <v>30013</v>
      </c>
      <c r="C521" s="47">
        <v>45796</v>
      </c>
      <c r="D521" s="46">
        <v>321500</v>
      </c>
      <c r="E521" s="46">
        <v>2</v>
      </c>
      <c r="F521" s="52" t="s">
        <v>2162</v>
      </c>
      <c r="G521" s="46">
        <v>6</v>
      </c>
      <c r="H521" s="52" t="s">
        <v>784</v>
      </c>
      <c r="I521" s="46"/>
      <c r="J521" s="46">
        <v>0</v>
      </c>
      <c r="K521" s="46"/>
      <c r="L521" s="52" t="s">
        <v>266</v>
      </c>
      <c r="M521" s="55">
        <v>1300000</v>
      </c>
      <c r="N521" s="46">
        <v>12</v>
      </c>
      <c r="O521" s="46">
        <v>0</v>
      </c>
      <c r="P521" s="46">
        <v>1</v>
      </c>
      <c r="Q521" s="46">
        <v>10</v>
      </c>
      <c r="R521" s="55">
        <v>15457</v>
      </c>
      <c r="S521" s="46">
        <v>1</v>
      </c>
      <c r="T521" s="55">
        <v>0</v>
      </c>
      <c r="U521" s="55">
        <f t="shared" si="51"/>
        <v>24700</v>
      </c>
      <c r="V521" s="55">
        <v>1</v>
      </c>
      <c r="W521" s="55">
        <v>115437</v>
      </c>
      <c r="X521" s="46">
        <v>1</v>
      </c>
      <c r="Y521" s="46">
        <v>1</v>
      </c>
      <c r="Z521" s="54">
        <v>0.17890910642795257</v>
      </c>
      <c r="AA521" s="15">
        <f t="shared" si="52"/>
        <v>1.4909092202329381E-2</v>
      </c>
      <c r="AB521" s="15">
        <f t="shared" si="53"/>
        <v>0.17890910642795257</v>
      </c>
      <c r="AC521" t="b">
        <f t="shared" si="54"/>
        <v>1</v>
      </c>
    </row>
    <row r="522" spans="1:29" x14ac:dyDescent="0.25">
      <c r="A522" s="52" t="s">
        <v>259</v>
      </c>
      <c r="B522" s="46">
        <v>30013</v>
      </c>
      <c r="C522" s="47">
        <v>45796</v>
      </c>
      <c r="D522" s="46">
        <v>311500</v>
      </c>
      <c r="E522" s="46">
        <v>2</v>
      </c>
      <c r="F522" s="52" t="s">
        <v>2163</v>
      </c>
      <c r="G522" s="46">
        <v>6</v>
      </c>
      <c r="H522" s="52" t="s">
        <v>784</v>
      </c>
      <c r="I522" s="46"/>
      <c r="J522" s="46">
        <v>0</v>
      </c>
      <c r="K522" s="46"/>
      <c r="L522" s="52" t="s">
        <v>261</v>
      </c>
      <c r="M522" s="55">
        <v>4500000</v>
      </c>
      <c r="N522" s="46">
        <v>60</v>
      </c>
      <c r="O522" s="46">
        <v>0</v>
      </c>
      <c r="P522" s="46">
        <v>1</v>
      </c>
      <c r="Q522" s="46">
        <v>13</v>
      </c>
      <c r="R522" s="55">
        <v>133763</v>
      </c>
      <c r="S522" s="46">
        <v>1</v>
      </c>
      <c r="T522" s="55">
        <v>178750</v>
      </c>
      <c r="U522" s="55">
        <f t="shared" si="51"/>
        <v>56700</v>
      </c>
      <c r="V522" s="55">
        <v>1</v>
      </c>
      <c r="W522" s="55">
        <v>108137</v>
      </c>
      <c r="X522" s="46">
        <v>1</v>
      </c>
      <c r="Y522" s="46">
        <v>1</v>
      </c>
      <c r="Z522" s="54">
        <v>0.19431044480902587</v>
      </c>
      <c r="AA522" s="15">
        <f t="shared" si="52"/>
        <v>1.6192537067418824E-2</v>
      </c>
      <c r="AB522" s="15">
        <f t="shared" si="53"/>
        <v>0.19431044480902587</v>
      </c>
      <c r="AC522" t="b">
        <f t="shared" si="54"/>
        <v>1</v>
      </c>
    </row>
    <row r="523" spans="1:29" x14ac:dyDescent="0.25">
      <c r="A523" s="52" t="s">
        <v>259</v>
      </c>
      <c r="B523" s="46">
        <v>30013</v>
      </c>
      <c r="C523" s="47">
        <v>45797</v>
      </c>
      <c r="D523" s="46">
        <v>311500</v>
      </c>
      <c r="E523" s="46">
        <v>2</v>
      </c>
      <c r="F523" s="52" t="s">
        <v>2164</v>
      </c>
      <c r="G523" s="46">
        <v>6</v>
      </c>
      <c r="H523" s="52" t="s">
        <v>1642</v>
      </c>
      <c r="I523" s="46"/>
      <c r="J523" s="46">
        <v>0</v>
      </c>
      <c r="K523" s="46"/>
      <c r="L523" s="52" t="s">
        <v>231</v>
      </c>
      <c r="M523" s="55">
        <v>10000000</v>
      </c>
      <c r="N523" s="46">
        <v>60</v>
      </c>
      <c r="O523" s="46">
        <v>0</v>
      </c>
      <c r="P523" s="46">
        <v>1</v>
      </c>
      <c r="Q523" s="46">
        <v>9</v>
      </c>
      <c r="R523" s="55">
        <v>297250</v>
      </c>
      <c r="S523" s="46">
        <v>1</v>
      </c>
      <c r="T523" s="55">
        <v>390000</v>
      </c>
      <c r="U523" s="55">
        <f t="shared" si="51"/>
        <v>111700</v>
      </c>
      <c r="V523" s="55">
        <v>1</v>
      </c>
      <c r="W523" s="55">
        <v>215936</v>
      </c>
      <c r="X523" s="46">
        <v>1</v>
      </c>
      <c r="Y523" s="46">
        <v>1</v>
      </c>
      <c r="Z523" s="54">
        <v>0.14385566902641317</v>
      </c>
      <c r="AA523" s="15">
        <f t="shared" si="52"/>
        <v>1.1987972418867763E-2</v>
      </c>
      <c r="AB523" s="15">
        <f t="shared" si="53"/>
        <v>0.14385566902641317</v>
      </c>
      <c r="AC523" t="b">
        <f t="shared" si="54"/>
        <v>1</v>
      </c>
    </row>
    <row r="524" spans="1:29" x14ac:dyDescent="0.25">
      <c r="A524" s="52" t="s">
        <v>259</v>
      </c>
      <c r="B524" s="46">
        <v>30013</v>
      </c>
      <c r="C524" s="47">
        <v>45797</v>
      </c>
      <c r="D524" s="46">
        <v>311500</v>
      </c>
      <c r="E524" s="46">
        <v>2</v>
      </c>
      <c r="F524" s="52" t="s">
        <v>2165</v>
      </c>
      <c r="G524" s="46">
        <v>6</v>
      </c>
      <c r="H524" s="52" t="s">
        <v>784</v>
      </c>
      <c r="I524" s="46"/>
      <c r="J524" s="46">
        <v>0</v>
      </c>
      <c r="K524" s="46"/>
      <c r="L524" s="52" t="s">
        <v>691</v>
      </c>
      <c r="M524" s="55">
        <v>6950000</v>
      </c>
      <c r="N524" s="46">
        <v>72</v>
      </c>
      <c r="O524" s="46">
        <v>0</v>
      </c>
      <c r="P524" s="46">
        <v>1</v>
      </c>
      <c r="Q524" s="46">
        <v>11</v>
      </c>
      <c r="R524" s="55">
        <v>123953</v>
      </c>
      <c r="S524" s="46">
        <v>1</v>
      </c>
      <c r="T524" s="55">
        <v>322750</v>
      </c>
      <c r="U524" s="55">
        <f t="shared" si="51"/>
        <v>81200</v>
      </c>
      <c r="V524" s="55">
        <v>1</v>
      </c>
      <c r="W524" s="55">
        <v>139805</v>
      </c>
      <c r="X524" s="46">
        <v>1</v>
      </c>
      <c r="Y524" s="46">
        <v>1</v>
      </c>
      <c r="Z524" s="54">
        <v>0.16140679823393927</v>
      </c>
      <c r="AA524" s="15">
        <f t="shared" si="52"/>
        <v>1.3450566519494939E-2</v>
      </c>
      <c r="AB524" s="15">
        <f t="shared" si="53"/>
        <v>0.16140679823393927</v>
      </c>
      <c r="AC524" t="b">
        <f t="shared" si="54"/>
        <v>1</v>
      </c>
    </row>
    <row r="525" spans="1:29" x14ac:dyDescent="0.25">
      <c r="A525" s="52" t="s">
        <v>259</v>
      </c>
      <c r="B525" s="46">
        <v>30013</v>
      </c>
      <c r="C525" s="47">
        <v>45797</v>
      </c>
      <c r="D525" s="46">
        <v>321300</v>
      </c>
      <c r="E525" s="46">
        <v>2</v>
      </c>
      <c r="F525" s="52" t="s">
        <v>2166</v>
      </c>
      <c r="G525" s="46">
        <v>6</v>
      </c>
      <c r="H525" s="52" t="s">
        <v>784</v>
      </c>
      <c r="I525" s="46"/>
      <c r="J525" s="46">
        <v>0</v>
      </c>
      <c r="K525" s="46"/>
      <c r="L525" s="52" t="s">
        <v>687</v>
      </c>
      <c r="M525" s="55">
        <v>10000000</v>
      </c>
      <c r="N525" s="46">
        <v>24</v>
      </c>
      <c r="O525" s="46">
        <v>0</v>
      </c>
      <c r="P525" s="46">
        <v>1</v>
      </c>
      <c r="Q525" s="46">
        <v>8</v>
      </c>
      <c r="R525" s="55">
        <v>297250</v>
      </c>
      <c r="S525" s="46">
        <v>1</v>
      </c>
      <c r="T525" s="55">
        <v>165000</v>
      </c>
      <c r="U525" s="55">
        <f t="shared" si="51"/>
        <v>111700</v>
      </c>
      <c r="V525" s="55">
        <v>1</v>
      </c>
      <c r="W525" s="55">
        <v>459200</v>
      </c>
      <c r="X525" s="46">
        <v>1</v>
      </c>
      <c r="Y525" s="46">
        <v>1</v>
      </c>
      <c r="Z525" s="54">
        <v>0.15482192211471621</v>
      </c>
      <c r="AA525" s="15">
        <f t="shared" si="52"/>
        <v>1.2901826842893017E-2</v>
      </c>
      <c r="AB525" s="15">
        <f t="shared" si="53"/>
        <v>0.15482192211471621</v>
      </c>
      <c r="AC525" t="b">
        <f t="shared" si="54"/>
        <v>1</v>
      </c>
    </row>
    <row r="526" spans="1:29" x14ac:dyDescent="0.25">
      <c r="A526" s="52" t="s">
        <v>259</v>
      </c>
      <c r="B526" s="46">
        <v>30013</v>
      </c>
      <c r="C526" s="47">
        <v>45797</v>
      </c>
      <c r="D526" s="46">
        <v>311200</v>
      </c>
      <c r="E526" s="46">
        <v>3</v>
      </c>
      <c r="F526" s="52" t="s">
        <v>2167</v>
      </c>
      <c r="G526" s="46">
        <v>6</v>
      </c>
      <c r="H526" s="52" t="s">
        <v>784</v>
      </c>
      <c r="I526" s="46"/>
      <c r="J526" s="46">
        <v>0</v>
      </c>
      <c r="K526" s="46"/>
      <c r="L526" s="52" t="s">
        <v>690</v>
      </c>
      <c r="M526" s="55">
        <v>27000000</v>
      </c>
      <c r="N526" s="46">
        <v>48</v>
      </c>
      <c r="O526" s="46">
        <v>0</v>
      </c>
      <c r="P526" s="46">
        <v>1</v>
      </c>
      <c r="Q526" s="46">
        <v>7</v>
      </c>
      <c r="R526" s="55">
        <v>0</v>
      </c>
      <c r="S526" s="46">
        <v>1</v>
      </c>
      <c r="T526" s="55">
        <v>840000</v>
      </c>
      <c r="U526" s="55">
        <v>1563430</v>
      </c>
      <c r="V526" s="55">
        <v>1</v>
      </c>
      <c r="W526" s="55">
        <v>663250</v>
      </c>
      <c r="X526" s="46">
        <v>2</v>
      </c>
      <c r="Y526" s="46">
        <v>1</v>
      </c>
      <c r="Z526" s="54">
        <v>0.13276919433212403</v>
      </c>
      <c r="AA526" s="15">
        <f t="shared" si="52"/>
        <v>1.1064099527677004E-2</v>
      </c>
      <c r="AB526" s="15">
        <f t="shared" si="53"/>
        <v>0.13276919433212403</v>
      </c>
      <c r="AC526" t="b">
        <f t="shared" si="54"/>
        <v>1</v>
      </c>
    </row>
    <row r="527" spans="1:29" x14ac:dyDescent="0.25">
      <c r="A527" s="52" t="s">
        <v>259</v>
      </c>
      <c r="B527" s="46">
        <v>30013</v>
      </c>
      <c r="C527" s="47">
        <v>45797</v>
      </c>
      <c r="D527" s="46">
        <v>311500</v>
      </c>
      <c r="E527" s="46">
        <v>2</v>
      </c>
      <c r="F527" s="52" t="s">
        <v>2168</v>
      </c>
      <c r="G527" s="46">
        <v>6</v>
      </c>
      <c r="H527" s="52" t="s">
        <v>1642</v>
      </c>
      <c r="I527" s="46"/>
      <c r="J527" s="46">
        <v>0</v>
      </c>
      <c r="K527" s="46"/>
      <c r="L527" s="52" t="s">
        <v>270</v>
      </c>
      <c r="M527" s="55">
        <v>12000000</v>
      </c>
      <c r="N527" s="46">
        <v>72</v>
      </c>
      <c r="O527" s="46">
        <v>0</v>
      </c>
      <c r="P527" s="46">
        <v>1</v>
      </c>
      <c r="Q527" s="46">
        <v>8</v>
      </c>
      <c r="R527" s="55">
        <v>214020</v>
      </c>
      <c r="S527" s="46">
        <v>1</v>
      </c>
      <c r="T527" s="55">
        <v>555000</v>
      </c>
      <c r="U527" s="55">
        <f t="shared" ref="U527:U538" si="55">M527/100+11700</f>
        <v>131700</v>
      </c>
      <c r="V527" s="55">
        <v>1</v>
      </c>
      <c r="W527" s="55">
        <v>219368</v>
      </c>
      <c r="X527" s="46">
        <v>1</v>
      </c>
      <c r="Y527" s="46">
        <v>1</v>
      </c>
      <c r="Z527" s="54">
        <v>0.12410204834171551</v>
      </c>
      <c r="AA527" s="15">
        <f t="shared" si="52"/>
        <v>1.0341837361809625E-2</v>
      </c>
      <c r="AB527" s="15">
        <f t="shared" si="53"/>
        <v>0.12410204834171551</v>
      </c>
      <c r="AC527" t="b">
        <f t="shared" si="54"/>
        <v>1</v>
      </c>
    </row>
    <row r="528" spans="1:29" x14ac:dyDescent="0.25">
      <c r="A528" s="52" t="s">
        <v>259</v>
      </c>
      <c r="B528" s="46">
        <v>30013</v>
      </c>
      <c r="C528" s="47">
        <v>45797</v>
      </c>
      <c r="D528" s="46">
        <v>321300</v>
      </c>
      <c r="E528" s="46">
        <v>2</v>
      </c>
      <c r="F528" s="52" t="s">
        <v>2169</v>
      </c>
      <c r="G528" s="46">
        <v>6</v>
      </c>
      <c r="H528" s="52" t="s">
        <v>1642</v>
      </c>
      <c r="I528" s="46"/>
      <c r="J528" s="46">
        <v>0</v>
      </c>
      <c r="K528" s="46"/>
      <c r="L528" s="52" t="s">
        <v>231</v>
      </c>
      <c r="M528" s="55">
        <v>8100000</v>
      </c>
      <c r="N528" s="46">
        <v>24</v>
      </c>
      <c r="O528" s="46">
        <v>0</v>
      </c>
      <c r="P528" s="46">
        <v>1</v>
      </c>
      <c r="Q528" s="46">
        <v>12</v>
      </c>
      <c r="R528" s="55">
        <v>240773</v>
      </c>
      <c r="S528" s="46">
        <v>1</v>
      </c>
      <c r="T528" s="55">
        <v>136500</v>
      </c>
      <c r="U528" s="55">
        <f t="shared" si="55"/>
        <v>92700</v>
      </c>
      <c r="V528" s="55">
        <v>1</v>
      </c>
      <c r="W528" s="55">
        <v>389931</v>
      </c>
      <c r="X528" s="46">
        <v>1</v>
      </c>
      <c r="Y528" s="46">
        <v>1</v>
      </c>
      <c r="Z528" s="54">
        <v>0.2042732054358265</v>
      </c>
      <c r="AA528" s="15">
        <f t="shared" si="52"/>
        <v>1.7022767119652209E-2</v>
      </c>
      <c r="AB528" s="15">
        <f t="shared" si="53"/>
        <v>0.2042732054358265</v>
      </c>
      <c r="AC528" t="b">
        <f t="shared" si="54"/>
        <v>1</v>
      </c>
    </row>
    <row r="529" spans="1:29" x14ac:dyDescent="0.25">
      <c r="A529" s="52" t="s">
        <v>259</v>
      </c>
      <c r="B529" s="46">
        <v>30013</v>
      </c>
      <c r="C529" s="47">
        <v>45797</v>
      </c>
      <c r="D529" s="46">
        <v>311500</v>
      </c>
      <c r="E529" s="46">
        <v>2</v>
      </c>
      <c r="F529" s="52" t="s">
        <v>2170</v>
      </c>
      <c r="G529" s="46">
        <v>6</v>
      </c>
      <c r="H529" s="52" t="s">
        <v>784</v>
      </c>
      <c r="I529" s="46"/>
      <c r="J529" s="46">
        <v>0</v>
      </c>
      <c r="K529" s="46"/>
      <c r="L529" s="52" t="s">
        <v>261</v>
      </c>
      <c r="M529" s="55">
        <v>4930000</v>
      </c>
      <c r="N529" s="46">
        <v>60</v>
      </c>
      <c r="O529" s="46">
        <v>0</v>
      </c>
      <c r="P529" s="46">
        <v>1</v>
      </c>
      <c r="Q529" s="46">
        <v>12</v>
      </c>
      <c r="R529" s="55">
        <v>146544</v>
      </c>
      <c r="S529" s="46">
        <v>1</v>
      </c>
      <c r="T529" s="55">
        <v>194875</v>
      </c>
      <c r="U529" s="55">
        <f t="shared" si="55"/>
        <v>61000</v>
      </c>
      <c r="V529" s="55">
        <v>1</v>
      </c>
      <c r="W529" s="55">
        <v>115399</v>
      </c>
      <c r="X529" s="46">
        <v>1</v>
      </c>
      <c r="Y529" s="46">
        <v>1</v>
      </c>
      <c r="Z529" s="54">
        <v>0.18173679752616842</v>
      </c>
      <c r="AA529" s="15">
        <f t="shared" si="52"/>
        <v>1.5144733127180702E-2</v>
      </c>
      <c r="AB529" s="15">
        <f t="shared" si="53"/>
        <v>0.18173679752616842</v>
      </c>
      <c r="AC529" t="b">
        <f t="shared" si="54"/>
        <v>1</v>
      </c>
    </row>
    <row r="530" spans="1:29" x14ac:dyDescent="0.25">
      <c r="A530" s="52" t="s">
        <v>259</v>
      </c>
      <c r="B530" s="46">
        <v>30013</v>
      </c>
      <c r="C530" s="47">
        <v>45797</v>
      </c>
      <c r="D530" s="46">
        <v>321300</v>
      </c>
      <c r="E530" s="46">
        <v>2</v>
      </c>
      <c r="F530" s="52" t="s">
        <v>2171</v>
      </c>
      <c r="G530" s="46">
        <v>6</v>
      </c>
      <c r="H530" s="52" t="s">
        <v>784</v>
      </c>
      <c r="I530" s="46"/>
      <c r="J530" s="46">
        <v>0</v>
      </c>
      <c r="K530" s="46"/>
      <c r="L530" s="52" t="s">
        <v>690</v>
      </c>
      <c r="M530" s="55">
        <v>1800000</v>
      </c>
      <c r="N530" s="46">
        <v>24</v>
      </c>
      <c r="O530" s="46">
        <v>0</v>
      </c>
      <c r="P530" s="46">
        <v>1</v>
      </c>
      <c r="Q530" s="46">
        <v>12</v>
      </c>
      <c r="R530" s="55">
        <v>53505</v>
      </c>
      <c r="S530" s="46">
        <v>1</v>
      </c>
      <c r="T530" s="55">
        <v>37000</v>
      </c>
      <c r="U530" s="55">
        <f t="shared" si="55"/>
        <v>29700</v>
      </c>
      <c r="V530" s="55">
        <v>1</v>
      </c>
      <c r="W530" s="55">
        <v>86651</v>
      </c>
      <c r="X530" s="46">
        <v>1</v>
      </c>
      <c r="Y530" s="46">
        <v>1</v>
      </c>
      <c r="Z530" s="54">
        <v>0.21403933991341645</v>
      </c>
      <c r="AA530" s="15">
        <f t="shared" si="52"/>
        <v>1.7836611659451371E-2</v>
      </c>
      <c r="AB530" s="15">
        <f t="shared" si="53"/>
        <v>0.21403933991341645</v>
      </c>
      <c r="AC530" t="b">
        <f t="shared" si="54"/>
        <v>1</v>
      </c>
    </row>
    <row r="531" spans="1:29" x14ac:dyDescent="0.25">
      <c r="A531" s="52" t="s">
        <v>259</v>
      </c>
      <c r="B531" s="46">
        <v>30013</v>
      </c>
      <c r="C531" s="47">
        <v>45797</v>
      </c>
      <c r="D531" s="46">
        <v>311500</v>
      </c>
      <c r="E531" s="46">
        <v>2</v>
      </c>
      <c r="F531" s="52" t="s">
        <v>2172</v>
      </c>
      <c r="G531" s="46">
        <v>6</v>
      </c>
      <c r="H531" s="52" t="s">
        <v>784</v>
      </c>
      <c r="I531" s="46"/>
      <c r="J531" s="46">
        <v>0</v>
      </c>
      <c r="K531" s="46"/>
      <c r="L531" s="52" t="s">
        <v>261</v>
      </c>
      <c r="M531" s="55">
        <v>3500000</v>
      </c>
      <c r="N531" s="46">
        <v>60</v>
      </c>
      <c r="O531" s="46">
        <v>0</v>
      </c>
      <c r="P531" s="46">
        <v>1</v>
      </c>
      <c r="Q531" s="46">
        <v>12</v>
      </c>
      <c r="R531" s="55">
        <v>104038</v>
      </c>
      <c r="S531" s="46">
        <v>1</v>
      </c>
      <c r="T531" s="55">
        <v>141250</v>
      </c>
      <c r="U531" s="55">
        <f t="shared" si="55"/>
        <v>46700</v>
      </c>
      <c r="V531" s="55">
        <v>1</v>
      </c>
      <c r="W531" s="55">
        <v>81926</v>
      </c>
      <c r="X531" s="46">
        <v>1</v>
      </c>
      <c r="Y531" s="46">
        <v>1</v>
      </c>
      <c r="Z531" s="54">
        <v>0.1826523356879817</v>
      </c>
      <c r="AA531" s="15">
        <f t="shared" si="52"/>
        <v>1.5221027973998475E-2</v>
      </c>
      <c r="AB531" s="15">
        <f t="shared" si="53"/>
        <v>0.1826523356879817</v>
      </c>
      <c r="AC531" t="b">
        <f t="shared" si="54"/>
        <v>1</v>
      </c>
    </row>
    <row r="532" spans="1:29" x14ac:dyDescent="0.25">
      <c r="A532" s="52" t="s">
        <v>259</v>
      </c>
      <c r="B532" s="46">
        <v>30013</v>
      </c>
      <c r="C532" s="47">
        <v>45797</v>
      </c>
      <c r="D532" s="46">
        <v>311500</v>
      </c>
      <c r="E532" s="46">
        <v>2</v>
      </c>
      <c r="F532" s="52" t="s">
        <v>2173</v>
      </c>
      <c r="G532" s="46">
        <v>6</v>
      </c>
      <c r="H532" s="52" t="s">
        <v>1642</v>
      </c>
      <c r="I532" s="46"/>
      <c r="J532" s="46">
        <v>0</v>
      </c>
      <c r="K532" s="46"/>
      <c r="L532" s="52" t="s">
        <v>231</v>
      </c>
      <c r="M532" s="55">
        <v>10000000</v>
      </c>
      <c r="N532" s="46">
        <v>60</v>
      </c>
      <c r="O532" s="46">
        <v>0</v>
      </c>
      <c r="P532" s="46">
        <v>1</v>
      </c>
      <c r="Q532" s="46">
        <v>8</v>
      </c>
      <c r="R532" s="55">
        <v>297250</v>
      </c>
      <c r="S532" s="46">
        <v>1</v>
      </c>
      <c r="T532" s="55">
        <v>390000</v>
      </c>
      <c r="U532" s="55">
        <f t="shared" si="55"/>
        <v>111700</v>
      </c>
      <c r="V532" s="55">
        <v>1</v>
      </c>
      <c r="W532" s="55">
        <v>210077</v>
      </c>
      <c r="X532" s="46">
        <v>1</v>
      </c>
      <c r="Y532" s="46">
        <v>1</v>
      </c>
      <c r="Z532" s="54">
        <v>0.1315373851260413</v>
      </c>
      <c r="AA532" s="15">
        <f t="shared" si="52"/>
        <v>1.096144876050344E-2</v>
      </c>
      <c r="AB532" s="15">
        <f t="shared" si="53"/>
        <v>0.1315373851260413</v>
      </c>
      <c r="AC532" t="b">
        <f t="shared" si="54"/>
        <v>1</v>
      </c>
    </row>
    <row r="533" spans="1:29" x14ac:dyDescent="0.25">
      <c r="A533" s="52" t="s">
        <v>259</v>
      </c>
      <c r="B533" s="46">
        <v>30013</v>
      </c>
      <c r="C533" s="47">
        <v>45797</v>
      </c>
      <c r="D533" s="46">
        <v>311500</v>
      </c>
      <c r="E533" s="46">
        <v>2</v>
      </c>
      <c r="F533" s="52" t="s">
        <v>2174</v>
      </c>
      <c r="G533" s="46">
        <v>6</v>
      </c>
      <c r="H533" s="52" t="s">
        <v>784</v>
      </c>
      <c r="I533" s="46"/>
      <c r="J533" s="46">
        <v>0</v>
      </c>
      <c r="K533" s="46"/>
      <c r="L533" s="52" t="s">
        <v>261</v>
      </c>
      <c r="M533" s="55">
        <v>1500000</v>
      </c>
      <c r="N533" s="46">
        <v>36</v>
      </c>
      <c r="O533" s="46">
        <v>0</v>
      </c>
      <c r="P533" s="46">
        <v>1</v>
      </c>
      <c r="Q533" s="46">
        <v>12</v>
      </c>
      <c r="R533" s="55">
        <v>44588</v>
      </c>
      <c r="S533" s="46">
        <v>1</v>
      </c>
      <c r="T533" s="55">
        <v>43750</v>
      </c>
      <c r="U533" s="55">
        <f t="shared" si="55"/>
        <v>26700</v>
      </c>
      <c r="V533" s="55">
        <v>1</v>
      </c>
      <c r="W533" s="55">
        <v>51462</v>
      </c>
      <c r="X533" s="46">
        <v>1</v>
      </c>
      <c r="Y533" s="46">
        <v>1</v>
      </c>
      <c r="Z533" s="54">
        <v>0.19988449219057944</v>
      </c>
      <c r="AA533" s="15">
        <f t="shared" si="52"/>
        <v>1.665704101588162E-2</v>
      </c>
      <c r="AB533" s="15">
        <f t="shared" si="53"/>
        <v>0.19988449219057944</v>
      </c>
      <c r="AC533" t="b">
        <f t="shared" si="54"/>
        <v>1</v>
      </c>
    </row>
    <row r="534" spans="1:29" x14ac:dyDescent="0.25">
      <c r="A534" s="52" t="s">
        <v>259</v>
      </c>
      <c r="B534" s="46">
        <v>30013</v>
      </c>
      <c r="C534" s="47">
        <v>45797</v>
      </c>
      <c r="D534" s="46">
        <v>311500</v>
      </c>
      <c r="E534" s="46">
        <v>2</v>
      </c>
      <c r="F534" s="52" t="s">
        <v>2175</v>
      </c>
      <c r="G534" s="46">
        <v>6</v>
      </c>
      <c r="H534" s="52" t="s">
        <v>784</v>
      </c>
      <c r="I534" s="46"/>
      <c r="J534" s="46">
        <v>0</v>
      </c>
      <c r="K534" s="46"/>
      <c r="L534" s="52" t="s">
        <v>261</v>
      </c>
      <c r="M534" s="55">
        <v>5200000</v>
      </c>
      <c r="N534" s="46">
        <v>60</v>
      </c>
      <c r="O534" s="46">
        <v>0</v>
      </c>
      <c r="P534" s="46">
        <v>1</v>
      </c>
      <c r="Q534" s="46">
        <v>12</v>
      </c>
      <c r="R534" s="55">
        <v>154570</v>
      </c>
      <c r="S534" s="46">
        <v>1</v>
      </c>
      <c r="T534" s="55">
        <v>205000</v>
      </c>
      <c r="U534" s="55">
        <f t="shared" si="55"/>
        <v>63700</v>
      </c>
      <c r="V534" s="55">
        <v>1</v>
      </c>
      <c r="W534" s="55">
        <v>121719</v>
      </c>
      <c r="X534" s="46">
        <v>1</v>
      </c>
      <c r="Y534" s="46">
        <v>1</v>
      </c>
      <c r="Z534" s="54">
        <v>0.18162037769564066</v>
      </c>
      <c r="AA534" s="15">
        <f t="shared" si="52"/>
        <v>1.5135031474636722E-2</v>
      </c>
      <c r="AB534" s="15">
        <f t="shared" si="53"/>
        <v>0.18162037769564066</v>
      </c>
      <c r="AC534" t="b">
        <f t="shared" si="54"/>
        <v>1</v>
      </c>
    </row>
    <row r="535" spans="1:29" x14ac:dyDescent="0.25">
      <c r="A535" s="52" t="s">
        <v>259</v>
      </c>
      <c r="B535" s="46">
        <v>30013</v>
      </c>
      <c r="C535" s="47">
        <v>45797</v>
      </c>
      <c r="D535" s="46">
        <v>311500</v>
      </c>
      <c r="E535" s="46">
        <v>2</v>
      </c>
      <c r="F535" s="52" t="s">
        <v>2176</v>
      </c>
      <c r="G535" s="46">
        <v>6</v>
      </c>
      <c r="H535" s="52" t="s">
        <v>784</v>
      </c>
      <c r="I535" s="46"/>
      <c r="J535" s="46">
        <v>0</v>
      </c>
      <c r="K535" s="46"/>
      <c r="L535" s="52" t="s">
        <v>261</v>
      </c>
      <c r="M535" s="55">
        <v>3200000</v>
      </c>
      <c r="N535" s="46">
        <v>60</v>
      </c>
      <c r="O535" s="46">
        <v>0</v>
      </c>
      <c r="P535" s="46">
        <v>1</v>
      </c>
      <c r="Q535" s="46">
        <v>12</v>
      </c>
      <c r="R535" s="55">
        <v>95120</v>
      </c>
      <c r="S535" s="46">
        <v>1</v>
      </c>
      <c r="T535" s="55">
        <v>130000</v>
      </c>
      <c r="U535" s="55">
        <f t="shared" si="55"/>
        <v>43700</v>
      </c>
      <c r="V535" s="55">
        <v>1</v>
      </c>
      <c r="W535" s="55">
        <v>74904</v>
      </c>
      <c r="X535" s="46">
        <v>1</v>
      </c>
      <c r="Y535" s="46">
        <v>1</v>
      </c>
      <c r="Z535" s="54">
        <v>0.18295062579754637</v>
      </c>
      <c r="AA535" s="15">
        <f t="shared" si="52"/>
        <v>1.5245885483128864E-2</v>
      </c>
      <c r="AB535" s="15">
        <f t="shared" si="53"/>
        <v>0.18295062579754637</v>
      </c>
      <c r="AC535" t="b">
        <f t="shared" si="54"/>
        <v>1</v>
      </c>
    </row>
    <row r="536" spans="1:29" x14ac:dyDescent="0.25">
      <c r="A536" s="52" t="s">
        <v>259</v>
      </c>
      <c r="B536" s="46">
        <v>30013</v>
      </c>
      <c r="C536" s="47">
        <v>45797</v>
      </c>
      <c r="D536" s="46">
        <v>311500</v>
      </c>
      <c r="E536" s="46">
        <v>2</v>
      </c>
      <c r="F536" s="52" t="s">
        <v>2177</v>
      </c>
      <c r="G536" s="46">
        <v>6</v>
      </c>
      <c r="H536" s="52" t="s">
        <v>784</v>
      </c>
      <c r="I536" s="46"/>
      <c r="J536" s="46">
        <v>0</v>
      </c>
      <c r="K536" s="46"/>
      <c r="L536" s="52" t="s">
        <v>231</v>
      </c>
      <c r="M536" s="55">
        <v>4750000</v>
      </c>
      <c r="N536" s="46">
        <v>60</v>
      </c>
      <c r="O536" s="46">
        <v>0</v>
      </c>
      <c r="P536" s="46">
        <v>1</v>
      </c>
      <c r="Q536" s="46">
        <v>8</v>
      </c>
      <c r="R536" s="55">
        <v>141194</v>
      </c>
      <c r="S536" s="46">
        <v>1</v>
      </c>
      <c r="T536" s="55">
        <v>188125</v>
      </c>
      <c r="U536" s="55">
        <f t="shared" si="55"/>
        <v>59200</v>
      </c>
      <c r="V536" s="55">
        <v>1</v>
      </c>
      <c r="W536" s="55">
        <v>99787</v>
      </c>
      <c r="X536" s="46">
        <v>1</v>
      </c>
      <c r="Y536" s="46">
        <v>1</v>
      </c>
      <c r="Z536" s="54">
        <v>0.13245910465241886</v>
      </c>
      <c r="AA536" s="15">
        <f t="shared" si="52"/>
        <v>1.1038258721034906E-2</v>
      </c>
      <c r="AB536" s="15">
        <f t="shared" si="53"/>
        <v>0.13245910465241886</v>
      </c>
      <c r="AC536" t="b">
        <f t="shared" si="54"/>
        <v>1</v>
      </c>
    </row>
    <row r="537" spans="1:29" x14ac:dyDescent="0.25">
      <c r="A537" s="52" t="s">
        <v>259</v>
      </c>
      <c r="B537" s="46">
        <v>30013</v>
      </c>
      <c r="C537" s="47">
        <v>45797</v>
      </c>
      <c r="D537" s="46">
        <v>311500</v>
      </c>
      <c r="E537" s="46">
        <v>2</v>
      </c>
      <c r="F537" s="52" t="s">
        <v>2178</v>
      </c>
      <c r="G537" s="46">
        <v>6</v>
      </c>
      <c r="H537" s="52" t="s">
        <v>784</v>
      </c>
      <c r="I537" s="46"/>
      <c r="J537" s="46">
        <v>0</v>
      </c>
      <c r="K537" s="46"/>
      <c r="L537" s="52" t="s">
        <v>261</v>
      </c>
      <c r="M537" s="55">
        <v>4900000</v>
      </c>
      <c r="N537" s="46">
        <v>60</v>
      </c>
      <c r="O537" s="46">
        <v>0</v>
      </c>
      <c r="P537" s="46">
        <v>1</v>
      </c>
      <c r="Q537" s="46">
        <v>13</v>
      </c>
      <c r="R537" s="55">
        <v>145653</v>
      </c>
      <c r="S537" s="46">
        <v>1</v>
      </c>
      <c r="T537" s="55">
        <v>193750</v>
      </c>
      <c r="U537" s="55">
        <f t="shared" si="55"/>
        <v>60700</v>
      </c>
      <c r="V537" s="55">
        <v>1</v>
      </c>
      <c r="W537" s="55">
        <v>117749</v>
      </c>
      <c r="X537" s="46">
        <v>1</v>
      </c>
      <c r="Y537" s="46">
        <v>1</v>
      </c>
      <c r="Z537" s="54">
        <v>0.19410675088480289</v>
      </c>
      <c r="AA537" s="15">
        <f t="shared" si="52"/>
        <v>1.6175562573733576E-2</v>
      </c>
      <c r="AB537" s="15">
        <f t="shared" si="53"/>
        <v>0.19410675088480289</v>
      </c>
      <c r="AC537" t="b">
        <f t="shared" si="54"/>
        <v>1</v>
      </c>
    </row>
    <row r="538" spans="1:29" x14ac:dyDescent="0.25">
      <c r="A538" s="52" t="s">
        <v>259</v>
      </c>
      <c r="B538" s="46">
        <v>30013</v>
      </c>
      <c r="C538" s="47">
        <v>45797</v>
      </c>
      <c r="D538" s="46">
        <v>311500</v>
      </c>
      <c r="E538" s="46">
        <v>2</v>
      </c>
      <c r="F538" s="52" t="s">
        <v>2179</v>
      </c>
      <c r="G538" s="46">
        <v>6</v>
      </c>
      <c r="H538" s="52" t="s">
        <v>784</v>
      </c>
      <c r="I538" s="46"/>
      <c r="J538" s="46">
        <v>0</v>
      </c>
      <c r="K538" s="46"/>
      <c r="L538" s="52" t="s">
        <v>261</v>
      </c>
      <c r="M538" s="55">
        <v>4400000</v>
      </c>
      <c r="N538" s="46">
        <v>60</v>
      </c>
      <c r="O538" s="46">
        <v>0</v>
      </c>
      <c r="P538" s="46">
        <v>1</v>
      </c>
      <c r="Q538" s="46">
        <v>13</v>
      </c>
      <c r="R538" s="55">
        <v>130790</v>
      </c>
      <c r="S538" s="46">
        <v>1</v>
      </c>
      <c r="T538" s="55">
        <v>175000</v>
      </c>
      <c r="U538" s="55">
        <f t="shared" si="55"/>
        <v>55700</v>
      </c>
      <c r="V538" s="55">
        <v>1</v>
      </c>
      <c r="W538" s="55">
        <v>105734</v>
      </c>
      <c r="X538" s="46">
        <v>1</v>
      </c>
      <c r="Y538" s="46">
        <v>1</v>
      </c>
      <c r="Z538" s="54">
        <v>0.19436711926181283</v>
      </c>
      <c r="AA538" s="15">
        <f t="shared" si="52"/>
        <v>1.6197259938484403E-2</v>
      </c>
      <c r="AB538" s="15">
        <f t="shared" si="53"/>
        <v>0.19436711926181283</v>
      </c>
      <c r="AC538" t="b">
        <f t="shared" si="54"/>
        <v>1</v>
      </c>
    </row>
    <row r="539" spans="1:29" x14ac:dyDescent="0.25">
      <c r="A539" s="52" t="s">
        <v>259</v>
      </c>
      <c r="B539" s="46">
        <v>30013</v>
      </c>
      <c r="C539" s="47">
        <v>45797</v>
      </c>
      <c r="D539" s="46">
        <v>321600</v>
      </c>
      <c r="E539" s="46">
        <v>2</v>
      </c>
      <c r="F539" s="52" t="s">
        <v>2180</v>
      </c>
      <c r="G539" s="46">
        <v>6</v>
      </c>
      <c r="H539" s="52" t="s">
        <v>784</v>
      </c>
      <c r="I539" s="46"/>
      <c r="J539" s="46">
        <v>0</v>
      </c>
      <c r="K539" s="46"/>
      <c r="L539" s="52" t="s">
        <v>261</v>
      </c>
      <c r="M539" s="55">
        <v>700000</v>
      </c>
      <c r="N539" s="46">
        <v>12</v>
      </c>
      <c r="O539" s="46">
        <v>0</v>
      </c>
      <c r="P539" s="46">
        <v>1</v>
      </c>
      <c r="Q539" s="46">
        <v>10</v>
      </c>
      <c r="R539" s="55">
        <v>8323</v>
      </c>
      <c r="S539" s="46">
        <v>1</v>
      </c>
      <c r="T539" s="55">
        <v>0</v>
      </c>
      <c r="U539" s="55">
        <v>21700</v>
      </c>
      <c r="V539" s="55">
        <v>1</v>
      </c>
      <c r="W539" s="55">
        <v>62158</v>
      </c>
      <c r="X539" s="46">
        <v>1</v>
      </c>
      <c r="Y539" s="46">
        <v>1</v>
      </c>
      <c r="Z539" s="54">
        <v>0.20296186936359034</v>
      </c>
      <c r="AA539" s="15">
        <f t="shared" si="52"/>
        <v>1.6913489113632527E-2</v>
      </c>
      <c r="AB539" s="15">
        <f t="shared" si="53"/>
        <v>0.20296186936359034</v>
      </c>
      <c r="AC539" t="b">
        <f t="shared" si="54"/>
        <v>1</v>
      </c>
    </row>
    <row r="540" spans="1:29" x14ac:dyDescent="0.25">
      <c r="A540" s="52" t="s">
        <v>259</v>
      </c>
      <c r="B540" s="46">
        <v>30013</v>
      </c>
      <c r="C540" s="47">
        <v>45797</v>
      </c>
      <c r="D540" s="46">
        <v>311500</v>
      </c>
      <c r="E540" s="46">
        <v>2</v>
      </c>
      <c r="F540" s="52" t="s">
        <v>2181</v>
      </c>
      <c r="G540" s="46">
        <v>6</v>
      </c>
      <c r="H540" s="52" t="s">
        <v>784</v>
      </c>
      <c r="I540" s="46"/>
      <c r="J540" s="46">
        <v>0</v>
      </c>
      <c r="K540" s="46"/>
      <c r="L540" s="52" t="s">
        <v>261</v>
      </c>
      <c r="M540" s="55">
        <v>4300000</v>
      </c>
      <c r="N540" s="46">
        <v>60</v>
      </c>
      <c r="O540" s="46">
        <v>0</v>
      </c>
      <c r="P540" s="46">
        <v>1</v>
      </c>
      <c r="Q540" s="46">
        <v>14</v>
      </c>
      <c r="R540" s="55">
        <v>127818</v>
      </c>
      <c r="S540" s="46">
        <v>1</v>
      </c>
      <c r="T540" s="55">
        <v>171250</v>
      </c>
      <c r="U540" s="55">
        <f t="shared" ref="U540:U582" si="56">M540/100+11700</f>
        <v>54700</v>
      </c>
      <c r="V540" s="55">
        <v>1</v>
      </c>
      <c r="W540" s="55">
        <v>106049</v>
      </c>
      <c r="X540" s="46">
        <v>1</v>
      </c>
      <c r="Y540" s="46">
        <v>1</v>
      </c>
      <c r="Z540" s="54">
        <v>0.20679679358860573</v>
      </c>
      <c r="AA540" s="15">
        <f t="shared" si="52"/>
        <v>1.7233066132383811E-2</v>
      </c>
      <c r="AB540" s="15">
        <f t="shared" si="53"/>
        <v>0.20679679358860573</v>
      </c>
      <c r="AC540" t="b">
        <f t="shared" si="54"/>
        <v>1</v>
      </c>
    </row>
    <row r="541" spans="1:29" x14ac:dyDescent="0.25">
      <c r="A541" s="52" t="s">
        <v>259</v>
      </c>
      <c r="B541" s="46">
        <v>30013</v>
      </c>
      <c r="C541" s="47">
        <v>45797</v>
      </c>
      <c r="D541" s="46">
        <v>311730</v>
      </c>
      <c r="E541" s="46">
        <v>2</v>
      </c>
      <c r="F541" s="52" t="s">
        <v>2182</v>
      </c>
      <c r="G541" s="46">
        <v>6</v>
      </c>
      <c r="H541" s="52" t="s">
        <v>784</v>
      </c>
      <c r="I541" s="46"/>
      <c r="J541" s="46">
        <v>0</v>
      </c>
      <c r="K541" s="46"/>
      <c r="L541" s="52" t="s">
        <v>231</v>
      </c>
      <c r="M541" s="55">
        <v>3915000</v>
      </c>
      <c r="N541" s="46">
        <v>32</v>
      </c>
      <c r="O541" s="46">
        <v>0</v>
      </c>
      <c r="P541" s="46">
        <v>1</v>
      </c>
      <c r="Q541" s="46">
        <v>12</v>
      </c>
      <c r="R541" s="55">
        <v>40723</v>
      </c>
      <c r="S541" s="46">
        <v>1</v>
      </c>
      <c r="T541" s="55">
        <v>88300</v>
      </c>
      <c r="U541" s="55">
        <f t="shared" si="56"/>
        <v>50850</v>
      </c>
      <c r="V541" s="55">
        <v>1</v>
      </c>
      <c r="W541" s="55">
        <v>147808</v>
      </c>
      <c r="X541" s="46">
        <v>1</v>
      </c>
      <c r="Y541" s="46">
        <v>1</v>
      </c>
      <c r="Z541" s="54">
        <v>0.17990544532966882</v>
      </c>
      <c r="AA541" s="15">
        <f t="shared" si="52"/>
        <v>1.4992120444139069E-2</v>
      </c>
      <c r="AB541" s="15">
        <f t="shared" si="53"/>
        <v>0.17990544532966882</v>
      </c>
      <c r="AC541" t="b">
        <f t="shared" si="54"/>
        <v>1</v>
      </c>
    </row>
    <row r="542" spans="1:29" x14ac:dyDescent="0.25">
      <c r="A542" s="52" t="s">
        <v>259</v>
      </c>
      <c r="B542" s="46">
        <v>30013</v>
      </c>
      <c r="C542" s="47">
        <v>45797</v>
      </c>
      <c r="D542" s="46">
        <v>311500</v>
      </c>
      <c r="E542" s="46">
        <v>2</v>
      </c>
      <c r="F542" s="52" t="s">
        <v>2183</v>
      </c>
      <c r="G542" s="46">
        <v>6</v>
      </c>
      <c r="H542" s="52" t="s">
        <v>784</v>
      </c>
      <c r="I542" s="46"/>
      <c r="J542" s="46">
        <v>0</v>
      </c>
      <c r="K542" s="46"/>
      <c r="L542" s="52" t="s">
        <v>1748</v>
      </c>
      <c r="M542" s="55">
        <v>5000000</v>
      </c>
      <c r="N542" s="46">
        <v>48</v>
      </c>
      <c r="O542" s="46">
        <v>0</v>
      </c>
      <c r="P542" s="46">
        <v>1</v>
      </c>
      <c r="Q542" s="46">
        <v>13</v>
      </c>
      <c r="R542" s="55">
        <v>148625</v>
      </c>
      <c r="S542" s="46">
        <v>1</v>
      </c>
      <c r="T542" s="55">
        <v>160000</v>
      </c>
      <c r="U542" s="55">
        <f t="shared" si="56"/>
        <v>61700</v>
      </c>
      <c r="V542" s="55">
        <v>1</v>
      </c>
      <c r="W542" s="55">
        <v>140315</v>
      </c>
      <c r="X542" s="46">
        <v>1</v>
      </c>
      <c r="Y542" s="46">
        <v>1</v>
      </c>
      <c r="Z542" s="54">
        <v>0.19769602612986784</v>
      </c>
      <c r="AA542" s="15">
        <f t="shared" si="52"/>
        <v>1.6474668844155653E-2</v>
      </c>
      <c r="AB542" s="15">
        <f t="shared" si="53"/>
        <v>0.19769602612986784</v>
      </c>
      <c r="AC542" t="b">
        <f t="shared" si="54"/>
        <v>1</v>
      </c>
    </row>
    <row r="543" spans="1:29" x14ac:dyDescent="0.25">
      <c r="A543" s="52" t="s">
        <v>259</v>
      </c>
      <c r="B543" s="46">
        <v>30013</v>
      </c>
      <c r="C543" s="47">
        <v>45797</v>
      </c>
      <c r="D543" s="46">
        <v>311500</v>
      </c>
      <c r="E543" s="46">
        <v>2</v>
      </c>
      <c r="F543" s="52" t="s">
        <v>2184</v>
      </c>
      <c r="G543" s="46">
        <v>6</v>
      </c>
      <c r="H543" s="52" t="s">
        <v>1689</v>
      </c>
      <c r="I543" s="46"/>
      <c r="J543" s="46">
        <v>0</v>
      </c>
      <c r="K543" s="46"/>
      <c r="L543" s="52" t="s">
        <v>691</v>
      </c>
      <c r="M543" s="55">
        <v>3400000</v>
      </c>
      <c r="N543" s="46">
        <v>60</v>
      </c>
      <c r="O543" s="46">
        <v>0</v>
      </c>
      <c r="P543" s="46">
        <v>1</v>
      </c>
      <c r="Q543" s="46">
        <v>12</v>
      </c>
      <c r="R543" s="55">
        <v>101065</v>
      </c>
      <c r="S543" s="46">
        <v>1</v>
      </c>
      <c r="T543" s="55">
        <v>137500</v>
      </c>
      <c r="U543" s="55">
        <f t="shared" si="56"/>
        <v>45700</v>
      </c>
      <c r="V543" s="55">
        <v>1</v>
      </c>
      <c r="W543" s="55">
        <v>79585</v>
      </c>
      <c r="X543" s="46">
        <v>1</v>
      </c>
      <c r="Y543" s="46">
        <v>1</v>
      </c>
      <c r="Z543" s="54">
        <v>0.18274387664845429</v>
      </c>
      <c r="AA543" s="15">
        <f t="shared" si="52"/>
        <v>1.5228656387371191E-2</v>
      </c>
      <c r="AB543" s="15">
        <f t="shared" si="53"/>
        <v>0.18274387664845429</v>
      </c>
      <c r="AC543" t="b">
        <f t="shared" si="54"/>
        <v>1</v>
      </c>
    </row>
    <row r="544" spans="1:29" x14ac:dyDescent="0.25">
      <c r="A544" s="52" t="s">
        <v>259</v>
      </c>
      <c r="B544" s="46">
        <v>30013</v>
      </c>
      <c r="C544" s="47">
        <v>45797</v>
      </c>
      <c r="D544" s="46">
        <v>311500</v>
      </c>
      <c r="E544" s="46">
        <v>2</v>
      </c>
      <c r="F544" s="52" t="s">
        <v>2185</v>
      </c>
      <c r="G544" s="46">
        <v>6</v>
      </c>
      <c r="H544" s="52" t="s">
        <v>784</v>
      </c>
      <c r="I544" s="46"/>
      <c r="J544" s="46">
        <v>0</v>
      </c>
      <c r="K544" s="46"/>
      <c r="L544" s="52" t="s">
        <v>261</v>
      </c>
      <c r="M544" s="55">
        <v>4200000</v>
      </c>
      <c r="N544" s="46">
        <v>60</v>
      </c>
      <c r="O544" s="46">
        <v>0</v>
      </c>
      <c r="P544" s="46">
        <v>1</v>
      </c>
      <c r="Q544" s="46">
        <v>12</v>
      </c>
      <c r="R544" s="55">
        <v>124845</v>
      </c>
      <c r="S544" s="46">
        <v>1</v>
      </c>
      <c r="T544" s="55">
        <v>167500</v>
      </c>
      <c r="U544" s="55">
        <f t="shared" si="56"/>
        <v>53700</v>
      </c>
      <c r="V544" s="55">
        <v>1</v>
      </c>
      <c r="W544" s="55">
        <v>98311</v>
      </c>
      <c r="X544" s="46">
        <v>1</v>
      </c>
      <c r="Y544" s="46">
        <v>1</v>
      </c>
      <c r="Z544" s="54">
        <v>0.18212410744384089</v>
      </c>
      <c r="AA544" s="15">
        <f t="shared" si="52"/>
        <v>1.5177008953653408E-2</v>
      </c>
      <c r="AB544" s="15">
        <f t="shared" si="53"/>
        <v>0.18212410744384089</v>
      </c>
      <c r="AC544" t="b">
        <f t="shared" si="54"/>
        <v>1</v>
      </c>
    </row>
    <row r="545" spans="1:29" x14ac:dyDescent="0.25">
      <c r="A545" s="52" t="s">
        <v>259</v>
      </c>
      <c r="B545" s="46">
        <v>30013</v>
      </c>
      <c r="C545" s="47">
        <v>45797</v>
      </c>
      <c r="D545" s="46">
        <v>311500</v>
      </c>
      <c r="E545" s="46">
        <v>2</v>
      </c>
      <c r="F545" s="52" t="s">
        <v>2186</v>
      </c>
      <c r="G545" s="46">
        <v>6</v>
      </c>
      <c r="H545" s="52" t="s">
        <v>784</v>
      </c>
      <c r="I545" s="46"/>
      <c r="J545" s="46">
        <v>0</v>
      </c>
      <c r="K545" s="46"/>
      <c r="L545" s="52" t="s">
        <v>700</v>
      </c>
      <c r="M545" s="55">
        <v>5000000</v>
      </c>
      <c r="N545" s="46">
        <v>60</v>
      </c>
      <c r="O545" s="46">
        <v>0</v>
      </c>
      <c r="P545" s="46">
        <v>1</v>
      </c>
      <c r="Q545" s="46">
        <v>12</v>
      </c>
      <c r="R545" s="55">
        <v>148625</v>
      </c>
      <c r="S545" s="46">
        <v>1</v>
      </c>
      <c r="T545" s="55">
        <v>197500</v>
      </c>
      <c r="U545" s="55">
        <f t="shared" si="56"/>
        <v>61700</v>
      </c>
      <c r="V545" s="55">
        <v>1</v>
      </c>
      <c r="W545" s="55">
        <v>117037</v>
      </c>
      <c r="X545" s="46">
        <v>1</v>
      </c>
      <c r="Y545" s="46">
        <v>1</v>
      </c>
      <c r="Z545" s="54">
        <v>0.18170335041994667</v>
      </c>
      <c r="AA545" s="15">
        <f t="shared" si="52"/>
        <v>1.5141945868328888E-2</v>
      </c>
      <c r="AB545" s="15">
        <f t="shared" si="53"/>
        <v>0.18170335041994667</v>
      </c>
      <c r="AC545" t="b">
        <f t="shared" si="54"/>
        <v>1</v>
      </c>
    </row>
    <row r="546" spans="1:29" x14ac:dyDescent="0.25">
      <c r="A546" s="52" t="s">
        <v>259</v>
      </c>
      <c r="B546" s="46">
        <v>30013</v>
      </c>
      <c r="C546" s="47">
        <v>45797</v>
      </c>
      <c r="D546" s="46">
        <v>311500</v>
      </c>
      <c r="E546" s="46">
        <v>2</v>
      </c>
      <c r="F546" s="52" t="s">
        <v>2187</v>
      </c>
      <c r="G546" s="46">
        <v>6</v>
      </c>
      <c r="H546" s="52" t="s">
        <v>784</v>
      </c>
      <c r="I546" s="46"/>
      <c r="J546" s="46">
        <v>0</v>
      </c>
      <c r="K546" s="46"/>
      <c r="L546" s="52" t="s">
        <v>261</v>
      </c>
      <c r="M546" s="55">
        <v>4200000</v>
      </c>
      <c r="N546" s="46">
        <v>60</v>
      </c>
      <c r="O546" s="46">
        <v>0</v>
      </c>
      <c r="P546" s="46">
        <v>1</v>
      </c>
      <c r="Q546" s="46">
        <v>12</v>
      </c>
      <c r="R546" s="55">
        <v>124845</v>
      </c>
      <c r="S546" s="46">
        <v>1</v>
      </c>
      <c r="T546" s="55">
        <v>167500</v>
      </c>
      <c r="U546" s="55">
        <f t="shared" si="56"/>
        <v>53700</v>
      </c>
      <c r="V546" s="55">
        <v>1</v>
      </c>
      <c r="W546" s="55">
        <v>98311</v>
      </c>
      <c r="X546" s="46">
        <v>1</v>
      </c>
      <c r="Y546" s="46">
        <v>1</v>
      </c>
      <c r="Z546" s="54">
        <v>0.18212410744384089</v>
      </c>
      <c r="AA546" s="15">
        <f t="shared" si="52"/>
        <v>1.5177008953653408E-2</v>
      </c>
      <c r="AB546" s="15">
        <f t="shared" si="53"/>
        <v>0.18212410744384089</v>
      </c>
      <c r="AC546" t="b">
        <f t="shared" si="54"/>
        <v>1</v>
      </c>
    </row>
    <row r="547" spans="1:29" x14ac:dyDescent="0.25">
      <c r="A547" s="52" t="s">
        <v>259</v>
      </c>
      <c r="B547" s="46">
        <v>30013</v>
      </c>
      <c r="C547" s="47">
        <v>45797</v>
      </c>
      <c r="D547" s="46">
        <v>311500</v>
      </c>
      <c r="E547" s="46">
        <v>2</v>
      </c>
      <c r="F547" s="52" t="s">
        <v>2188</v>
      </c>
      <c r="G547" s="46">
        <v>6</v>
      </c>
      <c r="H547" s="52" t="s">
        <v>784</v>
      </c>
      <c r="I547" s="46"/>
      <c r="J547" s="46">
        <v>0</v>
      </c>
      <c r="K547" s="46"/>
      <c r="L547" s="52" t="s">
        <v>261</v>
      </c>
      <c r="M547" s="55">
        <v>10000000</v>
      </c>
      <c r="N547" s="46">
        <v>36</v>
      </c>
      <c r="O547" s="46">
        <v>0</v>
      </c>
      <c r="P547" s="46">
        <v>1</v>
      </c>
      <c r="Q547" s="46">
        <v>12</v>
      </c>
      <c r="R547" s="55">
        <v>297250</v>
      </c>
      <c r="S547" s="46">
        <v>1</v>
      </c>
      <c r="T547" s="55">
        <v>240000</v>
      </c>
      <c r="U547" s="55">
        <f t="shared" si="56"/>
        <v>111700</v>
      </c>
      <c r="V547" s="55">
        <v>1</v>
      </c>
      <c r="W547" s="55">
        <v>343079</v>
      </c>
      <c r="X547" s="46">
        <v>1</v>
      </c>
      <c r="Y547" s="46">
        <v>1</v>
      </c>
      <c r="Z547" s="54">
        <v>0.19064859444025828</v>
      </c>
      <c r="AA547" s="15">
        <f t="shared" si="52"/>
        <v>1.5887382870021522E-2</v>
      </c>
      <c r="AB547" s="15">
        <f t="shared" si="53"/>
        <v>0.19064859444025828</v>
      </c>
      <c r="AC547" t="b">
        <f t="shared" si="54"/>
        <v>1</v>
      </c>
    </row>
    <row r="548" spans="1:29" x14ac:dyDescent="0.25">
      <c r="A548" s="52" t="s">
        <v>259</v>
      </c>
      <c r="B548" s="46">
        <v>30013</v>
      </c>
      <c r="C548" s="47">
        <v>45797</v>
      </c>
      <c r="D548" s="46">
        <v>311500</v>
      </c>
      <c r="E548" s="46">
        <v>2</v>
      </c>
      <c r="F548" s="52" t="s">
        <v>2189</v>
      </c>
      <c r="G548" s="46">
        <v>6</v>
      </c>
      <c r="H548" s="52" t="s">
        <v>784</v>
      </c>
      <c r="I548" s="46"/>
      <c r="J548" s="46">
        <v>0</v>
      </c>
      <c r="K548" s="46"/>
      <c r="L548" s="52" t="s">
        <v>261</v>
      </c>
      <c r="M548" s="55">
        <v>8800000</v>
      </c>
      <c r="N548" s="46">
        <v>60</v>
      </c>
      <c r="O548" s="46">
        <v>0</v>
      </c>
      <c r="P548" s="46">
        <v>1</v>
      </c>
      <c r="Q548" s="46">
        <v>11</v>
      </c>
      <c r="R548" s="55">
        <v>261580</v>
      </c>
      <c r="S548" s="46">
        <v>1</v>
      </c>
      <c r="T548" s="55">
        <v>345000</v>
      </c>
      <c r="U548" s="55">
        <f t="shared" si="56"/>
        <v>99700</v>
      </c>
      <c r="V548" s="55">
        <v>1</v>
      </c>
      <c r="W548" s="55">
        <v>200583</v>
      </c>
      <c r="X548" s="46">
        <v>1</v>
      </c>
      <c r="Y548" s="46">
        <v>1</v>
      </c>
      <c r="Z548" s="54">
        <v>0.16869661962788624</v>
      </c>
      <c r="AA548" s="15">
        <f t="shared" si="52"/>
        <v>1.4058051635657185E-2</v>
      </c>
      <c r="AB548" s="15">
        <f t="shared" si="53"/>
        <v>0.16869661962788624</v>
      </c>
      <c r="AC548" t="b">
        <f t="shared" si="54"/>
        <v>1</v>
      </c>
    </row>
    <row r="549" spans="1:29" x14ac:dyDescent="0.25">
      <c r="A549" s="52" t="s">
        <v>259</v>
      </c>
      <c r="B549" s="46">
        <v>30013</v>
      </c>
      <c r="C549" s="47">
        <v>45797</v>
      </c>
      <c r="D549" s="46">
        <v>311500</v>
      </c>
      <c r="E549" s="46">
        <v>2</v>
      </c>
      <c r="F549" s="52" t="s">
        <v>2190</v>
      </c>
      <c r="G549" s="46">
        <v>6</v>
      </c>
      <c r="H549" s="52" t="s">
        <v>784</v>
      </c>
      <c r="I549" s="46"/>
      <c r="J549" s="46">
        <v>0</v>
      </c>
      <c r="K549" s="46"/>
      <c r="L549" s="52" t="s">
        <v>261</v>
      </c>
      <c r="M549" s="55">
        <v>4600000</v>
      </c>
      <c r="N549" s="46">
        <v>60</v>
      </c>
      <c r="O549" s="46">
        <v>0</v>
      </c>
      <c r="P549" s="46">
        <v>1</v>
      </c>
      <c r="Q549" s="46">
        <v>12</v>
      </c>
      <c r="R549" s="55">
        <v>136735</v>
      </c>
      <c r="S549" s="46">
        <v>1</v>
      </c>
      <c r="T549" s="55">
        <v>182500</v>
      </c>
      <c r="U549" s="55">
        <f t="shared" si="56"/>
        <v>57700</v>
      </c>
      <c r="V549" s="55">
        <v>1</v>
      </c>
      <c r="W549" s="55">
        <v>107674</v>
      </c>
      <c r="X549" s="46">
        <v>1</v>
      </c>
      <c r="Y549" s="46">
        <v>1</v>
      </c>
      <c r="Z549" s="54">
        <v>0.18189536636378395</v>
      </c>
      <c r="AA549" s="15">
        <f t="shared" si="52"/>
        <v>1.5157947196981995E-2</v>
      </c>
      <c r="AB549" s="15">
        <f t="shared" si="53"/>
        <v>0.18189536636378395</v>
      </c>
      <c r="AC549" t="b">
        <f t="shared" si="54"/>
        <v>1</v>
      </c>
    </row>
    <row r="550" spans="1:29" x14ac:dyDescent="0.25">
      <c r="A550" s="52" t="s">
        <v>259</v>
      </c>
      <c r="B550" s="46">
        <v>30013</v>
      </c>
      <c r="C550" s="47">
        <v>45798</v>
      </c>
      <c r="D550" s="46">
        <v>311500</v>
      </c>
      <c r="E550" s="46">
        <v>2</v>
      </c>
      <c r="F550" s="52" t="s">
        <v>2191</v>
      </c>
      <c r="G550" s="46">
        <v>6</v>
      </c>
      <c r="H550" s="52" t="s">
        <v>784</v>
      </c>
      <c r="I550" s="46"/>
      <c r="J550" s="46">
        <v>0</v>
      </c>
      <c r="K550" s="46"/>
      <c r="L550" s="52" t="s">
        <v>266</v>
      </c>
      <c r="M550" s="55">
        <v>12000000</v>
      </c>
      <c r="N550" s="46">
        <v>60</v>
      </c>
      <c r="O550" s="46">
        <v>0</v>
      </c>
      <c r="P550" s="46">
        <v>1</v>
      </c>
      <c r="Q550" s="46">
        <v>8</v>
      </c>
      <c r="R550" s="55">
        <v>214020</v>
      </c>
      <c r="S550" s="46">
        <v>1</v>
      </c>
      <c r="T550" s="55">
        <v>465000</v>
      </c>
      <c r="U550" s="55">
        <f t="shared" si="56"/>
        <v>131700</v>
      </c>
      <c r="V550" s="55">
        <v>1</v>
      </c>
      <c r="W550" s="55">
        <v>252093</v>
      </c>
      <c r="X550" s="46">
        <v>1</v>
      </c>
      <c r="Y550" s="46">
        <v>1</v>
      </c>
      <c r="Z550" s="54">
        <v>0.12562750655138005</v>
      </c>
      <c r="AA550" s="15">
        <f t="shared" si="52"/>
        <v>1.046895887928167E-2</v>
      </c>
      <c r="AB550" s="15">
        <f t="shared" si="53"/>
        <v>0.12562750655138005</v>
      </c>
      <c r="AC550" t="b">
        <f t="shared" si="54"/>
        <v>1</v>
      </c>
    </row>
    <row r="551" spans="1:29" x14ac:dyDescent="0.25">
      <c r="A551" s="52" t="s">
        <v>259</v>
      </c>
      <c r="B551" s="46">
        <v>30013</v>
      </c>
      <c r="C551" s="47">
        <v>45798</v>
      </c>
      <c r="D551" s="46">
        <v>311500</v>
      </c>
      <c r="E551" s="46">
        <v>2</v>
      </c>
      <c r="F551" s="52" t="s">
        <v>2192</v>
      </c>
      <c r="G551" s="46">
        <v>6</v>
      </c>
      <c r="H551" s="52" t="s">
        <v>784</v>
      </c>
      <c r="I551" s="46"/>
      <c r="J551" s="46">
        <v>0</v>
      </c>
      <c r="K551" s="46"/>
      <c r="L551" s="52" t="s">
        <v>687</v>
      </c>
      <c r="M551" s="55">
        <v>10000000</v>
      </c>
      <c r="N551" s="46">
        <v>72</v>
      </c>
      <c r="O551" s="46">
        <v>0</v>
      </c>
      <c r="P551" s="46">
        <v>1</v>
      </c>
      <c r="Q551" s="46">
        <v>12</v>
      </c>
      <c r="R551" s="55">
        <v>178350</v>
      </c>
      <c r="S551" s="46">
        <v>1</v>
      </c>
      <c r="T551" s="55">
        <v>465000</v>
      </c>
      <c r="U551" s="55">
        <f t="shared" si="56"/>
        <v>111700</v>
      </c>
      <c r="V551" s="55">
        <v>1</v>
      </c>
      <c r="W551" s="55">
        <v>207495</v>
      </c>
      <c r="X551" s="46">
        <v>1</v>
      </c>
      <c r="Y551" s="46">
        <v>1</v>
      </c>
      <c r="Z551" s="54">
        <v>0.17354042975106143</v>
      </c>
      <c r="AA551" s="15">
        <f t="shared" si="52"/>
        <v>1.446170247925512E-2</v>
      </c>
      <c r="AB551" s="15">
        <f t="shared" si="53"/>
        <v>0.17354042975106143</v>
      </c>
      <c r="AC551" t="b">
        <f t="shared" si="54"/>
        <v>1</v>
      </c>
    </row>
    <row r="552" spans="1:29" x14ac:dyDescent="0.25">
      <c r="A552" s="52" t="s">
        <v>259</v>
      </c>
      <c r="B552" s="46">
        <v>30013</v>
      </c>
      <c r="C552" s="47">
        <v>45798</v>
      </c>
      <c r="D552" s="46">
        <v>311500</v>
      </c>
      <c r="E552" s="46">
        <v>2</v>
      </c>
      <c r="F552" s="52" t="s">
        <v>2193</v>
      </c>
      <c r="G552" s="46">
        <v>6</v>
      </c>
      <c r="H552" s="52" t="s">
        <v>784</v>
      </c>
      <c r="I552" s="46"/>
      <c r="J552" s="46">
        <v>0</v>
      </c>
      <c r="K552" s="46"/>
      <c r="L552" s="52" t="s">
        <v>261</v>
      </c>
      <c r="M552" s="55">
        <v>12000000</v>
      </c>
      <c r="N552" s="46">
        <v>60</v>
      </c>
      <c r="O552" s="46">
        <v>0</v>
      </c>
      <c r="P552" s="46">
        <v>1</v>
      </c>
      <c r="Q552" s="46">
        <v>8</v>
      </c>
      <c r="R552" s="55">
        <v>356700</v>
      </c>
      <c r="S552" s="46">
        <v>1</v>
      </c>
      <c r="T552" s="55">
        <v>465000</v>
      </c>
      <c r="U552" s="55">
        <f t="shared" si="56"/>
        <v>131700</v>
      </c>
      <c r="V552" s="55">
        <v>1</v>
      </c>
      <c r="W552" s="55">
        <v>252093</v>
      </c>
      <c r="X552" s="46">
        <v>1</v>
      </c>
      <c r="Y552" s="46">
        <v>1</v>
      </c>
      <c r="Z552" s="54">
        <v>0.13132323232416193</v>
      </c>
      <c r="AA552" s="15">
        <f t="shared" si="52"/>
        <v>1.0943602693680162E-2</v>
      </c>
      <c r="AB552" s="15">
        <f t="shared" si="53"/>
        <v>0.13132323232416193</v>
      </c>
      <c r="AC552" t="b">
        <f t="shared" si="54"/>
        <v>1</v>
      </c>
    </row>
    <row r="553" spans="1:29" x14ac:dyDescent="0.25">
      <c r="A553" s="52" t="s">
        <v>259</v>
      </c>
      <c r="B553" s="46">
        <v>30013</v>
      </c>
      <c r="C553" s="47">
        <v>45798</v>
      </c>
      <c r="D553" s="46">
        <v>311500</v>
      </c>
      <c r="E553" s="46">
        <v>2</v>
      </c>
      <c r="F553" s="52" t="s">
        <v>2194</v>
      </c>
      <c r="G553" s="46">
        <v>6</v>
      </c>
      <c r="H553" s="52" t="s">
        <v>784</v>
      </c>
      <c r="I553" s="46"/>
      <c r="J553" s="46">
        <v>0</v>
      </c>
      <c r="K553" s="46"/>
      <c r="L553" s="52" t="s">
        <v>709</v>
      </c>
      <c r="M553" s="55">
        <v>12000000</v>
      </c>
      <c r="N553" s="46">
        <v>60</v>
      </c>
      <c r="O553" s="46">
        <v>0</v>
      </c>
      <c r="P553" s="46">
        <v>1</v>
      </c>
      <c r="Q553" s="46">
        <v>8</v>
      </c>
      <c r="R553" s="55">
        <v>356700</v>
      </c>
      <c r="S553" s="46">
        <v>1</v>
      </c>
      <c r="T553" s="55">
        <v>465000</v>
      </c>
      <c r="U553" s="55">
        <f t="shared" si="56"/>
        <v>131700</v>
      </c>
      <c r="V553" s="55">
        <v>1</v>
      </c>
      <c r="W553" s="55">
        <v>252093</v>
      </c>
      <c r="X553" s="46">
        <v>1</v>
      </c>
      <c r="Y553" s="46">
        <v>1</v>
      </c>
      <c r="Z553" s="54">
        <v>0.13132323232416193</v>
      </c>
      <c r="AA553" s="15">
        <f t="shared" si="52"/>
        <v>1.0943602693680162E-2</v>
      </c>
      <c r="AB553" s="15">
        <f t="shared" si="53"/>
        <v>0.13132323232416193</v>
      </c>
      <c r="AC553" t="b">
        <f t="shared" si="54"/>
        <v>1</v>
      </c>
    </row>
    <row r="554" spans="1:29" x14ac:dyDescent="0.25">
      <c r="A554" s="52" t="s">
        <v>259</v>
      </c>
      <c r="B554" s="46">
        <v>30013</v>
      </c>
      <c r="C554" s="47">
        <v>45798</v>
      </c>
      <c r="D554" s="46">
        <v>321600</v>
      </c>
      <c r="E554" s="46">
        <v>2</v>
      </c>
      <c r="F554" s="52" t="s">
        <v>2195</v>
      </c>
      <c r="G554" s="46">
        <v>6</v>
      </c>
      <c r="H554" s="52" t="s">
        <v>784</v>
      </c>
      <c r="I554" s="46"/>
      <c r="J554" s="46">
        <v>0</v>
      </c>
      <c r="K554" s="46"/>
      <c r="L554" s="52" t="s">
        <v>690</v>
      </c>
      <c r="M554" s="55">
        <v>1000000</v>
      </c>
      <c r="N554" s="46">
        <v>12</v>
      </c>
      <c r="O554" s="46">
        <v>0</v>
      </c>
      <c r="P554" s="46">
        <v>1</v>
      </c>
      <c r="Q554" s="46">
        <v>10</v>
      </c>
      <c r="R554" s="55">
        <v>11890</v>
      </c>
      <c r="S554" s="46">
        <v>1</v>
      </c>
      <c r="T554" s="55">
        <v>0</v>
      </c>
      <c r="U554" s="55">
        <f t="shared" si="56"/>
        <v>21700</v>
      </c>
      <c r="V554" s="55">
        <v>1</v>
      </c>
      <c r="W554" s="55">
        <v>88797</v>
      </c>
      <c r="X554" s="46">
        <v>1</v>
      </c>
      <c r="Y554" s="46">
        <v>1</v>
      </c>
      <c r="Z554" s="54">
        <v>0.18427066427090119</v>
      </c>
      <c r="AA554" s="15">
        <f t="shared" si="52"/>
        <v>1.5355888689241766E-2</v>
      </c>
      <c r="AB554" s="15">
        <f t="shared" si="53"/>
        <v>0.18427066427090119</v>
      </c>
      <c r="AC554" t="b">
        <f t="shared" si="54"/>
        <v>1</v>
      </c>
    </row>
    <row r="555" spans="1:29" x14ac:dyDescent="0.25">
      <c r="A555" s="52" t="s">
        <v>259</v>
      </c>
      <c r="B555" s="46">
        <v>30013</v>
      </c>
      <c r="C555" s="47">
        <v>45798</v>
      </c>
      <c r="D555" s="46">
        <v>311500</v>
      </c>
      <c r="E555" s="46">
        <v>2</v>
      </c>
      <c r="F555" s="52" t="s">
        <v>2196</v>
      </c>
      <c r="G555" s="46">
        <v>6</v>
      </c>
      <c r="H555" s="52" t="s">
        <v>1642</v>
      </c>
      <c r="I555" s="46"/>
      <c r="J555" s="46">
        <v>0</v>
      </c>
      <c r="K555" s="46"/>
      <c r="L555" s="52" t="s">
        <v>231</v>
      </c>
      <c r="M555" s="55">
        <v>5000000</v>
      </c>
      <c r="N555" s="46">
        <v>60</v>
      </c>
      <c r="O555" s="46">
        <v>0</v>
      </c>
      <c r="P555" s="46">
        <v>1</v>
      </c>
      <c r="Q555" s="46">
        <v>8</v>
      </c>
      <c r="R555" s="55">
        <v>148625</v>
      </c>
      <c r="S555" s="46">
        <v>1</v>
      </c>
      <c r="T555" s="55">
        <v>197500</v>
      </c>
      <c r="U555" s="55">
        <f t="shared" si="56"/>
        <v>61700</v>
      </c>
      <c r="V555" s="55">
        <v>1</v>
      </c>
      <c r="W555" s="55">
        <v>105039</v>
      </c>
      <c r="X555" s="46">
        <v>1</v>
      </c>
      <c r="Y555" s="46">
        <v>1</v>
      </c>
      <c r="Z555" s="54">
        <v>0.13234848665913623</v>
      </c>
      <c r="AA555" s="15">
        <f t="shared" si="52"/>
        <v>1.1029040554928021E-2</v>
      </c>
      <c r="AB555" s="15">
        <f t="shared" si="53"/>
        <v>0.13234848665913623</v>
      </c>
      <c r="AC555" t="b">
        <f t="shared" si="54"/>
        <v>1</v>
      </c>
    </row>
    <row r="556" spans="1:29" x14ac:dyDescent="0.25">
      <c r="A556" s="52" t="s">
        <v>259</v>
      </c>
      <c r="B556" s="46">
        <v>30013</v>
      </c>
      <c r="C556" s="47">
        <v>45798</v>
      </c>
      <c r="D556" s="46">
        <v>311500</v>
      </c>
      <c r="E556" s="46">
        <v>2</v>
      </c>
      <c r="F556" s="52" t="s">
        <v>2197</v>
      </c>
      <c r="G556" s="46">
        <v>6</v>
      </c>
      <c r="H556" s="52" t="s">
        <v>784</v>
      </c>
      <c r="I556" s="46"/>
      <c r="J556" s="46">
        <v>0</v>
      </c>
      <c r="K556" s="46"/>
      <c r="L556" s="52" t="s">
        <v>700</v>
      </c>
      <c r="M556" s="55">
        <v>4000000</v>
      </c>
      <c r="N556" s="46">
        <v>60</v>
      </c>
      <c r="O556" s="46">
        <v>0</v>
      </c>
      <c r="P556" s="46">
        <v>1</v>
      </c>
      <c r="Q556" s="46">
        <v>12</v>
      </c>
      <c r="R556" s="55">
        <v>118900</v>
      </c>
      <c r="S556" s="46">
        <v>1</v>
      </c>
      <c r="T556" s="55">
        <v>160000</v>
      </c>
      <c r="U556" s="55">
        <f t="shared" si="56"/>
        <v>51700</v>
      </c>
      <c r="V556" s="55">
        <v>1</v>
      </c>
      <c r="W556" s="55">
        <v>93630</v>
      </c>
      <c r="X556" s="46">
        <v>1</v>
      </c>
      <c r="Y556" s="46">
        <v>1</v>
      </c>
      <c r="Z556" s="54">
        <v>0.18225820613323224</v>
      </c>
      <c r="AA556" s="15">
        <f t="shared" si="52"/>
        <v>1.5188183844436019E-2</v>
      </c>
      <c r="AB556" s="15">
        <f t="shared" si="53"/>
        <v>0.18225820613323224</v>
      </c>
      <c r="AC556" t="b">
        <f t="shared" si="54"/>
        <v>1</v>
      </c>
    </row>
    <row r="557" spans="1:29" x14ac:dyDescent="0.25">
      <c r="A557" s="52" t="s">
        <v>259</v>
      </c>
      <c r="B557" s="46">
        <v>30013</v>
      </c>
      <c r="C557" s="47">
        <v>45798</v>
      </c>
      <c r="D557" s="46">
        <v>311500</v>
      </c>
      <c r="E557" s="46">
        <v>2</v>
      </c>
      <c r="F557" s="52" t="s">
        <v>2198</v>
      </c>
      <c r="G557" s="46">
        <v>6</v>
      </c>
      <c r="H557" s="52" t="s">
        <v>784</v>
      </c>
      <c r="I557" s="46"/>
      <c r="J557" s="46">
        <v>0</v>
      </c>
      <c r="K557" s="46"/>
      <c r="L557" s="52" t="s">
        <v>261</v>
      </c>
      <c r="M557" s="55">
        <v>10000000</v>
      </c>
      <c r="N557" s="46">
        <v>72</v>
      </c>
      <c r="O557" s="46">
        <v>0</v>
      </c>
      <c r="P557" s="46">
        <v>1</v>
      </c>
      <c r="Q557" s="46">
        <v>10</v>
      </c>
      <c r="R557" s="55">
        <v>178350</v>
      </c>
      <c r="S557" s="46">
        <v>1</v>
      </c>
      <c r="T557" s="55">
        <v>465000</v>
      </c>
      <c r="U557" s="55">
        <f t="shared" si="56"/>
        <v>111700</v>
      </c>
      <c r="V557" s="55">
        <v>1</v>
      </c>
      <c r="W557" s="55">
        <v>194930</v>
      </c>
      <c r="X557" s="46">
        <v>1</v>
      </c>
      <c r="Y557" s="46">
        <v>1</v>
      </c>
      <c r="Z557" s="54">
        <v>0.14889452117160559</v>
      </c>
      <c r="AA557" s="15">
        <f t="shared" si="52"/>
        <v>1.2407876764300467E-2</v>
      </c>
      <c r="AB557" s="15">
        <f t="shared" si="53"/>
        <v>0.14889452117160559</v>
      </c>
      <c r="AC557" t="b">
        <f t="shared" si="54"/>
        <v>1</v>
      </c>
    </row>
    <row r="558" spans="1:29" x14ac:dyDescent="0.25">
      <c r="A558" s="52" t="s">
        <v>259</v>
      </c>
      <c r="B558" s="46">
        <v>30013</v>
      </c>
      <c r="C558" s="47">
        <v>45798</v>
      </c>
      <c r="D558" s="46">
        <v>311500</v>
      </c>
      <c r="E558" s="46">
        <v>2</v>
      </c>
      <c r="F558" s="52" t="s">
        <v>2199</v>
      </c>
      <c r="G558" s="46">
        <v>6</v>
      </c>
      <c r="H558" s="52" t="s">
        <v>784</v>
      </c>
      <c r="I558" s="46"/>
      <c r="J558" s="46">
        <v>0</v>
      </c>
      <c r="K558" s="46"/>
      <c r="L558" s="52" t="s">
        <v>690</v>
      </c>
      <c r="M558" s="55">
        <v>3750000</v>
      </c>
      <c r="N558" s="46">
        <v>60</v>
      </c>
      <c r="O558" s="46">
        <v>0</v>
      </c>
      <c r="P558" s="46">
        <v>1</v>
      </c>
      <c r="Q558" s="46">
        <v>14</v>
      </c>
      <c r="R558" s="55">
        <v>111469</v>
      </c>
      <c r="S558" s="46">
        <v>1</v>
      </c>
      <c r="T558" s="55">
        <v>150625</v>
      </c>
      <c r="U558" s="55">
        <f t="shared" si="56"/>
        <v>49200</v>
      </c>
      <c r="V558" s="55">
        <v>1</v>
      </c>
      <c r="W558" s="55">
        <v>92485</v>
      </c>
      <c r="X558" s="46">
        <v>1</v>
      </c>
      <c r="Y558" s="46">
        <v>1</v>
      </c>
      <c r="Z558" s="54">
        <v>0.20718574108362836</v>
      </c>
      <c r="AA558" s="15">
        <f t="shared" si="52"/>
        <v>1.7265478423635697E-2</v>
      </c>
      <c r="AB558" s="15">
        <f t="shared" si="53"/>
        <v>0.20718574108362836</v>
      </c>
      <c r="AC558" t="b">
        <f t="shared" si="54"/>
        <v>1</v>
      </c>
    </row>
    <row r="559" spans="1:29" x14ac:dyDescent="0.25">
      <c r="A559" s="52" t="s">
        <v>259</v>
      </c>
      <c r="B559" s="46">
        <v>30013</v>
      </c>
      <c r="C559" s="47">
        <v>45798</v>
      </c>
      <c r="D559" s="46">
        <v>311500</v>
      </c>
      <c r="E559" s="46">
        <v>2</v>
      </c>
      <c r="F559" s="52" t="s">
        <v>2200</v>
      </c>
      <c r="G559" s="46">
        <v>6</v>
      </c>
      <c r="H559" s="52" t="s">
        <v>1642</v>
      </c>
      <c r="I559" s="46"/>
      <c r="J559" s="46">
        <v>0</v>
      </c>
      <c r="K559" s="46"/>
      <c r="L559" s="52" t="s">
        <v>686</v>
      </c>
      <c r="M559" s="55">
        <v>4770000</v>
      </c>
      <c r="N559" s="46">
        <v>60</v>
      </c>
      <c r="O559" s="46">
        <v>0</v>
      </c>
      <c r="P559" s="46">
        <v>1</v>
      </c>
      <c r="Q559" s="46">
        <v>8</v>
      </c>
      <c r="R559" s="55">
        <v>141788</v>
      </c>
      <c r="S559" s="46">
        <v>1</v>
      </c>
      <c r="T559" s="55">
        <v>188875</v>
      </c>
      <c r="U559" s="55">
        <f t="shared" si="56"/>
        <v>59400</v>
      </c>
      <c r="V559" s="55">
        <v>1</v>
      </c>
      <c r="W559" s="55">
        <v>100207</v>
      </c>
      <c r="X559" s="46">
        <v>1</v>
      </c>
      <c r="Y559" s="46">
        <v>1</v>
      </c>
      <c r="Z559" s="54">
        <v>0.13244906679068269</v>
      </c>
      <c r="AA559" s="15">
        <f t="shared" si="52"/>
        <v>1.103742223255689E-2</v>
      </c>
      <c r="AB559" s="15">
        <f t="shared" si="53"/>
        <v>0.13244906679068269</v>
      </c>
      <c r="AC559" t="b">
        <f t="shared" si="54"/>
        <v>1</v>
      </c>
    </row>
    <row r="560" spans="1:29" x14ac:dyDescent="0.25">
      <c r="A560" s="52" t="s">
        <v>259</v>
      </c>
      <c r="B560" s="46">
        <v>30013</v>
      </c>
      <c r="C560" s="47">
        <v>45798</v>
      </c>
      <c r="D560" s="46">
        <v>311500</v>
      </c>
      <c r="E560" s="46">
        <v>2</v>
      </c>
      <c r="F560" s="52" t="s">
        <v>2201</v>
      </c>
      <c r="G560" s="46">
        <v>6</v>
      </c>
      <c r="H560" s="52" t="s">
        <v>784</v>
      </c>
      <c r="I560" s="46"/>
      <c r="J560" s="46">
        <v>0</v>
      </c>
      <c r="K560" s="46"/>
      <c r="L560" s="52" t="s">
        <v>690</v>
      </c>
      <c r="M560" s="55">
        <v>6300000</v>
      </c>
      <c r="N560" s="46">
        <v>60</v>
      </c>
      <c r="O560" s="46">
        <v>0</v>
      </c>
      <c r="P560" s="46">
        <v>1</v>
      </c>
      <c r="Q560" s="46">
        <v>12</v>
      </c>
      <c r="R560" s="55">
        <v>187268</v>
      </c>
      <c r="S560" s="46">
        <v>1</v>
      </c>
      <c r="T560" s="55">
        <v>246250</v>
      </c>
      <c r="U560" s="55">
        <f t="shared" si="56"/>
        <v>74700</v>
      </c>
      <c r="V560" s="55">
        <v>1</v>
      </c>
      <c r="W560" s="55">
        <v>147467</v>
      </c>
      <c r="X560" s="46">
        <v>1</v>
      </c>
      <c r="Y560" s="46">
        <v>1</v>
      </c>
      <c r="Z560" s="54">
        <v>0.18124898792175692</v>
      </c>
      <c r="AA560" s="15">
        <f t="shared" si="52"/>
        <v>1.5104082326813078E-2</v>
      </c>
      <c r="AB560" s="15">
        <f t="shared" si="53"/>
        <v>0.18124898792175692</v>
      </c>
      <c r="AC560" t="b">
        <f t="shared" si="54"/>
        <v>1</v>
      </c>
    </row>
    <row r="561" spans="1:29" x14ac:dyDescent="0.25">
      <c r="A561" s="52" t="s">
        <v>259</v>
      </c>
      <c r="B561" s="46">
        <v>30013</v>
      </c>
      <c r="C561" s="47">
        <v>45798</v>
      </c>
      <c r="D561" s="46">
        <v>311500</v>
      </c>
      <c r="E561" s="46">
        <v>2</v>
      </c>
      <c r="F561" s="52" t="s">
        <v>2202</v>
      </c>
      <c r="G561" s="46">
        <v>6</v>
      </c>
      <c r="H561" s="52" t="s">
        <v>1642</v>
      </c>
      <c r="I561" s="46"/>
      <c r="J561" s="46">
        <v>0</v>
      </c>
      <c r="K561" s="46"/>
      <c r="L561" s="52" t="s">
        <v>700</v>
      </c>
      <c r="M561" s="55">
        <v>7700000</v>
      </c>
      <c r="N561" s="46">
        <v>72</v>
      </c>
      <c r="O561" s="46">
        <v>0</v>
      </c>
      <c r="P561" s="46">
        <v>1</v>
      </c>
      <c r="Q561" s="46">
        <v>10</v>
      </c>
      <c r="R561" s="55">
        <v>137330</v>
      </c>
      <c r="S561" s="46">
        <v>1</v>
      </c>
      <c r="T561" s="55">
        <v>361500</v>
      </c>
      <c r="U561" s="55">
        <f t="shared" si="56"/>
        <v>88700</v>
      </c>
      <c r="V561" s="55">
        <v>1</v>
      </c>
      <c r="W561" s="55">
        <v>150096</v>
      </c>
      <c r="X561" s="46">
        <v>1</v>
      </c>
      <c r="Y561" s="46">
        <v>1</v>
      </c>
      <c r="Z561" s="54">
        <v>0.14922995569802036</v>
      </c>
      <c r="AA561" s="15">
        <f t="shared" si="52"/>
        <v>1.2435829641501696E-2</v>
      </c>
      <c r="AB561" s="15">
        <f t="shared" si="53"/>
        <v>0.14922995569802036</v>
      </c>
      <c r="AC561" t="b">
        <f t="shared" si="54"/>
        <v>1</v>
      </c>
    </row>
    <row r="562" spans="1:29" x14ac:dyDescent="0.25">
      <c r="A562" s="52" t="s">
        <v>259</v>
      </c>
      <c r="B562" s="46">
        <v>30013</v>
      </c>
      <c r="C562" s="47">
        <v>45798</v>
      </c>
      <c r="D562" s="46">
        <v>311500</v>
      </c>
      <c r="E562" s="46">
        <v>2</v>
      </c>
      <c r="F562" s="52" t="s">
        <v>2203</v>
      </c>
      <c r="G562" s="46">
        <v>6</v>
      </c>
      <c r="H562" s="52" t="s">
        <v>784</v>
      </c>
      <c r="I562" s="46"/>
      <c r="J562" s="46">
        <v>0</v>
      </c>
      <c r="K562" s="46"/>
      <c r="L562" s="52" t="s">
        <v>261</v>
      </c>
      <c r="M562" s="55">
        <v>4300000</v>
      </c>
      <c r="N562" s="46">
        <v>60</v>
      </c>
      <c r="O562" s="46">
        <v>0</v>
      </c>
      <c r="P562" s="46">
        <v>1</v>
      </c>
      <c r="Q562" s="46">
        <v>12</v>
      </c>
      <c r="R562" s="55">
        <v>127818</v>
      </c>
      <c r="S562" s="46">
        <v>1</v>
      </c>
      <c r="T562" s="55">
        <v>171250</v>
      </c>
      <c r="U562" s="55">
        <f t="shared" si="56"/>
        <v>54700</v>
      </c>
      <c r="V562" s="55">
        <v>1</v>
      </c>
      <c r="W562" s="55">
        <v>100652</v>
      </c>
      <c r="X562" s="46">
        <v>1</v>
      </c>
      <c r="Y562" s="46">
        <v>1</v>
      </c>
      <c r="Z562" s="54">
        <v>0.18206413750872019</v>
      </c>
      <c r="AA562" s="15">
        <f t="shared" si="52"/>
        <v>1.5172011459060017E-2</v>
      </c>
      <c r="AB562" s="15">
        <f t="shared" si="53"/>
        <v>0.18206413750872019</v>
      </c>
      <c r="AC562" t="b">
        <f t="shared" si="54"/>
        <v>1</v>
      </c>
    </row>
    <row r="563" spans="1:29" x14ac:dyDescent="0.25">
      <c r="A563" s="52" t="s">
        <v>259</v>
      </c>
      <c r="B563" s="46">
        <v>30013</v>
      </c>
      <c r="C563" s="47">
        <v>45798</v>
      </c>
      <c r="D563" s="46">
        <v>311500</v>
      </c>
      <c r="E563" s="46">
        <v>2</v>
      </c>
      <c r="F563" s="52" t="s">
        <v>2204</v>
      </c>
      <c r="G563" s="46">
        <v>6</v>
      </c>
      <c r="H563" s="52" t="s">
        <v>1642</v>
      </c>
      <c r="I563" s="46"/>
      <c r="J563" s="46">
        <v>0</v>
      </c>
      <c r="K563" s="46"/>
      <c r="L563" s="52" t="s">
        <v>270</v>
      </c>
      <c r="M563" s="55">
        <v>9800000</v>
      </c>
      <c r="N563" s="46">
        <v>60</v>
      </c>
      <c r="O563" s="46">
        <v>0</v>
      </c>
      <c r="P563" s="46">
        <v>1</v>
      </c>
      <c r="Q563" s="46">
        <v>8</v>
      </c>
      <c r="R563" s="55">
        <v>291305</v>
      </c>
      <c r="S563" s="46">
        <v>1</v>
      </c>
      <c r="T563" s="55">
        <v>382500</v>
      </c>
      <c r="U563" s="55">
        <f t="shared" si="56"/>
        <v>109700</v>
      </c>
      <c r="V563" s="55">
        <v>1</v>
      </c>
      <c r="W563" s="55">
        <v>205876</v>
      </c>
      <c r="X563" s="46">
        <v>1</v>
      </c>
      <c r="Y563" s="46">
        <v>1</v>
      </c>
      <c r="Z563" s="54">
        <v>0.13156491546416921</v>
      </c>
      <c r="AA563" s="15">
        <f t="shared" si="52"/>
        <v>1.0963742955347435E-2</v>
      </c>
      <c r="AB563" s="15">
        <f t="shared" si="53"/>
        <v>0.13156491546416921</v>
      </c>
      <c r="AC563" t="b">
        <f t="shared" si="54"/>
        <v>1</v>
      </c>
    </row>
    <row r="564" spans="1:29" x14ac:dyDescent="0.25">
      <c r="A564" s="52" t="s">
        <v>259</v>
      </c>
      <c r="B564" s="46">
        <v>30013</v>
      </c>
      <c r="C564" s="47">
        <v>45798</v>
      </c>
      <c r="D564" s="46">
        <v>311500</v>
      </c>
      <c r="E564" s="46">
        <v>2</v>
      </c>
      <c r="F564" s="52" t="s">
        <v>2205</v>
      </c>
      <c r="G564" s="46">
        <v>6</v>
      </c>
      <c r="H564" s="52" t="s">
        <v>1642</v>
      </c>
      <c r="I564" s="46"/>
      <c r="J564" s="46">
        <v>0</v>
      </c>
      <c r="K564" s="46"/>
      <c r="L564" s="52" t="s">
        <v>690</v>
      </c>
      <c r="M564" s="55">
        <v>10000000</v>
      </c>
      <c r="N564" s="46">
        <v>60</v>
      </c>
      <c r="O564" s="46">
        <v>0</v>
      </c>
      <c r="P564" s="46">
        <v>1</v>
      </c>
      <c r="Q564" s="46">
        <v>10</v>
      </c>
      <c r="R564" s="55">
        <v>297250</v>
      </c>
      <c r="S564" s="46">
        <v>1</v>
      </c>
      <c r="T564" s="55">
        <v>390000</v>
      </c>
      <c r="U564" s="55">
        <f t="shared" si="56"/>
        <v>111700</v>
      </c>
      <c r="V564" s="55">
        <v>1</v>
      </c>
      <c r="W564" s="55">
        <v>221889</v>
      </c>
      <c r="X564" s="46">
        <v>1</v>
      </c>
      <c r="Y564" s="46">
        <v>1</v>
      </c>
      <c r="Z564" s="54">
        <v>0.15618117627512212</v>
      </c>
      <c r="AA564" s="15">
        <f t="shared" si="52"/>
        <v>1.3015098022926844E-2</v>
      </c>
      <c r="AB564" s="15">
        <f t="shared" si="53"/>
        <v>0.15618117627512212</v>
      </c>
      <c r="AC564" t="b">
        <f t="shared" si="54"/>
        <v>1</v>
      </c>
    </row>
    <row r="565" spans="1:29" x14ac:dyDescent="0.25">
      <c r="A565" s="52" t="s">
        <v>259</v>
      </c>
      <c r="B565" s="46">
        <v>30013</v>
      </c>
      <c r="C565" s="47">
        <v>45798</v>
      </c>
      <c r="D565" s="46">
        <v>311500</v>
      </c>
      <c r="E565" s="46">
        <v>2</v>
      </c>
      <c r="F565" s="52" t="s">
        <v>2206</v>
      </c>
      <c r="G565" s="46">
        <v>6</v>
      </c>
      <c r="H565" s="52" t="s">
        <v>784</v>
      </c>
      <c r="I565" s="46"/>
      <c r="J565" s="46">
        <v>0</v>
      </c>
      <c r="K565" s="46"/>
      <c r="L565" s="52" t="s">
        <v>261</v>
      </c>
      <c r="M565" s="55">
        <v>1200000</v>
      </c>
      <c r="N565" s="46">
        <v>48</v>
      </c>
      <c r="O565" s="46">
        <v>0</v>
      </c>
      <c r="P565" s="46">
        <v>1</v>
      </c>
      <c r="Q565" s="46">
        <v>12</v>
      </c>
      <c r="R565" s="55">
        <v>40723</v>
      </c>
      <c r="S565" s="46">
        <v>1</v>
      </c>
      <c r="T565" s="55">
        <v>46000</v>
      </c>
      <c r="U565" s="55">
        <f t="shared" si="56"/>
        <v>23700</v>
      </c>
      <c r="V565" s="55">
        <v>1</v>
      </c>
      <c r="W565" s="55">
        <v>32953</v>
      </c>
      <c r="X565" s="46">
        <v>1</v>
      </c>
      <c r="Y565" s="46">
        <v>1</v>
      </c>
      <c r="Z565" s="54">
        <v>0.19649342315282914</v>
      </c>
      <c r="AA565" s="15">
        <f t="shared" si="52"/>
        <v>1.6374451929402428E-2</v>
      </c>
      <c r="AB565" s="15">
        <f t="shared" si="53"/>
        <v>0.19649342315282914</v>
      </c>
      <c r="AC565" t="b">
        <f t="shared" si="54"/>
        <v>1</v>
      </c>
    </row>
    <row r="566" spans="1:29" x14ac:dyDescent="0.25">
      <c r="A566" s="52" t="s">
        <v>259</v>
      </c>
      <c r="B566" s="46">
        <v>30013</v>
      </c>
      <c r="C566" s="47">
        <v>45798</v>
      </c>
      <c r="D566" s="46">
        <v>311500</v>
      </c>
      <c r="E566" s="46">
        <v>2</v>
      </c>
      <c r="F566" s="52" t="s">
        <v>2207</v>
      </c>
      <c r="G566" s="46">
        <v>6</v>
      </c>
      <c r="H566" s="52" t="s">
        <v>784</v>
      </c>
      <c r="I566" s="46"/>
      <c r="J566" s="46">
        <v>0</v>
      </c>
      <c r="K566" s="46"/>
      <c r="L566" s="52" t="s">
        <v>690</v>
      </c>
      <c r="M566" s="55">
        <v>6800000</v>
      </c>
      <c r="N566" s="46">
        <v>56</v>
      </c>
      <c r="O566" s="46">
        <v>0</v>
      </c>
      <c r="P566" s="46">
        <v>1</v>
      </c>
      <c r="Q566" s="46">
        <v>12</v>
      </c>
      <c r="R566" s="55">
        <v>202130</v>
      </c>
      <c r="S566" s="46">
        <v>1</v>
      </c>
      <c r="T566" s="55">
        <v>248000</v>
      </c>
      <c r="U566" s="55">
        <f t="shared" si="56"/>
        <v>79700</v>
      </c>
      <c r="V566" s="55">
        <v>1</v>
      </c>
      <c r="W566" s="55">
        <v>167003</v>
      </c>
      <c r="X566" s="46">
        <v>1</v>
      </c>
      <c r="Y566" s="46">
        <v>1</v>
      </c>
      <c r="Z566" s="54">
        <v>0.18211106327669604</v>
      </c>
      <c r="AA566" s="15">
        <f t="shared" si="52"/>
        <v>1.517592193972467E-2</v>
      </c>
      <c r="AB566" s="15">
        <f t="shared" si="53"/>
        <v>0.18211106327669604</v>
      </c>
      <c r="AC566" t="b">
        <f t="shared" si="54"/>
        <v>1</v>
      </c>
    </row>
    <row r="567" spans="1:29" x14ac:dyDescent="0.25">
      <c r="A567" s="52" t="s">
        <v>259</v>
      </c>
      <c r="B567" s="46">
        <v>30013</v>
      </c>
      <c r="C567" s="47">
        <v>45798</v>
      </c>
      <c r="D567" s="46">
        <v>311500</v>
      </c>
      <c r="E567" s="46">
        <v>2</v>
      </c>
      <c r="F567" s="52" t="s">
        <v>2208</v>
      </c>
      <c r="G567" s="46">
        <v>6</v>
      </c>
      <c r="H567" s="52" t="s">
        <v>784</v>
      </c>
      <c r="I567" s="46"/>
      <c r="J567" s="46">
        <v>0</v>
      </c>
      <c r="K567" s="46"/>
      <c r="L567" s="52" t="s">
        <v>693</v>
      </c>
      <c r="M567" s="55">
        <v>4500000</v>
      </c>
      <c r="N567" s="46">
        <v>60</v>
      </c>
      <c r="O567" s="46">
        <v>0</v>
      </c>
      <c r="P567" s="46">
        <v>1</v>
      </c>
      <c r="Q567" s="46">
        <v>12</v>
      </c>
      <c r="R567" s="55">
        <v>133763</v>
      </c>
      <c r="S567" s="46">
        <v>1</v>
      </c>
      <c r="T567" s="55">
        <v>178700</v>
      </c>
      <c r="U567" s="55">
        <f t="shared" si="56"/>
        <v>56700</v>
      </c>
      <c r="V567" s="55">
        <v>1</v>
      </c>
      <c r="W567" s="55">
        <v>105333</v>
      </c>
      <c r="X567" s="46">
        <v>1</v>
      </c>
      <c r="Y567" s="46">
        <v>1</v>
      </c>
      <c r="Z567" s="54">
        <v>0.18194201018687381</v>
      </c>
      <c r="AA567" s="15">
        <f t="shared" si="52"/>
        <v>1.5161834182239485E-2</v>
      </c>
      <c r="AB567" s="15">
        <f t="shared" si="53"/>
        <v>0.18194201018687381</v>
      </c>
      <c r="AC567" t="b">
        <f t="shared" si="54"/>
        <v>1</v>
      </c>
    </row>
    <row r="568" spans="1:29" x14ac:dyDescent="0.25">
      <c r="A568" s="52" t="s">
        <v>259</v>
      </c>
      <c r="B568" s="46">
        <v>30013</v>
      </c>
      <c r="C568" s="47">
        <v>45798</v>
      </c>
      <c r="D568" s="46">
        <v>311500</v>
      </c>
      <c r="E568" s="46">
        <v>2</v>
      </c>
      <c r="F568" s="52" t="s">
        <v>2209</v>
      </c>
      <c r="G568" s="46">
        <v>6</v>
      </c>
      <c r="H568" s="52" t="s">
        <v>1642</v>
      </c>
      <c r="I568" s="46"/>
      <c r="J568" s="46">
        <v>0</v>
      </c>
      <c r="K568" s="46"/>
      <c r="L568" s="52" t="s">
        <v>261</v>
      </c>
      <c r="M568" s="55">
        <v>4985000</v>
      </c>
      <c r="N568" s="46">
        <v>60</v>
      </c>
      <c r="O568" s="46">
        <v>0</v>
      </c>
      <c r="P568" s="46">
        <v>1</v>
      </c>
      <c r="Q568" s="46">
        <v>12</v>
      </c>
      <c r="R568" s="55">
        <v>148179</v>
      </c>
      <c r="S568" s="46">
        <v>1</v>
      </c>
      <c r="T568" s="55">
        <v>196938</v>
      </c>
      <c r="U568" s="55">
        <f t="shared" si="56"/>
        <v>61550</v>
      </c>
      <c r="V568" s="55">
        <v>1</v>
      </c>
      <c r="W568" s="55">
        <v>116686</v>
      </c>
      <c r="X568" s="46">
        <v>1</v>
      </c>
      <c r="Y568" s="46">
        <v>1</v>
      </c>
      <c r="Z568" s="54">
        <v>0.18171048208280563</v>
      </c>
      <c r="AA568" s="15">
        <f t="shared" si="52"/>
        <v>1.5142540173567136E-2</v>
      </c>
      <c r="AB568" s="15">
        <f t="shared" si="53"/>
        <v>0.18171048208280563</v>
      </c>
      <c r="AC568" t="b">
        <f t="shared" si="54"/>
        <v>1</v>
      </c>
    </row>
    <row r="569" spans="1:29" x14ac:dyDescent="0.25">
      <c r="A569" s="52" t="s">
        <v>259</v>
      </c>
      <c r="B569" s="46">
        <v>30013</v>
      </c>
      <c r="C569" s="47">
        <v>45799</v>
      </c>
      <c r="D569" s="46">
        <v>311500</v>
      </c>
      <c r="E569" s="46">
        <v>2</v>
      </c>
      <c r="F569" s="52" t="s">
        <v>2210</v>
      </c>
      <c r="G569" s="46">
        <v>6</v>
      </c>
      <c r="H569" s="52" t="s">
        <v>784</v>
      </c>
      <c r="I569" s="46"/>
      <c r="J569" s="46">
        <v>0</v>
      </c>
      <c r="K569" s="46"/>
      <c r="L569" s="52" t="s">
        <v>261</v>
      </c>
      <c r="M569" s="55">
        <v>5500000</v>
      </c>
      <c r="N569" s="46">
        <v>72</v>
      </c>
      <c r="O569" s="46">
        <v>0</v>
      </c>
      <c r="P569" s="46">
        <v>1</v>
      </c>
      <c r="Q569" s="46">
        <v>12</v>
      </c>
      <c r="R569" s="55">
        <v>98093</v>
      </c>
      <c r="S569" s="46">
        <v>1</v>
      </c>
      <c r="T569" s="55">
        <v>257500</v>
      </c>
      <c r="U569" s="55">
        <f t="shared" si="56"/>
        <v>66700</v>
      </c>
      <c r="V569" s="55">
        <v>1</v>
      </c>
      <c r="W569" s="55">
        <v>114122</v>
      </c>
      <c r="X569" s="46">
        <v>1</v>
      </c>
      <c r="Y569" s="46">
        <v>1</v>
      </c>
      <c r="Z569" s="54">
        <v>0.1740925052144702</v>
      </c>
      <c r="AA569" s="15">
        <f t="shared" si="52"/>
        <v>1.4507708767872517E-2</v>
      </c>
      <c r="AB569" s="15">
        <f t="shared" si="53"/>
        <v>0.1740925052144702</v>
      </c>
      <c r="AC569" t="b">
        <f t="shared" si="54"/>
        <v>1</v>
      </c>
    </row>
    <row r="570" spans="1:29" x14ac:dyDescent="0.25">
      <c r="A570" s="52" t="s">
        <v>259</v>
      </c>
      <c r="B570" s="46">
        <v>30013</v>
      </c>
      <c r="C570" s="47">
        <v>45799</v>
      </c>
      <c r="D570" s="46">
        <v>311500</v>
      </c>
      <c r="E570" s="46">
        <v>2</v>
      </c>
      <c r="F570" s="52" t="s">
        <v>2211</v>
      </c>
      <c r="G570" s="46">
        <v>6</v>
      </c>
      <c r="H570" s="52" t="s">
        <v>784</v>
      </c>
      <c r="I570" s="46"/>
      <c r="J570" s="46">
        <v>0</v>
      </c>
      <c r="K570" s="46"/>
      <c r="L570" s="52" t="s">
        <v>261</v>
      </c>
      <c r="M570" s="55">
        <v>6400000</v>
      </c>
      <c r="N570" s="46">
        <v>72</v>
      </c>
      <c r="O570" s="46">
        <v>0</v>
      </c>
      <c r="P570" s="46">
        <v>1</v>
      </c>
      <c r="Q570" s="46">
        <v>12</v>
      </c>
      <c r="R570" s="55">
        <v>114144</v>
      </c>
      <c r="S570" s="46">
        <v>1</v>
      </c>
      <c r="T570" s="55">
        <v>298000</v>
      </c>
      <c r="U570" s="55">
        <f t="shared" si="56"/>
        <v>75700</v>
      </c>
      <c r="V570" s="55">
        <v>1</v>
      </c>
      <c r="W570" s="55">
        <v>132797</v>
      </c>
      <c r="X570" s="46">
        <v>1</v>
      </c>
      <c r="Y570" s="46">
        <v>1</v>
      </c>
      <c r="Z570" s="54">
        <v>0.17385328770016703</v>
      </c>
      <c r="AA570" s="15">
        <f t="shared" si="52"/>
        <v>1.4487773975013919E-2</v>
      </c>
      <c r="AB570" s="15">
        <f t="shared" si="53"/>
        <v>0.17385328770016703</v>
      </c>
      <c r="AC570" t="b">
        <f t="shared" si="54"/>
        <v>1</v>
      </c>
    </row>
    <row r="571" spans="1:29" x14ac:dyDescent="0.25">
      <c r="A571" s="52" t="s">
        <v>259</v>
      </c>
      <c r="B571" s="46">
        <v>30013</v>
      </c>
      <c r="C571" s="47">
        <v>45799</v>
      </c>
      <c r="D571" s="46">
        <v>311500</v>
      </c>
      <c r="E571" s="46">
        <v>2</v>
      </c>
      <c r="F571" s="52" t="s">
        <v>2212</v>
      </c>
      <c r="G571" s="46">
        <v>6</v>
      </c>
      <c r="H571" s="52" t="s">
        <v>784</v>
      </c>
      <c r="I571" s="46"/>
      <c r="J571" s="46">
        <v>0</v>
      </c>
      <c r="K571" s="46"/>
      <c r="L571" s="52" t="s">
        <v>261</v>
      </c>
      <c r="M571" s="55">
        <v>3900000</v>
      </c>
      <c r="N571" s="46">
        <v>60</v>
      </c>
      <c r="O571" s="46">
        <v>0</v>
      </c>
      <c r="P571" s="46">
        <v>1</v>
      </c>
      <c r="Q571" s="46">
        <v>12</v>
      </c>
      <c r="R571" s="55">
        <v>115928</v>
      </c>
      <c r="S571" s="46">
        <v>1</v>
      </c>
      <c r="T571" s="55">
        <v>156250</v>
      </c>
      <c r="U571" s="55">
        <f t="shared" si="56"/>
        <v>50700</v>
      </c>
      <c r="V571" s="55">
        <v>1</v>
      </c>
      <c r="W571" s="55">
        <v>91289</v>
      </c>
      <c r="X571" s="46">
        <v>1</v>
      </c>
      <c r="Y571" s="46">
        <v>1</v>
      </c>
      <c r="Z571" s="54">
        <v>0.18232793868594643</v>
      </c>
      <c r="AA571" s="15">
        <f t="shared" si="52"/>
        <v>1.5193994890495536E-2</v>
      </c>
      <c r="AB571" s="15">
        <f t="shared" si="53"/>
        <v>0.18232793868594643</v>
      </c>
      <c r="AC571" t="b">
        <f t="shared" si="54"/>
        <v>1</v>
      </c>
    </row>
    <row r="572" spans="1:29" x14ac:dyDescent="0.25">
      <c r="A572" s="52" t="s">
        <v>259</v>
      </c>
      <c r="B572" s="46">
        <v>30013</v>
      </c>
      <c r="C572" s="47">
        <v>45799</v>
      </c>
      <c r="D572" s="46">
        <v>311730</v>
      </c>
      <c r="E572" s="46">
        <v>2</v>
      </c>
      <c r="F572" s="52" t="s">
        <v>2213</v>
      </c>
      <c r="G572" s="46">
        <v>6</v>
      </c>
      <c r="H572" s="52" t="s">
        <v>784</v>
      </c>
      <c r="I572" s="46"/>
      <c r="J572" s="46">
        <v>0</v>
      </c>
      <c r="K572" s="46"/>
      <c r="L572" s="52" t="s">
        <v>691</v>
      </c>
      <c r="M572" s="55">
        <v>3900000</v>
      </c>
      <c r="N572" s="46">
        <v>50</v>
      </c>
      <c r="O572" s="46">
        <v>0</v>
      </c>
      <c r="P572" s="46">
        <v>1</v>
      </c>
      <c r="Q572" s="46">
        <v>11</v>
      </c>
      <c r="R572" s="55">
        <v>115928</v>
      </c>
      <c r="S572" s="46">
        <v>1</v>
      </c>
      <c r="T572" s="55">
        <v>52357</v>
      </c>
      <c r="U572" s="55">
        <f t="shared" si="56"/>
        <v>50700</v>
      </c>
      <c r="V572" s="55">
        <v>1</v>
      </c>
      <c r="W572" s="55">
        <v>101588</v>
      </c>
      <c r="X572" s="46">
        <v>1</v>
      </c>
      <c r="Y572" s="46">
        <v>1</v>
      </c>
      <c r="Z572" s="54">
        <v>0.16131078888388206</v>
      </c>
      <c r="AA572" s="15">
        <f t="shared" si="52"/>
        <v>1.3442565740323504E-2</v>
      </c>
      <c r="AB572" s="15">
        <f t="shared" si="53"/>
        <v>0.16131078888388206</v>
      </c>
      <c r="AC572" t="b">
        <f t="shared" si="54"/>
        <v>1</v>
      </c>
    </row>
    <row r="573" spans="1:29" x14ac:dyDescent="0.25">
      <c r="A573" s="52" t="s">
        <v>259</v>
      </c>
      <c r="B573" s="46">
        <v>30013</v>
      </c>
      <c r="C573" s="47">
        <v>45799</v>
      </c>
      <c r="D573" s="46">
        <v>311500</v>
      </c>
      <c r="E573" s="46">
        <v>2</v>
      </c>
      <c r="F573" s="52" t="s">
        <v>2214</v>
      </c>
      <c r="G573" s="46">
        <v>6</v>
      </c>
      <c r="H573" s="52" t="s">
        <v>784</v>
      </c>
      <c r="I573" s="46"/>
      <c r="J573" s="46">
        <v>0</v>
      </c>
      <c r="K573" s="46"/>
      <c r="L573" s="52" t="s">
        <v>261</v>
      </c>
      <c r="M573" s="55">
        <v>4400000</v>
      </c>
      <c r="N573" s="46">
        <v>60</v>
      </c>
      <c r="O573" s="46">
        <v>0</v>
      </c>
      <c r="P573" s="46">
        <v>1</v>
      </c>
      <c r="Q573" s="46">
        <v>12</v>
      </c>
      <c r="R573" s="55">
        <v>130790</v>
      </c>
      <c r="S573" s="46">
        <v>1</v>
      </c>
      <c r="T573" s="55">
        <v>175000</v>
      </c>
      <c r="U573" s="55">
        <f t="shared" si="56"/>
        <v>55700</v>
      </c>
      <c r="V573" s="55">
        <v>1</v>
      </c>
      <c r="W573" s="55">
        <v>102993</v>
      </c>
      <c r="X573" s="46">
        <v>1</v>
      </c>
      <c r="Y573" s="46">
        <v>1</v>
      </c>
      <c r="Z573" s="54">
        <v>0.18200678844757795</v>
      </c>
      <c r="AA573" s="15">
        <f t="shared" si="52"/>
        <v>1.5167232370631497E-2</v>
      </c>
      <c r="AB573" s="15">
        <f t="shared" si="53"/>
        <v>0.18200678844757795</v>
      </c>
      <c r="AC573" t="b">
        <f t="shared" si="54"/>
        <v>1</v>
      </c>
    </row>
    <row r="574" spans="1:29" x14ac:dyDescent="0.25">
      <c r="A574" s="52" t="s">
        <v>259</v>
      </c>
      <c r="B574" s="46">
        <v>30013</v>
      </c>
      <c r="C574" s="47">
        <v>45799</v>
      </c>
      <c r="D574" s="46">
        <v>311500</v>
      </c>
      <c r="E574" s="46">
        <v>2</v>
      </c>
      <c r="F574" s="52" t="s">
        <v>2215</v>
      </c>
      <c r="G574" s="46">
        <v>6</v>
      </c>
      <c r="H574" s="52" t="s">
        <v>1642</v>
      </c>
      <c r="I574" s="46"/>
      <c r="J574" s="46">
        <v>0</v>
      </c>
      <c r="K574" s="46"/>
      <c r="L574" s="52" t="s">
        <v>690</v>
      </c>
      <c r="M574" s="55">
        <v>5000000</v>
      </c>
      <c r="N574" s="46">
        <v>60</v>
      </c>
      <c r="O574" s="46">
        <v>0</v>
      </c>
      <c r="P574" s="46">
        <v>1</v>
      </c>
      <c r="Q574" s="46">
        <v>10</v>
      </c>
      <c r="R574" s="55">
        <v>148625</v>
      </c>
      <c r="S574" s="46">
        <v>1</v>
      </c>
      <c r="T574" s="55">
        <v>197500</v>
      </c>
      <c r="U574" s="55">
        <f t="shared" si="56"/>
        <v>61700</v>
      </c>
      <c r="V574" s="55">
        <v>1</v>
      </c>
      <c r="W574" s="55">
        <v>110945</v>
      </c>
      <c r="X574" s="46">
        <v>1</v>
      </c>
      <c r="Y574" s="46">
        <v>1</v>
      </c>
      <c r="Z574" s="54">
        <v>0.1570119096644482</v>
      </c>
      <c r="AA574" s="15">
        <f t="shared" si="52"/>
        <v>1.3084325805370682E-2</v>
      </c>
      <c r="AB574" s="15">
        <f t="shared" si="53"/>
        <v>0.1570119096644482</v>
      </c>
      <c r="AC574" t="b">
        <f t="shared" si="54"/>
        <v>1</v>
      </c>
    </row>
    <row r="575" spans="1:29" x14ac:dyDescent="0.25">
      <c r="A575" s="52" t="s">
        <v>259</v>
      </c>
      <c r="B575" s="46">
        <v>30013</v>
      </c>
      <c r="C575" s="47">
        <v>45799</v>
      </c>
      <c r="D575" s="46">
        <v>311500</v>
      </c>
      <c r="E575" s="46">
        <v>2</v>
      </c>
      <c r="F575" s="52" t="s">
        <v>2216</v>
      </c>
      <c r="G575" s="46">
        <v>6</v>
      </c>
      <c r="H575" s="52" t="s">
        <v>784</v>
      </c>
      <c r="I575" s="46"/>
      <c r="J575" s="46">
        <v>0</v>
      </c>
      <c r="K575" s="46"/>
      <c r="L575" s="52" t="s">
        <v>261</v>
      </c>
      <c r="M575" s="55">
        <v>4150000</v>
      </c>
      <c r="N575" s="46">
        <v>60</v>
      </c>
      <c r="O575" s="46">
        <v>0</v>
      </c>
      <c r="P575" s="46">
        <v>1</v>
      </c>
      <c r="Q575" s="46">
        <v>12</v>
      </c>
      <c r="R575" s="55">
        <v>123359</v>
      </c>
      <c r="S575" s="46">
        <v>1</v>
      </c>
      <c r="T575" s="55">
        <v>165625</v>
      </c>
      <c r="U575" s="55">
        <f t="shared" si="56"/>
        <v>53200</v>
      </c>
      <c r="V575" s="55">
        <v>1</v>
      </c>
      <c r="W575" s="55">
        <v>97141</v>
      </c>
      <c r="X575" s="46">
        <v>1</v>
      </c>
      <c r="Y575" s="46">
        <v>1</v>
      </c>
      <c r="Z575" s="54">
        <v>0.1821576499714643</v>
      </c>
      <c r="AA575" s="15">
        <f t="shared" si="52"/>
        <v>1.5179804164288692E-2</v>
      </c>
      <c r="AB575" s="15">
        <f t="shared" si="53"/>
        <v>0.1821576499714643</v>
      </c>
      <c r="AC575" t="b">
        <f t="shared" si="54"/>
        <v>1</v>
      </c>
    </row>
    <row r="576" spans="1:29" x14ac:dyDescent="0.25">
      <c r="A576" s="52" t="s">
        <v>259</v>
      </c>
      <c r="B576" s="46">
        <v>30013</v>
      </c>
      <c r="C576" s="47">
        <v>45799</v>
      </c>
      <c r="D576" s="46">
        <v>311500</v>
      </c>
      <c r="E576" s="46">
        <v>2</v>
      </c>
      <c r="F576" s="52" t="s">
        <v>2217</v>
      </c>
      <c r="G576" s="46">
        <v>6</v>
      </c>
      <c r="H576" s="52" t="s">
        <v>1642</v>
      </c>
      <c r="I576" s="46"/>
      <c r="J576" s="46">
        <v>0</v>
      </c>
      <c r="K576" s="46"/>
      <c r="L576" s="52" t="s">
        <v>270</v>
      </c>
      <c r="M576" s="55">
        <v>4985000</v>
      </c>
      <c r="N576" s="46">
        <v>60</v>
      </c>
      <c r="O576" s="46">
        <v>0</v>
      </c>
      <c r="P576" s="46">
        <v>1</v>
      </c>
      <c r="Q576" s="46">
        <v>12</v>
      </c>
      <c r="R576" s="55">
        <v>148179</v>
      </c>
      <c r="S576" s="46">
        <v>1</v>
      </c>
      <c r="T576" s="55">
        <v>196938</v>
      </c>
      <c r="U576" s="55">
        <f t="shared" si="56"/>
        <v>61550</v>
      </c>
      <c r="V576" s="55">
        <v>1</v>
      </c>
      <c r="W576" s="55">
        <v>116686</v>
      </c>
      <c r="X576" s="46">
        <v>1</v>
      </c>
      <c r="Y576" s="46">
        <v>1</v>
      </c>
      <c r="Z576" s="54">
        <v>0.18171048208280563</v>
      </c>
      <c r="AA576" s="15">
        <f t="shared" si="52"/>
        <v>1.5142540173567136E-2</v>
      </c>
      <c r="AB576" s="15">
        <f t="shared" si="53"/>
        <v>0.18171048208280563</v>
      </c>
      <c r="AC576" t="b">
        <f t="shared" si="54"/>
        <v>1</v>
      </c>
    </row>
    <row r="577" spans="1:29" x14ac:dyDescent="0.25">
      <c r="A577" s="52" t="s">
        <v>259</v>
      </c>
      <c r="B577" s="46">
        <v>30013</v>
      </c>
      <c r="C577" s="47">
        <v>45799</v>
      </c>
      <c r="D577" s="46">
        <v>311500</v>
      </c>
      <c r="E577" s="46">
        <v>2</v>
      </c>
      <c r="F577" s="52" t="s">
        <v>2218</v>
      </c>
      <c r="G577" s="46">
        <v>6</v>
      </c>
      <c r="H577" s="52" t="s">
        <v>784</v>
      </c>
      <c r="I577" s="46"/>
      <c r="J577" s="46">
        <v>0</v>
      </c>
      <c r="K577" s="46"/>
      <c r="L577" s="52" t="s">
        <v>690</v>
      </c>
      <c r="M577" s="55">
        <v>3600000</v>
      </c>
      <c r="N577" s="46">
        <v>60</v>
      </c>
      <c r="O577" s="46">
        <v>0</v>
      </c>
      <c r="P577" s="46">
        <v>1</v>
      </c>
      <c r="Q577" s="46">
        <v>12</v>
      </c>
      <c r="R577" s="55">
        <v>107010</v>
      </c>
      <c r="S577" s="46">
        <v>1</v>
      </c>
      <c r="T577" s="55">
        <v>145000</v>
      </c>
      <c r="U577" s="55">
        <f t="shared" si="56"/>
        <v>47700</v>
      </c>
      <c r="V577" s="55">
        <v>1</v>
      </c>
      <c r="W577" s="55">
        <v>84267</v>
      </c>
      <c r="X577" s="46">
        <v>1</v>
      </c>
      <c r="Y577" s="46">
        <v>1</v>
      </c>
      <c r="Z577" s="54">
        <v>0.18256576313251005</v>
      </c>
      <c r="AA577" s="15">
        <f t="shared" si="52"/>
        <v>1.5213813594375838E-2</v>
      </c>
      <c r="AB577" s="15">
        <f t="shared" si="53"/>
        <v>0.18256576313251005</v>
      </c>
      <c r="AC577" t="b">
        <f t="shared" si="54"/>
        <v>1</v>
      </c>
    </row>
    <row r="578" spans="1:29" x14ac:dyDescent="0.25">
      <c r="A578" s="52" t="s">
        <v>259</v>
      </c>
      <c r="B578" s="46">
        <v>30013</v>
      </c>
      <c r="C578" s="47">
        <v>45799</v>
      </c>
      <c r="D578" s="46">
        <v>311500</v>
      </c>
      <c r="E578" s="46">
        <v>2</v>
      </c>
      <c r="F578" s="52" t="s">
        <v>2219</v>
      </c>
      <c r="G578" s="46">
        <v>6</v>
      </c>
      <c r="H578" s="52" t="s">
        <v>1642</v>
      </c>
      <c r="I578" s="46"/>
      <c r="J578" s="46">
        <v>0</v>
      </c>
      <c r="K578" s="46"/>
      <c r="L578" s="52" t="s">
        <v>685</v>
      </c>
      <c r="M578" s="55">
        <v>4340000</v>
      </c>
      <c r="N578" s="46">
        <v>60</v>
      </c>
      <c r="O578" s="46">
        <v>0</v>
      </c>
      <c r="P578" s="46">
        <v>1</v>
      </c>
      <c r="Q578" s="46">
        <v>8</v>
      </c>
      <c r="R578" s="55">
        <v>129007</v>
      </c>
      <c r="S578" s="46">
        <v>1</v>
      </c>
      <c r="T578" s="55">
        <v>172750</v>
      </c>
      <c r="U578" s="55">
        <f t="shared" si="56"/>
        <v>55100</v>
      </c>
      <c r="V578" s="55">
        <v>1</v>
      </c>
      <c r="W578" s="55">
        <v>91174</v>
      </c>
      <c r="X578" s="46">
        <v>1</v>
      </c>
      <c r="Y578" s="46">
        <v>1</v>
      </c>
      <c r="Z578" s="54">
        <v>0.13266956479093389</v>
      </c>
      <c r="AA578" s="15">
        <f t="shared" si="52"/>
        <v>1.1055797065911158E-2</v>
      </c>
      <c r="AB578" s="15">
        <f t="shared" si="53"/>
        <v>0.13266956479093389</v>
      </c>
      <c r="AC578" t="b">
        <f t="shared" si="54"/>
        <v>1</v>
      </c>
    </row>
    <row r="579" spans="1:29" x14ac:dyDescent="0.25">
      <c r="A579" s="52" t="s">
        <v>259</v>
      </c>
      <c r="B579" s="46">
        <v>30013</v>
      </c>
      <c r="C579" s="47">
        <v>45799</v>
      </c>
      <c r="D579" s="46">
        <v>311500</v>
      </c>
      <c r="E579" s="46">
        <v>2</v>
      </c>
      <c r="F579" s="52" t="s">
        <v>2220</v>
      </c>
      <c r="G579" s="46">
        <v>6</v>
      </c>
      <c r="H579" s="52" t="s">
        <v>784</v>
      </c>
      <c r="I579" s="46"/>
      <c r="J579" s="46">
        <v>0</v>
      </c>
      <c r="K579" s="46"/>
      <c r="L579" s="52" t="s">
        <v>261</v>
      </c>
      <c r="M579" s="55">
        <v>4800000</v>
      </c>
      <c r="N579" s="46">
        <v>72</v>
      </c>
      <c r="O579" s="46">
        <v>0</v>
      </c>
      <c r="P579" s="46">
        <v>1</v>
      </c>
      <c r="Q579" s="46">
        <v>12</v>
      </c>
      <c r="R579" s="55">
        <v>85608</v>
      </c>
      <c r="S579" s="46">
        <v>1</v>
      </c>
      <c r="T579" s="55">
        <v>226000</v>
      </c>
      <c r="U579" s="55">
        <f t="shared" si="56"/>
        <v>59700</v>
      </c>
      <c r="V579" s="55">
        <v>1</v>
      </c>
      <c r="W579" s="55">
        <v>99598</v>
      </c>
      <c r="X579" s="46">
        <v>1</v>
      </c>
      <c r="Y579" s="46">
        <v>1</v>
      </c>
      <c r="Z579" s="54">
        <v>0.17434475069274694</v>
      </c>
      <c r="AA579" s="15">
        <f t="shared" si="52"/>
        <v>1.4528729224395577E-2</v>
      </c>
      <c r="AB579" s="15">
        <f t="shared" si="53"/>
        <v>0.17434475069274694</v>
      </c>
      <c r="AC579" t="b">
        <f t="shared" si="54"/>
        <v>1</v>
      </c>
    </row>
    <row r="580" spans="1:29" x14ac:dyDescent="0.25">
      <c r="A580" s="52" t="s">
        <v>259</v>
      </c>
      <c r="B580" s="46">
        <v>30013</v>
      </c>
      <c r="C580" s="47">
        <v>45799</v>
      </c>
      <c r="D580" s="46">
        <v>311500</v>
      </c>
      <c r="E580" s="46">
        <v>2</v>
      </c>
      <c r="F580" s="52" t="s">
        <v>2221</v>
      </c>
      <c r="G580" s="46">
        <v>6</v>
      </c>
      <c r="H580" s="52" t="s">
        <v>1642</v>
      </c>
      <c r="I580" s="46"/>
      <c r="J580" s="46">
        <v>0</v>
      </c>
      <c r="K580" s="46"/>
      <c r="L580" s="52" t="s">
        <v>270</v>
      </c>
      <c r="M580" s="55">
        <v>5000000</v>
      </c>
      <c r="N580" s="46">
        <v>36</v>
      </c>
      <c r="O580" s="46">
        <v>0</v>
      </c>
      <c r="P580" s="46">
        <v>1</v>
      </c>
      <c r="Q580" s="46">
        <v>12</v>
      </c>
      <c r="R580" s="55">
        <v>148625</v>
      </c>
      <c r="S580" s="46">
        <v>1</v>
      </c>
      <c r="T580" s="55">
        <v>122500</v>
      </c>
      <c r="U580" s="55">
        <f t="shared" si="56"/>
        <v>61700</v>
      </c>
      <c r="V580" s="55">
        <v>1</v>
      </c>
      <c r="W580" s="55">
        <v>171540</v>
      </c>
      <c r="X580" s="46">
        <v>1</v>
      </c>
      <c r="Y580" s="46">
        <v>1</v>
      </c>
      <c r="Z580" s="54">
        <v>0.19194766020328802</v>
      </c>
      <c r="AA580" s="15">
        <f t="shared" ref="AA580:AA643" si="57">RATE(N580,-W580,M580-R580-T580-U580)</f>
        <v>1.5995638350274E-2</v>
      </c>
      <c r="AB580" s="15">
        <f t="shared" ref="AB580:AB643" si="58">IF(P580=1,AA580*12,IF(P580=2,AA580*4,IF(P580=3,AA580*2,AA580)))</f>
        <v>0.19194766020328802</v>
      </c>
      <c r="AC580" t="b">
        <f t="shared" ref="AC580:AC643" si="59">AB580=Z580</f>
        <v>1</v>
      </c>
    </row>
    <row r="581" spans="1:29" x14ac:dyDescent="0.25">
      <c r="A581" s="52" t="s">
        <v>259</v>
      </c>
      <c r="B581" s="46">
        <v>30013</v>
      </c>
      <c r="C581" s="47">
        <v>45799</v>
      </c>
      <c r="D581" s="46">
        <v>311500</v>
      </c>
      <c r="E581" s="46">
        <v>2</v>
      </c>
      <c r="F581" s="52" t="s">
        <v>2222</v>
      </c>
      <c r="G581" s="46">
        <v>6</v>
      </c>
      <c r="H581" s="52" t="s">
        <v>1642</v>
      </c>
      <c r="I581" s="46"/>
      <c r="J581" s="46">
        <v>0</v>
      </c>
      <c r="K581" s="46"/>
      <c r="L581" s="52" t="s">
        <v>261</v>
      </c>
      <c r="M581" s="55">
        <v>10000000</v>
      </c>
      <c r="N581" s="46">
        <v>72</v>
      </c>
      <c r="O581" s="46">
        <v>0</v>
      </c>
      <c r="P581" s="46">
        <v>1</v>
      </c>
      <c r="Q581" s="46">
        <v>10</v>
      </c>
      <c r="R581" s="55">
        <v>178350</v>
      </c>
      <c r="S581" s="46">
        <v>1</v>
      </c>
      <c r="T581" s="55">
        <v>465000</v>
      </c>
      <c r="U581" s="55">
        <f t="shared" si="56"/>
        <v>111700</v>
      </c>
      <c r="V581" s="55">
        <v>1</v>
      </c>
      <c r="W581" s="55">
        <v>194930</v>
      </c>
      <c r="X581" s="46">
        <v>1</v>
      </c>
      <c r="Y581" s="46">
        <v>1</v>
      </c>
      <c r="Z581" s="54">
        <v>0.14889452117160559</v>
      </c>
      <c r="AA581" s="15">
        <f t="shared" si="57"/>
        <v>1.2407876764300467E-2</v>
      </c>
      <c r="AB581" s="15">
        <f t="shared" si="58"/>
        <v>0.14889452117160559</v>
      </c>
      <c r="AC581" t="b">
        <f t="shared" si="59"/>
        <v>1</v>
      </c>
    </row>
    <row r="582" spans="1:29" x14ac:dyDescent="0.25">
      <c r="A582" s="52" t="s">
        <v>259</v>
      </c>
      <c r="B582" s="46">
        <v>30013</v>
      </c>
      <c r="C582" s="47">
        <v>45799</v>
      </c>
      <c r="D582" s="46">
        <v>311500</v>
      </c>
      <c r="E582" s="46">
        <v>2</v>
      </c>
      <c r="F582" s="52" t="s">
        <v>2223</v>
      </c>
      <c r="G582" s="46">
        <v>6</v>
      </c>
      <c r="H582" s="52" t="s">
        <v>1642</v>
      </c>
      <c r="I582" s="46"/>
      <c r="J582" s="46">
        <v>0</v>
      </c>
      <c r="K582" s="46"/>
      <c r="L582" s="52" t="s">
        <v>702</v>
      </c>
      <c r="M582" s="55">
        <v>7000000</v>
      </c>
      <c r="N582" s="46">
        <v>60</v>
      </c>
      <c r="O582" s="46">
        <v>0</v>
      </c>
      <c r="P582" s="46">
        <v>1</v>
      </c>
      <c r="Q582" s="46">
        <v>12</v>
      </c>
      <c r="R582" s="55">
        <v>208075</v>
      </c>
      <c r="S582" s="46">
        <v>1</v>
      </c>
      <c r="T582" s="55">
        <v>272500</v>
      </c>
      <c r="U582" s="55">
        <f t="shared" si="56"/>
        <v>81700</v>
      </c>
      <c r="V582" s="55">
        <v>1</v>
      </c>
      <c r="W582" s="55">
        <v>163852</v>
      </c>
      <c r="X582" s="46">
        <v>1</v>
      </c>
      <c r="Y582" s="46">
        <v>1</v>
      </c>
      <c r="Z582" s="54">
        <v>0.18107325289000645</v>
      </c>
      <c r="AA582" s="15">
        <f t="shared" si="57"/>
        <v>1.5089437740833871E-2</v>
      </c>
      <c r="AB582" s="15">
        <f t="shared" si="58"/>
        <v>0.18107325289000645</v>
      </c>
      <c r="AC582" t="b">
        <f t="shared" si="59"/>
        <v>1</v>
      </c>
    </row>
    <row r="583" spans="1:29" x14ac:dyDescent="0.25">
      <c r="A583" s="52" t="s">
        <v>259</v>
      </c>
      <c r="B583" s="46">
        <v>30013</v>
      </c>
      <c r="C583" s="47">
        <v>45799</v>
      </c>
      <c r="D583" s="46">
        <v>321500</v>
      </c>
      <c r="E583" s="46">
        <v>2</v>
      </c>
      <c r="F583" s="52" t="s">
        <v>2224</v>
      </c>
      <c r="G583" s="46">
        <v>6</v>
      </c>
      <c r="H583" s="52" t="s">
        <v>784</v>
      </c>
      <c r="I583" s="46"/>
      <c r="J583" s="46">
        <v>0</v>
      </c>
      <c r="K583" s="46"/>
      <c r="L583" s="52" t="s">
        <v>261</v>
      </c>
      <c r="M583" s="55">
        <v>820000</v>
      </c>
      <c r="N583" s="46">
        <v>12</v>
      </c>
      <c r="O583" s="46">
        <v>0</v>
      </c>
      <c r="P583" s="46">
        <v>1</v>
      </c>
      <c r="Q583" s="46">
        <v>10</v>
      </c>
      <c r="R583" s="55">
        <v>9750</v>
      </c>
      <c r="S583" s="46">
        <v>1</v>
      </c>
      <c r="T583" s="55">
        <v>0</v>
      </c>
      <c r="U583" s="55">
        <v>21700</v>
      </c>
      <c r="V583" s="55">
        <v>1</v>
      </c>
      <c r="W583" s="55">
        <v>72814</v>
      </c>
      <c r="X583" s="46">
        <v>1</v>
      </c>
      <c r="Y583" s="46">
        <v>1</v>
      </c>
      <c r="Z583" s="54">
        <v>0.19382241022967486</v>
      </c>
      <c r="AA583" s="15">
        <f t="shared" si="57"/>
        <v>1.6151867519139572E-2</v>
      </c>
      <c r="AB583" s="15">
        <f t="shared" si="58"/>
        <v>0.19382241022967486</v>
      </c>
      <c r="AC583" t="b">
        <f t="shared" si="59"/>
        <v>1</v>
      </c>
    </row>
    <row r="584" spans="1:29" x14ac:dyDescent="0.25">
      <c r="A584" s="52" t="s">
        <v>259</v>
      </c>
      <c r="B584" s="46">
        <v>30013</v>
      </c>
      <c r="C584" s="47">
        <v>45799</v>
      </c>
      <c r="D584" s="46">
        <v>311500</v>
      </c>
      <c r="E584" s="46">
        <v>2</v>
      </c>
      <c r="F584" s="52" t="s">
        <v>2225</v>
      </c>
      <c r="G584" s="46">
        <v>6</v>
      </c>
      <c r="H584" s="52" t="s">
        <v>2017</v>
      </c>
      <c r="I584" s="46"/>
      <c r="J584" s="46">
        <v>0</v>
      </c>
      <c r="K584" s="46"/>
      <c r="L584" s="52" t="s">
        <v>693</v>
      </c>
      <c r="M584" s="55">
        <v>1390000</v>
      </c>
      <c r="N584" s="46">
        <v>48</v>
      </c>
      <c r="O584" s="46">
        <v>0</v>
      </c>
      <c r="P584" s="46">
        <v>1</v>
      </c>
      <c r="Q584" s="46">
        <v>12</v>
      </c>
      <c r="R584" s="55">
        <v>41318</v>
      </c>
      <c r="S584" s="46">
        <v>1</v>
      </c>
      <c r="T584" s="55">
        <v>51700</v>
      </c>
      <c r="U584" s="55">
        <f t="shared" ref="U584:U589" si="60">M584/100+11700</f>
        <v>25600</v>
      </c>
      <c r="V584" s="55">
        <v>1</v>
      </c>
      <c r="W584" s="55">
        <v>38171</v>
      </c>
      <c r="X584" s="46">
        <v>1</v>
      </c>
      <c r="Y584" s="46">
        <v>1</v>
      </c>
      <c r="Z584" s="54">
        <v>0.1923304938016735</v>
      </c>
      <c r="AA584" s="15">
        <f t="shared" si="57"/>
        <v>1.6027541150139459E-2</v>
      </c>
      <c r="AB584" s="15">
        <f t="shared" si="58"/>
        <v>0.1923304938016735</v>
      </c>
      <c r="AC584" t="b">
        <f t="shared" si="59"/>
        <v>1</v>
      </c>
    </row>
    <row r="585" spans="1:29" x14ac:dyDescent="0.25">
      <c r="A585" s="52" t="s">
        <v>259</v>
      </c>
      <c r="B585" s="46">
        <v>30013</v>
      </c>
      <c r="C585" s="47">
        <v>45799</v>
      </c>
      <c r="D585" s="46">
        <v>311500</v>
      </c>
      <c r="E585" s="46">
        <v>2</v>
      </c>
      <c r="F585" s="52" t="s">
        <v>2226</v>
      </c>
      <c r="G585" s="46">
        <v>6</v>
      </c>
      <c r="H585" s="52" t="s">
        <v>1642</v>
      </c>
      <c r="I585" s="46"/>
      <c r="J585" s="46">
        <v>0</v>
      </c>
      <c r="K585" s="46"/>
      <c r="L585" s="52" t="s">
        <v>231</v>
      </c>
      <c r="M585" s="55">
        <v>9690000</v>
      </c>
      <c r="N585" s="46">
        <v>60</v>
      </c>
      <c r="O585" s="46">
        <v>0</v>
      </c>
      <c r="P585" s="46">
        <v>1</v>
      </c>
      <c r="Q585" s="46">
        <v>8</v>
      </c>
      <c r="R585" s="55">
        <v>288035</v>
      </c>
      <c r="S585" s="46">
        <v>1</v>
      </c>
      <c r="T585" s="55">
        <v>378375</v>
      </c>
      <c r="U585" s="55">
        <f t="shared" si="60"/>
        <v>108600</v>
      </c>
      <c r="V585" s="55">
        <v>1</v>
      </c>
      <c r="W585" s="55">
        <v>203565</v>
      </c>
      <c r="X585" s="46">
        <v>1</v>
      </c>
      <c r="Y585" s="46">
        <v>1</v>
      </c>
      <c r="Z585" s="54">
        <v>0.13157954603707034</v>
      </c>
      <c r="AA585" s="15">
        <f t="shared" si="57"/>
        <v>1.0964962169755862E-2</v>
      </c>
      <c r="AB585" s="15">
        <f t="shared" si="58"/>
        <v>0.13157954603707034</v>
      </c>
      <c r="AC585" t="b">
        <f t="shared" si="59"/>
        <v>1</v>
      </c>
    </row>
    <row r="586" spans="1:29" x14ac:dyDescent="0.25">
      <c r="A586" s="52" t="s">
        <v>259</v>
      </c>
      <c r="B586" s="46">
        <v>30013</v>
      </c>
      <c r="C586" s="47">
        <v>45799</v>
      </c>
      <c r="D586" s="46">
        <v>311500</v>
      </c>
      <c r="E586" s="46">
        <v>2</v>
      </c>
      <c r="F586" s="52" t="s">
        <v>2227</v>
      </c>
      <c r="G586" s="46">
        <v>6</v>
      </c>
      <c r="H586" s="52" t="s">
        <v>784</v>
      </c>
      <c r="I586" s="46"/>
      <c r="J586" s="46">
        <v>0</v>
      </c>
      <c r="K586" s="46"/>
      <c r="L586" s="52" t="s">
        <v>261</v>
      </c>
      <c r="M586" s="55">
        <v>11900000</v>
      </c>
      <c r="N586" s="46">
        <v>48</v>
      </c>
      <c r="O586" s="46">
        <v>0</v>
      </c>
      <c r="P586" s="46">
        <v>1</v>
      </c>
      <c r="Q586" s="46">
        <v>12</v>
      </c>
      <c r="R586" s="55">
        <v>353728</v>
      </c>
      <c r="S586" s="46">
        <v>1</v>
      </c>
      <c r="T586" s="55">
        <v>372000</v>
      </c>
      <c r="U586" s="55">
        <f t="shared" si="60"/>
        <v>130700</v>
      </c>
      <c r="V586" s="55">
        <v>1</v>
      </c>
      <c r="W586" s="55">
        <v>326787</v>
      </c>
      <c r="X586" s="46">
        <v>1</v>
      </c>
      <c r="Y586" s="46">
        <v>1</v>
      </c>
      <c r="Z586" s="54">
        <v>0.18411947282767449</v>
      </c>
      <c r="AA586" s="15">
        <f t="shared" si="57"/>
        <v>1.5343289402306207E-2</v>
      </c>
      <c r="AB586" s="15">
        <f t="shared" si="58"/>
        <v>0.18411947282767449</v>
      </c>
      <c r="AC586" t="b">
        <f t="shared" si="59"/>
        <v>1</v>
      </c>
    </row>
    <row r="587" spans="1:29" x14ac:dyDescent="0.25">
      <c r="A587" s="52" t="s">
        <v>259</v>
      </c>
      <c r="B587" s="46">
        <v>30013</v>
      </c>
      <c r="C587" s="47">
        <v>45799</v>
      </c>
      <c r="D587" s="46">
        <v>311500</v>
      </c>
      <c r="E587" s="46">
        <v>2</v>
      </c>
      <c r="F587" s="52" t="s">
        <v>2228</v>
      </c>
      <c r="G587" s="46">
        <v>6</v>
      </c>
      <c r="H587" s="52" t="s">
        <v>1642</v>
      </c>
      <c r="I587" s="46"/>
      <c r="J587" s="46">
        <v>0</v>
      </c>
      <c r="K587" s="46"/>
      <c r="L587" s="52" t="s">
        <v>261</v>
      </c>
      <c r="M587" s="55">
        <v>4990000</v>
      </c>
      <c r="N587" s="46">
        <v>60</v>
      </c>
      <c r="O587" s="46">
        <v>0</v>
      </c>
      <c r="P587" s="46">
        <v>1</v>
      </c>
      <c r="Q587" s="46">
        <v>12</v>
      </c>
      <c r="R587" s="55">
        <v>148328</v>
      </c>
      <c r="S587" s="46">
        <v>1</v>
      </c>
      <c r="T587" s="55">
        <v>197125</v>
      </c>
      <c r="U587" s="55">
        <f t="shared" si="60"/>
        <v>61600</v>
      </c>
      <c r="V587" s="55">
        <v>1</v>
      </c>
      <c r="W587" s="55">
        <v>116803</v>
      </c>
      <c r="X587" s="46">
        <v>1</v>
      </c>
      <c r="Y587" s="46">
        <v>1</v>
      </c>
      <c r="Z587" s="54">
        <v>0.18170810008169785</v>
      </c>
      <c r="AA587" s="15">
        <f t="shared" si="57"/>
        <v>1.5142341673474821E-2</v>
      </c>
      <c r="AB587" s="15">
        <f t="shared" si="58"/>
        <v>0.18170810008169785</v>
      </c>
      <c r="AC587" t="b">
        <f t="shared" si="59"/>
        <v>1</v>
      </c>
    </row>
    <row r="588" spans="1:29" x14ac:dyDescent="0.25">
      <c r="A588" s="52" t="s">
        <v>259</v>
      </c>
      <c r="B588" s="46">
        <v>30013</v>
      </c>
      <c r="C588" s="47">
        <v>45799</v>
      </c>
      <c r="D588" s="46">
        <v>311500</v>
      </c>
      <c r="E588" s="46">
        <v>2</v>
      </c>
      <c r="F588" s="52" t="s">
        <v>2229</v>
      </c>
      <c r="G588" s="46">
        <v>6</v>
      </c>
      <c r="H588" s="52" t="s">
        <v>1642</v>
      </c>
      <c r="I588" s="46"/>
      <c r="J588" s="46">
        <v>0</v>
      </c>
      <c r="K588" s="46"/>
      <c r="L588" s="52" t="s">
        <v>270</v>
      </c>
      <c r="M588" s="55">
        <v>10000000</v>
      </c>
      <c r="N588" s="46">
        <v>60</v>
      </c>
      <c r="O588" s="46">
        <v>0</v>
      </c>
      <c r="P588" s="46">
        <v>1</v>
      </c>
      <c r="Q588" s="46">
        <v>9</v>
      </c>
      <c r="R588" s="55">
        <v>297250</v>
      </c>
      <c r="S588" s="46">
        <v>1</v>
      </c>
      <c r="T588" s="55">
        <v>390000</v>
      </c>
      <c r="U588" s="55">
        <f t="shared" si="60"/>
        <v>111700</v>
      </c>
      <c r="V588" s="55">
        <v>1</v>
      </c>
      <c r="W588" s="55">
        <v>215936</v>
      </c>
      <c r="X588" s="46">
        <v>1</v>
      </c>
      <c r="Y588" s="46">
        <v>1</v>
      </c>
      <c r="Z588" s="54">
        <v>0.14385566902641317</v>
      </c>
      <c r="AA588" s="15">
        <f t="shared" si="57"/>
        <v>1.1987972418867763E-2</v>
      </c>
      <c r="AB588" s="15">
        <f t="shared" si="58"/>
        <v>0.14385566902641317</v>
      </c>
      <c r="AC588" t="b">
        <f t="shared" si="59"/>
        <v>1</v>
      </c>
    </row>
    <row r="589" spans="1:29" x14ac:dyDescent="0.25">
      <c r="A589" s="52" t="s">
        <v>259</v>
      </c>
      <c r="B589" s="46">
        <v>30013</v>
      </c>
      <c r="C589" s="47">
        <v>45799</v>
      </c>
      <c r="D589" s="46">
        <v>311500</v>
      </c>
      <c r="E589" s="46">
        <v>2</v>
      </c>
      <c r="F589" s="52" t="s">
        <v>2230</v>
      </c>
      <c r="G589" s="46">
        <v>6</v>
      </c>
      <c r="H589" s="52" t="s">
        <v>1642</v>
      </c>
      <c r="I589" s="46"/>
      <c r="J589" s="46">
        <v>0</v>
      </c>
      <c r="K589" s="46"/>
      <c r="L589" s="52" t="s">
        <v>261</v>
      </c>
      <c r="M589" s="55">
        <v>3020000</v>
      </c>
      <c r="N589" s="46">
        <v>60</v>
      </c>
      <c r="O589" s="46">
        <v>0</v>
      </c>
      <c r="P589" s="46">
        <v>1</v>
      </c>
      <c r="Q589" s="46">
        <v>12</v>
      </c>
      <c r="R589" s="55">
        <v>89770</v>
      </c>
      <c r="S589" s="46">
        <v>1</v>
      </c>
      <c r="T589" s="55">
        <v>123250</v>
      </c>
      <c r="U589" s="55">
        <f t="shared" si="60"/>
        <v>41900</v>
      </c>
      <c r="V589" s="55">
        <v>1</v>
      </c>
      <c r="W589" s="55">
        <v>70690</v>
      </c>
      <c r="X589" s="46">
        <v>1</v>
      </c>
      <c r="Y589" s="46">
        <v>1</v>
      </c>
      <c r="Z589" s="54">
        <v>0.18315304537040436</v>
      </c>
      <c r="AA589" s="15">
        <f t="shared" si="57"/>
        <v>1.5262753780867029E-2</v>
      </c>
      <c r="AB589" s="15">
        <f t="shared" si="58"/>
        <v>0.18315304537040436</v>
      </c>
      <c r="AC589" t="b">
        <f t="shared" si="59"/>
        <v>1</v>
      </c>
    </row>
    <row r="590" spans="1:29" x14ac:dyDescent="0.25">
      <c r="A590" s="52" t="s">
        <v>259</v>
      </c>
      <c r="B590" s="46">
        <v>30013</v>
      </c>
      <c r="C590" s="47">
        <v>45800</v>
      </c>
      <c r="D590" s="46">
        <v>321600</v>
      </c>
      <c r="E590" s="46">
        <v>2</v>
      </c>
      <c r="F590" s="52" t="s">
        <v>2231</v>
      </c>
      <c r="G590" s="46">
        <v>6</v>
      </c>
      <c r="H590" s="52" t="s">
        <v>784</v>
      </c>
      <c r="I590" s="46"/>
      <c r="J590" s="46">
        <v>0</v>
      </c>
      <c r="K590" s="46"/>
      <c r="L590" s="52" t="s">
        <v>261</v>
      </c>
      <c r="M590" s="55">
        <v>430000</v>
      </c>
      <c r="N590" s="46">
        <v>12</v>
      </c>
      <c r="O590" s="46">
        <v>0</v>
      </c>
      <c r="P590" s="46">
        <v>1</v>
      </c>
      <c r="Q590" s="46">
        <v>10</v>
      </c>
      <c r="R590" s="55">
        <v>1023</v>
      </c>
      <c r="S590" s="46">
        <v>1</v>
      </c>
      <c r="T590" s="55">
        <v>0</v>
      </c>
      <c r="U590" s="55">
        <v>21700</v>
      </c>
      <c r="V590" s="55">
        <v>1</v>
      </c>
      <c r="W590" s="55">
        <v>38183</v>
      </c>
      <c r="X590" s="46">
        <v>1</v>
      </c>
      <c r="Y590" s="46">
        <v>1</v>
      </c>
      <c r="Z590" s="54">
        <v>0.22327187936521464</v>
      </c>
      <c r="AA590" s="15">
        <f t="shared" si="57"/>
        <v>1.860598994710122E-2</v>
      </c>
      <c r="AB590" s="15">
        <f t="shared" si="58"/>
        <v>0.22327187936521464</v>
      </c>
      <c r="AC590" t="b">
        <f t="shared" si="59"/>
        <v>1</v>
      </c>
    </row>
    <row r="591" spans="1:29" x14ac:dyDescent="0.25">
      <c r="A591" s="52" t="s">
        <v>259</v>
      </c>
      <c r="B591" s="46">
        <v>30013</v>
      </c>
      <c r="C591" s="47">
        <v>45800</v>
      </c>
      <c r="D591" s="46">
        <v>301200</v>
      </c>
      <c r="E591" s="46">
        <v>3</v>
      </c>
      <c r="F591" s="52" t="s">
        <v>2232</v>
      </c>
      <c r="G591" s="46">
        <v>6</v>
      </c>
      <c r="H591" s="52" t="s">
        <v>784</v>
      </c>
      <c r="I591" s="46"/>
      <c r="J591" s="46">
        <v>0</v>
      </c>
      <c r="K591" s="46"/>
      <c r="L591" s="52" t="s">
        <v>266</v>
      </c>
      <c r="M591" s="55">
        <v>44000000</v>
      </c>
      <c r="N591" s="46">
        <v>180</v>
      </c>
      <c r="O591" s="46">
        <v>0</v>
      </c>
      <c r="P591" s="46">
        <v>1</v>
      </c>
      <c r="Q591" s="46">
        <v>8</v>
      </c>
      <c r="R591" s="55">
        <v>627792</v>
      </c>
      <c r="S591" s="46">
        <v>1</v>
      </c>
      <c r="T591" s="55">
        <v>5000000</v>
      </c>
      <c r="U591" s="55">
        <v>2777000</v>
      </c>
      <c r="V591" s="55">
        <v>1</v>
      </c>
      <c r="W591" s="55">
        <v>459778</v>
      </c>
      <c r="X591" s="46">
        <v>2</v>
      </c>
      <c r="Y591" s="46">
        <v>1</v>
      </c>
      <c r="Z591" s="54">
        <v>0.1340014873254618</v>
      </c>
      <c r="AA591" s="15">
        <f t="shared" si="57"/>
        <v>1.1166790610455151E-2</v>
      </c>
      <c r="AB591" s="15">
        <f t="shared" si="58"/>
        <v>0.1340014873254618</v>
      </c>
      <c r="AC591" t="b">
        <f t="shared" si="59"/>
        <v>1</v>
      </c>
    </row>
    <row r="592" spans="1:29" x14ac:dyDescent="0.25">
      <c r="A592" s="52" t="s">
        <v>259</v>
      </c>
      <c r="B592" s="46">
        <v>30013</v>
      </c>
      <c r="C592" s="47">
        <v>45800</v>
      </c>
      <c r="D592" s="46">
        <v>311500</v>
      </c>
      <c r="E592" s="46">
        <v>2</v>
      </c>
      <c r="F592" s="52" t="s">
        <v>2233</v>
      </c>
      <c r="G592" s="46">
        <v>6</v>
      </c>
      <c r="H592" s="52" t="s">
        <v>784</v>
      </c>
      <c r="I592" s="46"/>
      <c r="J592" s="46">
        <v>0</v>
      </c>
      <c r="K592" s="46"/>
      <c r="L592" s="52" t="s">
        <v>726</v>
      </c>
      <c r="M592" s="55">
        <v>11000000</v>
      </c>
      <c r="N592" s="46">
        <v>60</v>
      </c>
      <c r="O592" s="46">
        <v>0</v>
      </c>
      <c r="P592" s="46">
        <v>1</v>
      </c>
      <c r="Q592" s="46">
        <v>8</v>
      </c>
      <c r="R592" s="55">
        <v>326975</v>
      </c>
      <c r="S592" s="46">
        <v>1</v>
      </c>
      <c r="T592" s="55">
        <v>427500</v>
      </c>
      <c r="U592" s="55">
        <f>M592/100+11700</f>
        <v>121700</v>
      </c>
      <c r="V592" s="55">
        <v>1</v>
      </c>
      <c r="W592" s="55">
        <v>231085</v>
      </c>
      <c r="X592" s="46">
        <v>1</v>
      </c>
      <c r="Y592" s="46">
        <v>1</v>
      </c>
      <c r="Z592" s="54">
        <v>0.13142055609038442</v>
      </c>
      <c r="AA592" s="15">
        <f t="shared" si="57"/>
        <v>1.0951713007532034E-2</v>
      </c>
      <c r="AB592" s="15">
        <f t="shared" si="58"/>
        <v>0.13142055609038442</v>
      </c>
      <c r="AC592" t="b">
        <f t="shared" si="59"/>
        <v>1</v>
      </c>
    </row>
    <row r="593" spans="1:29" x14ac:dyDescent="0.25">
      <c r="A593" s="52" t="s">
        <v>259</v>
      </c>
      <c r="B593" s="46">
        <v>30013</v>
      </c>
      <c r="C593" s="47">
        <v>45800</v>
      </c>
      <c r="D593" s="46">
        <v>311500</v>
      </c>
      <c r="E593" s="46">
        <v>2</v>
      </c>
      <c r="F593" s="52" t="s">
        <v>2234</v>
      </c>
      <c r="G593" s="46">
        <v>6</v>
      </c>
      <c r="H593" s="52" t="s">
        <v>784</v>
      </c>
      <c r="I593" s="46"/>
      <c r="J593" s="46">
        <v>0</v>
      </c>
      <c r="K593" s="46"/>
      <c r="L593" s="52" t="s">
        <v>687</v>
      </c>
      <c r="M593" s="55">
        <v>12000000</v>
      </c>
      <c r="N593" s="46">
        <v>36</v>
      </c>
      <c r="O593" s="46">
        <v>0</v>
      </c>
      <c r="P593" s="46">
        <v>1</v>
      </c>
      <c r="Q593" s="46">
        <v>8</v>
      </c>
      <c r="R593" s="55">
        <v>356700</v>
      </c>
      <c r="S593" s="46">
        <v>1</v>
      </c>
      <c r="T593" s="55">
        <v>229885</v>
      </c>
      <c r="U593" s="55">
        <f>M593/100+11700</f>
        <v>131700</v>
      </c>
      <c r="V593" s="55">
        <v>1</v>
      </c>
      <c r="W593" s="55">
        <v>384463</v>
      </c>
      <c r="X593" s="46">
        <v>1</v>
      </c>
      <c r="Y593" s="46">
        <v>1</v>
      </c>
      <c r="Z593" s="54">
        <v>0.13795557617622051</v>
      </c>
      <c r="AA593" s="15">
        <f t="shared" si="57"/>
        <v>1.1496298014685043E-2</v>
      </c>
      <c r="AB593" s="15">
        <f t="shared" si="58"/>
        <v>0.13795557617622051</v>
      </c>
      <c r="AC593" t="b">
        <f t="shared" si="59"/>
        <v>1</v>
      </c>
    </row>
    <row r="594" spans="1:29" x14ac:dyDescent="0.25">
      <c r="A594" s="52" t="s">
        <v>259</v>
      </c>
      <c r="B594" s="46">
        <v>30013</v>
      </c>
      <c r="C594" s="47">
        <v>45800</v>
      </c>
      <c r="D594" s="46">
        <v>311100</v>
      </c>
      <c r="E594" s="46">
        <v>5</v>
      </c>
      <c r="F594" s="52" t="s">
        <v>2235</v>
      </c>
      <c r="G594" s="46">
        <v>6</v>
      </c>
      <c r="H594" s="52" t="s">
        <v>784</v>
      </c>
      <c r="I594" s="46" t="s">
        <v>2236</v>
      </c>
      <c r="J594" s="46">
        <v>0</v>
      </c>
      <c r="K594" s="46"/>
      <c r="L594" s="52" t="s">
        <v>696</v>
      </c>
      <c r="M594" s="55">
        <v>21000000</v>
      </c>
      <c r="N594" s="46">
        <v>60</v>
      </c>
      <c r="O594" s="46">
        <v>0</v>
      </c>
      <c r="P594" s="46">
        <v>1</v>
      </c>
      <c r="Q594" s="46">
        <v>7</v>
      </c>
      <c r="R594" s="55">
        <v>0</v>
      </c>
      <c r="S594" s="46">
        <v>1</v>
      </c>
      <c r="T594" s="55">
        <v>0</v>
      </c>
      <c r="U594" s="55">
        <f>M594/100+11700</f>
        <v>221700</v>
      </c>
      <c r="V594" s="55">
        <v>1</v>
      </c>
      <c r="W594" s="55">
        <v>430352</v>
      </c>
      <c r="X594" s="46">
        <v>1</v>
      </c>
      <c r="Y594" s="46">
        <v>1</v>
      </c>
      <c r="Z594" s="54">
        <v>8.9036149572149989E-2</v>
      </c>
      <c r="AA594" s="15">
        <f t="shared" si="57"/>
        <v>7.4196791310124988E-3</v>
      </c>
      <c r="AB594" s="15">
        <f t="shared" si="58"/>
        <v>8.9036149572149989E-2</v>
      </c>
      <c r="AC594" t="b">
        <f t="shared" si="59"/>
        <v>1</v>
      </c>
    </row>
    <row r="595" spans="1:29" x14ac:dyDescent="0.25">
      <c r="A595" s="52" t="s">
        <v>259</v>
      </c>
      <c r="B595" s="46">
        <v>30013</v>
      </c>
      <c r="C595" s="47">
        <v>45800</v>
      </c>
      <c r="D595" s="46">
        <v>311500</v>
      </c>
      <c r="E595" s="46">
        <v>2</v>
      </c>
      <c r="F595" s="52" t="s">
        <v>2237</v>
      </c>
      <c r="G595" s="46">
        <v>6</v>
      </c>
      <c r="H595" s="52" t="s">
        <v>784</v>
      </c>
      <c r="I595" s="46"/>
      <c r="J595" s="46">
        <v>0</v>
      </c>
      <c r="K595" s="46"/>
      <c r="L595" s="52" t="s">
        <v>261</v>
      </c>
      <c r="M595" s="55">
        <v>3500000</v>
      </c>
      <c r="N595" s="46">
        <v>60</v>
      </c>
      <c r="O595" s="46">
        <v>0</v>
      </c>
      <c r="P595" s="46">
        <v>1</v>
      </c>
      <c r="Q595" s="46">
        <v>13</v>
      </c>
      <c r="R595" s="55">
        <v>104038</v>
      </c>
      <c r="S595" s="46">
        <v>1</v>
      </c>
      <c r="T595" s="55">
        <v>141250</v>
      </c>
      <c r="U595" s="55">
        <f>M595/100+11700</f>
        <v>46700</v>
      </c>
      <c r="V595" s="55">
        <v>1</v>
      </c>
      <c r="W595" s="55">
        <v>84107</v>
      </c>
      <c r="X595" s="46">
        <v>1</v>
      </c>
      <c r="Y595" s="46">
        <v>1</v>
      </c>
      <c r="Z595" s="54">
        <v>0.19502438525176702</v>
      </c>
      <c r="AA595" s="15">
        <f t="shared" si="57"/>
        <v>1.6252032104313918E-2</v>
      </c>
      <c r="AB595" s="15">
        <f t="shared" si="58"/>
        <v>0.19502438525176702</v>
      </c>
      <c r="AC595" t="b">
        <f t="shared" si="59"/>
        <v>1</v>
      </c>
    </row>
    <row r="596" spans="1:29" x14ac:dyDescent="0.25">
      <c r="A596" s="52" t="s">
        <v>259</v>
      </c>
      <c r="B596" s="46">
        <v>30013</v>
      </c>
      <c r="C596" s="47">
        <v>45800</v>
      </c>
      <c r="D596" s="46">
        <v>311500</v>
      </c>
      <c r="E596" s="46">
        <v>2</v>
      </c>
      <c r="F596" s="52" t="s">
        <v>724</v>
      </c>
      <c r="G596" s="46">
        <v>6</v>
      </c>
      <c r="H596" s="52" t="s">
        <v>784</v>
      </c>
      <c r="I596" s="46"/>
      <c r="J596" s="46">
        <v>0</v>
      </c>
      <c r="K596" s="46"/>
      <c r="L596" s="52" t="s">
        <v>266</v>
      </c>
      <c r="M596" s="55">
        <v>11200000</v>
      </c>
      <c r="N596" s="46">
        <v>72</v>
      </c>
      <c r="O596" s="46">
        <v>0</v>
      </c>
      <c r="P596" s="46">
        <v>1</v>
      </c>
      <c r="Q596" s="46">
        <v>8</v>
      </c>
      <c r="R596" s="55">
        <v>199752</v>
      </c>
      <c r="S596" s="46">
        <v>1</v>
      </c>
      <c r="T596" s="55">
        <v>519000</v>
      </c>
      <c r="U596" s="55">
        <f>M596/100+11700</f>
        <v>123700</v>
      </c>
      <c r="V596" s="55">
        <v>1</v>
      </c>
      <c r="W596" s="55">
        <v>204744</v>
      </c>
      <c r="X596" s="46">
        <v>1</v>
      </c>
      <c r="Y596" s="46">
        <v>1</v>
      </c>
      <c r="Z596" s="54">
        <v>0.12416794623468455</v>
      </c>
      <c r="AA596" s="15">
        <f t="shared" si="57"/>
        <v>1.0347328852890379E-2</v>
      </c>
      <c r="AB596" s="15">
        <f t="shared" si="58"/>
        <v>0.12416794623468455</v>
      </c>
      <c r="AC596" t="b">
        <f t="shared" si="59"/>
        <v>1</v>
      </c>
    </row>
    <row r="597" spans="1:29" x14ac:dyDescent="0.25">
      <c r="A597" s="52" t="s">
        <v>259</v>
      </c>
      <c r="B597" s="46">
        <v>30013</v>
      </c>
      <c r="C597" s="47">
        <v>45800</v>
      </c>
      <c r="D597" s="46">
        <v>321500</v>
      </c>
      <c r="E597" s="46">
        <v>2</v>
      </c>
      <c r="F597" s="52" t="s">
        <v>2238</v>
      </c>
      <c r="G597" s="46">
        <v>6</v>
      </c>
      <c r="H597" s="52" t="s">
        <v>1642</v>
      </c>
      <c r="I597" s="46"/>
      <c r="J597" s="46">
        <v>0</v>
      </c>
      <c r="K597" s="46"/>
      <c r="L597" s="52" t="s">
        <v>270</v>
      </c>
      <c r="M597" s="55">
        <v>789000</v>
      </c>
      <c r="N597" s="46">
        <v>12</v>
      </c>
      <c r="O597" s="46">
        <v>0</v>
      </c>
      <c r="P597" s="46">
        <v>1</v>
      </c>
      <c r="Q597" s="46">
        <v>10</v>
      </c>
      <c r="R597" s="55">
        <v>9381</v>
      </c>
      <c r="S597" s="46">
        <v>1</v>
      </c>
      <c r="T597" s="55">
        <v>0</v>
      </c>
      <c r="U597" s="55">
        <v>21700</v>
      </c>
      <c r="V597" s="55">
        <v>1</v>
      </c>
      <c r="W597" s="55">
        <v>70061</v>
      </c>
      <c r="X597" s="46">
        <v>1</v>
      </c>
      <c r="Y597" s="46">
        <v>1</v>
      </c>
      <c r="Z597" s="54">
        <v>0.19590511600338278</v>
      </c>
      <c r="AA597" s="15">
        <f t="shared" si="57"/>
        <v>1.6325426333615233E-2</v>
      </c>
      <c r="AB597" s="15">
        <f t="shared" si="58"/>
        <v>0.19590511600338278</v>
      </c>
      <c r="AC597" t="b">
        <f t="shared" si="59"/>
        <v>1</v>
      </c>
    </row>
    <row r="598" spans="1:29" x14ac:dyDescent="0.25">
      <c r="A598" s="52" t="s">
        <v>259</v>
      </c>
      <c r="B598" s="46">
        <v>30013</v>
      </c>
      <c r="C598" s="47">
        <v>45800</v>
      </c>
      <c r="D598" s="46">
        <v>311500</v>
      </c>
      <c r="E598" s="46">
        <v>2</v>
      </c>
      <c r="F598" s="52" t="s">
        <v>2239</v>
      </c>
      <c r="G598" s="46">
        <v>6</v>
      </c>
      <c r="H598" s="52" t="s">
        <v>784</v>
      </c>
      <c r="I598" s="46"/>
      <c r="J598" s="46">
        <v>0</v>
      </c>
      <c r="K598" s="46"/>
      <c r="L598" s="52" t="s">
        <v>261</v>
      </c>
      <c r="M598" s="55">
        <v>4900000</v>
      </c>
      <c r="N598" s="46">
        <v>72</v>
      </c>
      <c r="O598" s="46">
        <v>0</v>
      </c>
      <c r="P598" s="46">
        <v>1</v>
      </c>
      <c r="Q598" s="46">
        <v>12</v>
      </c>
      <c r="R598" s="55">
        <v>87392</v>
      </c>
      <c r="S598" s="46">
        <v>1</v>
      </c>
      <c r="T598" s="55">
        <v>230500</v>
      </c>
      <c r="U598" s="55">
        <f t="shared" ref="U598:U604" si="61">M598/100+11700</f>
        <v>60700</v>
      </c>
      <c r="V598" s="55">
        <v>1</v>
      </c>
      <c r="W598" s="55">
        <v>101673</v>
      </c>
      <c r="X598" s="46">
        <v>1</v>
      </c>
      <c r="Y598" s="46">
        <v>1</v>
      </c>
      <c r="Z598" s="54">
        <v>0.17430488862194526</v>
      </c>
      <c r="AA598" s="15">
        <f t="shared" si="57"/>
        <v>1.4525407385162104E-2</v>
      </c>
      <c r="AB598" s="15">
        <f t="shared" si="58"/>
        <v>0.17430488862194526</v>
      </c>
      <c r="AC598" t="b">
        <f t="shared" si="59"/>
        <v>1</v>
      </c>
    </row>
    <row r="599" spans="1:29" x14ac:dyDescent="0.25">
      <c r="A599" s="52" t="s">
        <v>259</v>
      </c>
      <c r="B599" s="46">
        <v>30013</v>
      </c>
      <c r="C599" s="47">
        <v>45800</v>
      </c>
      <c r="D599" s="46">
        <v>311500</v>
      </c>
      <c r="E599" s="46">
        <v>2</v>
      </c>
      <c r="F599" s="52" t="s">
        <v>2240</v>
      </c>
      <c r="G599" s="46">
        <v>6</v>
      </c>
      <c r="H599" s="52" t="s">
        <v>1642</v>
      </c>
      <c r="I599" s="46"/>
      <c r="J599" s="46">
        <v>0</v>
      </c>
      <c r="K599" s="46"/>
      <c r="L599" s="52" t="s">
        <v>231</v>
      </c>
      <c r="M599" s="55">
        <v>3551000</v>
      </c>
      <c r="N599" s="46">
        <v>48</v>
      </c>
      <c r="O599" s="46">
        <v>0</v>
      </c>
      <c r="P599" s="46">
        <v>1</v>
      </c>
      <c r="Q599" s="46">
        <v>12</v>
      </c>
      <c r="R599" s="55">
        <v>105553</v>
      </c>
      <c r="S599" s="46">
        <v>1</v>
      </c>
      <c r="T599" s="55">
        <v>0</v>
      </c>
      <c r="U599" s="55">
        <f t="shared" si="61"/>
        <v>47210</v>
      </c>
      <c r="V599" s="55">
        <v>1</v>
      </c>
      <c r="W599" s="55">
        <v>97514</v>
      </c>
      <c r="X599" s="46">
        <v>1</v>
      </c>
      <c r="Y599" s="46">
        <v>1</v>
      </c>
      <c r="Z599" s="54">
        <v>0.16691083272412785</v>
      </c>
      <c r="AA599" s="15">
        <f t="shared" si="57"/>
        <v>1.3909236060343987E-2</v>
      </c>
      <c r="AB599" s="15">
        <f t="shared" si="58"/>
        <v>0.16691083272412785</v>
      </c>
      <c r="AC599" t="b">
        <f t="shared" si="59"/>
        <v>1</v>
      </c>
    </row>
    <row r="600" spans="1:29" x14ac:dyDescent="0.25">
      <c r="A600" s="52" t="s">
        <v>259</v>
      </c>
      <c r="B600" s="46">
        <v>30013</v>
      </c>
      <c r="C600" s="47">
        <v>45800</v>
      </c>
      <c r="D600" s="46">
        <v>311500</v>
      </c>
      <c r="E600" s="46">
        <v>2</v>
      </c>
      <c r="F600" s="52" t="s">
        <v>2241</v>
      </c>
      <c r="G600" s="46">
        <v>6</v>
      </c>
      <c r="H600" s="52" t="s">
        <v>1642</v>
      </c>
      <c r="I600" s="46"/>
      <c r="J600" s="46">
        <v>0</v>
      </c>
      <c r="K600" s="46"/>
      <c r="L600" s="52" t="s">
        <v>261</v>
      </c>
      <c r="M600" s="55">
        <v>4580000</v>
      </c>
      <c r="N600" s="46">
        <v>60</v>
      </c>
      <c r="O600" s="46">
        <v>0</v>
      </c>
      <c r="P600" s="46">
        <v>1</v>
      </c>
      <c r="Q600" s="46">
        <v>12</v>
      </c>
      <c r="R600" s="55">
        <v>136141</v>
      </c>
      <c r="S600" s="46">
        <v>1</v>
      </c>
      <c r="T600" s="55">
        <v>181750</v>
      </c>
      <c r="U600" s="55">
        <f t="shared" si="61"/>
        <v>57500</v>
      </c>
      <c r="V600" s="55">
        <v>1</v>
      </c>
      <c r="W600" s="55">
        <v>107206</v>
      </c>
      <c r="X600" s="46">
        <v>1</v>
      </c>
      <c r="Y600" s="46">
        <v>1</v>
      </c>
      <c r="Z600" s="54">
        <v>0.18190656088098706</v>
      </c>
      <c r="AA600" s="15">
        <f t="shared" si="57"/>
        <v>1.5158880073415589E-2</v>
      </c>
      <c r="AB600" s="15">
        <f t="shared" si="58"/>
        <v>0.18190656088098706</v>
      </c>
      <c r="AC600" t="b">
        <f t="shared" si="59"/>
        <v>1</v>
      </c>
    </row>
    <row r="601" spans="1:29" x14ac:dyDescent="0.25">
      <c r="A601" s="52" t="s">
        <v>259</v>
      </c>
      <c r="B601" s="46">
        <v>30013</v>
      </c>
      <c r="C601" s="47">
        <v>45800</v>
      </c>
      <c r="D601" s="46">
        <v>311500</v>
      </c>
      <c r="E601" s="46">
        <v>2</v>
      </c>
      <c r="F601" s="52" t="s">
        <v>2242</v>
      </c>
      <c r="G601" s="46">
        <v>6</v>
      </c>
      <c r="H601" s="52" t="s">
        <v>784</v>
      </c>
      <c r="I601" s="46"/>
      <c r="J601" s="46">
        <v>0</v>
      </c>
      <c r="K601" s="46"/>
      <c r="L601" s="52" t="s">
        <v>261</v>
      </c>
      <c r="M601" s="55">
        <v>8000000</v>
      </c>
      <c r="N601" s="46">
        <v>72</v>
      </c>
      <c r="O601" s="46">
        <v>0</v>
      </c>
      <c r="P601" s="46">
        <v>1</v>
      </c>
      <c r="Q601" s="46">
        <v>12</v>
      </c>
      <c r="R601" s="55">
        <v>142680</v>
      </c>
      <c r="S601" s="46">
        <v>1</v>
      </c>
      <c r="T601" s="55">
        <v>375000</v>
      </c>
      <c r="U601" s="55">
        <f t="shared" si="61"/>
        <v>91700</v>
      </c>
      <c r="V601" s="55">
        <v>1</v>
      </c>
      <c r="W601" s="55">
        <v>165996</v>
      </c>
      <c r="X601" s="46">
        <v>1</v>
      </c>
      <c r="Y601" s="46">
        <v>1</v>
      </c>
      <c r="Z601" s="54">
        <v>0.17382965258077451</v>
      </c>
      <c r="AA601" s="15">
        <f t="shared" si="57"/>
        <v>1.4485804381731209E-2</v>
      </c>
      <c r="AB601" s="15">
        <f t="shared" si="58"/>
        <v>0.17382965258077451</v>
      </c>
      <c r="AC601" t="b">
        <f t="shared" si="59"/>
        <v>1</v>
      </c>
    </row>
    <row r="602" spans="1:29" x14ac:dyDescent="0.25">
      <c r="A602" s="52" t="s">
        <v>259</v>
      </c>
      <c r="B602" s="46">
        <v>30013</v>
      </c>
      <c r="C602" s="47">
        <v>45800</v>
      </c>
      <c r="D602" s="46">
        <v>311500</v>
      </c>
      <c r="E602" s="46">
        <v>2</v>
      </c>
      <c r="F602" s="52" t="s">
        <v>2243</v>
      </c>
      <c r="G602" s="46">
        <v>6</v>
      </c>
      <c r="H602" s="52" t="s">
        <v>784</v>
      </c>
      <c r="I602" s="46"/>
      <c r="J602" s="46">
        <v>0</v>
      </c>
      <c r="K602" s="46"/>
      <c r="L602" s="52" t="s">
        <v>261</v>
      </c>
      <c r="M602" s="55">
        <v>4400000</v>
      </c>
      <c r="N602" s="46">
        <v>60</v>
      </c>
      <c r="O602" s="46">
        <v>0</v>
      </c>
      <c r="P602" s="46">
        <v>1</v>
      </c>
      <c r="Q602" s="46">
        <v>12</v>
      </c>
      <c r="R602" s="55">
        <v>130790</v>
      </c>
      <c r="S602" s="46">
        <v>1</v>
      </c>
      <c r="T602" s="55">
        <v>175000</v>
      </c>
      <c r="U602" s="55">
        <f t="shared" si="61"/>
        <v>55700</v>
      </c>
      <c r="V602" s="55">
        <v>1</v>
      </c>
      <c r="W602" s="55">
        <v>102993</v>
      </c>
      <c r="X602" s="46">
        <v>1</v>
      </c>
      <c r="Y602" s="46">
        <v>1</v>
      </c>
      <c r="Z602" s="54">
        <v>0.18200678844757795</v>
      </c>
      <c r="AA602" s="15">
        <f t="shared" si="57"/>
        <v>1.5167232370631497E-2</v>
      </c>
      <c r="AB602" s="15">
        <f t="shared" si="58"/>
        <v>0.18200678844757795</v>
      </c>
      <c r="AC602" t="b">
        <f t="shared" si="59"/>
        <v>1</v>
      </c>
    </row>
    <row r="603" spans="1:29" x14ac:dyDescent="0.25">
      <c r="A603" s="52" t="s">
        <v>259</v>
      </c>
      <c r="B603" s="46">
        <v>30013</v>
      </c>
      <c r="C603" s="47">
        <v>45803</v>
      </c>
      <c r="D603" s="46">
        <v>311500</v>
      </c>
      <c r="E603" s="46">
        <v>2</v>
      </c>
      <c r="F603" s="52" t="s">
        <v>2244</v>
      </c>
      <c r="G603" s="46">
        <v>6</v>
      </c>
      <c r="H603" s="52" t="s">
        <v>784</v>
      </c>
      <c r="I603" s="46"/>
      <c r="J603" s="46">
        <v>0</v>
      </c>
      <c r="K603" s="46"/>
      <c r="L603" s="52" t="s">
        <v>690</v>
      </c>
      <c r="M603" s="55">
        <v>5200000</v>
      </c>
      <c r="N603" s="46">
        <v>72</v>
      </c>
      <c r="O603" s="46">
        <v>0</v>
      </c>
      <c r="P603" s="46">
        <v>1</v>
      </c>
      <c r="Q603" s="46">
        <v>12</v>
      </c>
      <c r="R603" s="55">
        <v>92742</v>
      </c>
      <c r="S603" s="46">
        <v>1</v>
      </c>
      <c r="T603" s="55">
        <v>244000</v>
      </c>
      <c r="U603" s="55">
        <f t="shared" si="61"/>
        <v>63700</v>
      </c>
      <c r="V603" s="55">
        <v>1</v>
      </c>
      <c r="W603" s="55">
        <v>107897</v>
      </c>
      <c r="X603" s="46">
        <v>1</v>
      </c>
      <c r="Y603" s="46">
        <v>1</v>
      </c>
      <c r="Z603" s="54">
        <v>0.1741906516370825</v>
      </c>
      <c r="AA603" s="15">
        <f t="shared" si="57"/>
        <v>1.4515887636423542E-2</v>
      </c>
      <c r="AB603" s="15">
        <f t="shared" si="58"/>
        <v>0.1741906516370825</v>
      </c>
      <c r="AC603" t="b">
        <f t="shared" si="59"/>
        <v>1</v>
      </c>
    </row>
    <row r="604" spans="1:29" x14ac:dyDescent="0.25">
      <c r="A604" s="52" t="s">
        <v>259</v>
      </c>
      <c r="B604" s="46">
        <v>30013</v>
      </c>
      <c r="C604" s="47">
        <v>45803</v>
      </c>
      <c r="D604" s="46">
        <v>311500</v>
      </c>
      <c r="E604" s="46">
        <v>2</v>
      </c>
      <c r="F604" s="52" t="s">
        <v>2245</v>
      </c>
      <c r="G604" s="46">
        <v>6</v>
      </c>
      <c r="H604" s="52" t="s">
        <v>784</v>
      </c>
      <c r="I604" s="46"/>
      <c r="J604" s="46">
        <v>0</v>
      </c>
      <c r="K604" s="46"/>
      <c r="L604" s="52" t="s">
        <v>261</v>
      </c>
      <c r="M604" s="55">
        <v>1900000</v>
      </c>
      <c r="N604" s="46">
        <v>48</v>
      </c>
      <c r="O604" s="46">
        <v>0</v>
      </c>
      <c r="P604" s="46">
        <v>1</v>
      </c>
      <c r="Q604" s="46">
        <v>12</v>
      </c>
      <c r="R604" s="55">
        <v>56478</v>
      </c>
      <c r="S604" s="46">
        <v>1</v>
      </c>
      <c r="T604" s="55">
        <v>67000</v>
      </c>
      <c r="U604" s="55">
        <f t="shared" si="61"/>
        <v>30700</v>
      </c>
      <c r="V604" s="55">
        <v>1</v>
      </c>
      <c r="W604" s="55">
        <v>52176</v>
      </c>
      <c r="X604" s="46">
        <v>1</v>
      </c>
      <c r="Y604" s="46">
        <v>1</v>
      </c>
      <c r="Z604" s="54">
        <v>0.18973636543004144</v>
      </c>
      <c r="AA604" s="15">
        <f t="shared" si="57"/>
        <v>1.5811363785836786E-2</v>
      </c>
      <c r="AB604" s="15">
        <f t="shared" si="58"/>
        <v>0.18973636543004144</v>
      </c>
      <c r="AC604" t="b">
        <f t="shared" si="59"/>
        <v>1</v>
      </c>
    </row>
    <row r="605" spans="1:29" x14ac:dyDescent="0.25">
      <c r="A605" s="52" t="s">
        <v>259</v>
      </c>
      <c r="B605" s="46">
        <v>30013</v>
      </c>
      <c r="C605" s="47">
        <v>45803</v>
      </c>
      <c r="D605" s="46">
        <v>321500</v>
      </c>
      <c r="E605" s="46">
        <v>2</v>
      </c>
      <c r="F605" s="52" t="s">
        <v>2246</v>
      </c>
      <c r="G605" s="46">
        <v>6</v>
      </c>
      <c r="H605" s="52" t="s">
        <v>784</v>
      </c>
      <c r="I605" s="46"/>
      <c r="J605" s="46">
        <v>0</v>
      </c>
      <c r="K605" s="46"/>
      <c r="L605" s="52" t="s">
        <v>261</v>
      </c>
      <c r="M605" s="55">
        <v>950000</v>
      </c>
      <c r="N605" s="46">
        <v>12</v>
      </c>
      <c r="O605" s="46">
        <v>0</v>
      </c>
      <c r="P605" s="46">
        <v>1</v>
      </c>
      <c r="Q605" s="46">
        <v>10</v>
      </c>
      <c r="R605" s="55">
        <v>11296</v>
      </c>
      <c r="S605" s="46">
        <v>1</v>
      </c>
      <c r="T605" s="55">
        <v>0</v>
      </c>
      <c r="U605" s="55">
        <v>21700</v>
      </c>
      <c r="V605" s="55">
        <v>1</v>
      </c>
      <c r="W605" s="55">
        <v>84357</v>
      </c>
      <c r="X605" s="46">
        <v>1</v>
      </c>
      <c r="Y605" s="46">
        <v>1</v>
      </c>
      <c r="Z605" s="54">
        <v>0.18654917419806477</v>
      </c>
      <c r="AA605" s="15">
        <f t="shared" si="57"/>
        <v>1.5545764516505398E-2</v>
      </c>
      <c r="AB605" s="15">
        <f t="shared" si="58"/>
        <v>0.18654917419806477</v>
      </c>
      <c r="AC605" t="b">
        <f t="shared" si="59"/>
        <v>1</v>
      </c>
    </row>
    <row r="606" spans="1:29" x14ac:dyDescent="0.25">
      <c r="A606" s="52" t="s">
        <v>259</v>
      </c>
      <c r="B606" s="46">
        <v>30013</v>
      </c>
      <c r="C606" s="47">
        <v>45803</v>
      </c>
      <c r="D606" s="46">
        <v>311500</v>
      </c>
      <c r="E606" s="46">
        <v>2</v>
      </c>
      <c r="F606" s="52" t="s">
        <v>2247</v>
      </c>
      <c r="G606" s="46">
        <v>6</v>
      </c>
      <c r="H606" s="52" t="s">
        <v>784</v>
      </c>
      <c r="I606" s="46"/>
      <c r="J606" s="46">
        <v>0</v>
      </c>
      <c r="K606" s="46"/>
      <c r="L606" s="52" t="s">
        <v>261</v>
      </c>
      <c r="M606" s="55">
        <v>1750000</v>
      </c>
      <c r="N606" s="46">
        <v>48</v>
      </c>
      <c r="O606" s="46">
        <v>0</v>
      </c>
      <c r="P606" s="46">
        <v>1</v>
      </c>
      <c r="Q606" s="46">
        <v>12</v>
      </c>
      <c r="R606" s="55">
        <v>52019</v>
      </c>
      <c r="S606" s="46">
        <v>1</v>
      </c>
      <c r="T606" s="55">
        <v>62500</v>
      </c>
      <c r="U606" s="55">
        <f>M606/100+11700</f>
        <v>29200</v>
      </c>
      <c r="V606" s="55">
        <v>1</v>
      </c>
      <c r="W606" s="55">
        <v>48057</v>
      </c>
      <c r="X606" s="46">
        <v>1</v>
      </c>
      <c r="Y606" s="46">
        <v>1</v>
      </c>
      <c r="Z606" s="54">
        <v>0.19034217680238441</v>
      </c>
      <c r="AA606" s="15">
        <f t="shared" si="57"/>
        <v>1.5861848066865369E-2</v>
      </c>
      <c r="AB606" s="15">
        <f t="shared" si="58"/>
        <v>0.19034217680238441</v>
      </c>
      <c r="AC606" t="b">
        <f t="shared" si="59"/>
        <v>1</v>
      </c>
    </row>
    <row r="607" spans="1:29" x14ac:dyDescent="0.25">
      <c r="A607" s="52" t="s">
        <v>259</v>
      </c>
      <c r="B607" s="46">
        <v>30013</v>
      </c>
      <c r="C607" s="47">
        <v>45803</v>
      </c>
      <c r="D607" s="46">
        <v>311500</v>
      </c>
      <c r="E607" s="46">
        <v>2</v>
      </c>
      <c r="F607" s="52" t="s">
        <v>2248</v>
      </c>
      <c r="G607" s="46">
        <v>6</v>
      </c>
      <c r="H607" s="52" t="s">
        <v>784</v>
      </c>
      <c r="I607" s="46"/>
      <c r="J607" s="46">
        <v>0</v>
      </c>
      <c r="K607" s="46"/>
      <c r="L607" s="52" t="s">
        <v>261</v>
      </c>
      <c r="M607" s="55">
        <v>4500000</v>
      </c>
      <c r="N607" s="46">
        <v>60</v>
      </c>
      <c r="O607" s="46">
        <v>0</v>
      </c>
      <c r="P607" s="46">
        <v>1</v>
      </c>
      <c r="Q607" s="46">
        <v>13</v>
      </c>
      <c r="R607" s="55">
        <v>133763</v>
      </c>
      <c r="S607" s="46">
        <v>1</v>
      </c>
      <c r="T607" s="55">
        <v>178750</v>
      </c>
      <c r="U607" s="55">
        <f>M607/100+11700</f>
        <v>56700</v>
      </c>
      <c r="V607" s="55">
        <v>1</v>
      </c>
      <c r="W607" s="55">
        <v>108137</v>
      </c>
      <c r="X607" s="46">
        <v>1</v>
      </c>
      <c r="Y607" s="46">
        <v>1</v>
      </c>
      <c r="Z607" s="54">
        <v>0.19431044480902587</v>
      </c>
      <c r="AA607" s="15">
        <f t="shared" si="57"/>
        <v>1.6192537067418824E-2</v>
      </c>
      <c r="AB607" s="15">
        <f t="shared" si="58"/>
        <v>0.19431044480902587</v>
      </c>
      <c r="AC607" t="b">
        <f t="shared" si="59"/>
        <v>1</v>
      </c>
    </row>
    <row r="608" spans="1:29" x14ac:dyDescent="0.25">
      <c r="A608" s="52" t="s">
        <v>259</v>
      </c>
      <c r="B608" s="46">
        <v>30013</v>
      </c>
      <c r="C608" s="47">
        <v>45803</v>
      </c>
      <c r="D608" s="46">
        <v>311500</v>
      </c>
      <c r="E608" s="46">
        <v>2</v>
      </c>
      <c r="F608" s="52" t="s">
        <v>2249</v>
      </c>
      <c r="G608" s="46">
        <v>6</v>
      </c>
      <c r="H608" s="52" t="s">
        <v>784</v>
      </c>
      <c r="I608" s="46"/>
      <c r="J608" s="46">
        <v>0</v>
      </c>
      <c r="K608" s="46"/>
      <c r="L608" s="52" t="s">
        <v>261</v>
      </c>
      <c r="M608" s="55">
        <v>2800000</v>
      </c>
      <c r="N608" s="46">
        <v>48</v>
      </c>
      <c r="O608" s="46">
        <v>0</v>
      </c>
      <c r="P608" s="46">
        <v>1</v>
      </c>
      <c r="Q608" s="46">
        <v>12</v>
      </c>
      <c r="R608" s="55">
        <v>83230</v>
      </c>
      <c r="S608" s="46">
        <v>1</v>
      </c>
      <c r="T608" s="55">
        <v>94000</v>
      </c>
      <c r="U608" s="55">
        <f>M608/100+11700</f>
        <v>39700</v>
      </c>
      <c r="V608" s="55">
        <v>1</v>
      </c>
      <c r="W608" s="55">
        <v>76891</v>
      </c>
      <c r="X608" s="46">
        <v>1</v>
      </c>
      <c r="Y608" s="46">
        <v>1</v>
      </c>
      <c r="Z608" s="54">
        <v>0.18747978308878435</v>
      </c>
      <c r="AA608" s="15">
        <f t="shared" si="57"/>
        <v>1.5623315257398697E-2</v>
      </c>
      <c r="AB608" s="15">
        <f t="shared" si="58"/>
        <v>0.18747978308878435</v>
      </c>
      <c r="AC608" t="b">
        <f t="shared" si="59"/>
        <v>1</v>
      </c>
    </row>
    <row r="609" spans="1:29" x14ac:dyDescent="0.25">
      <c r="A609" s="52" t="s">
        <v>259</v>
      </c>
      <c r="B609" s="46">
        <v>30013</v>
      </c>
      <c r="C609" s="47">
        <v>45803</v>
      </c>
      <c r="D609" s="46">
        <v>311500</v>
      </c>
      <c r="E609" s="46">
        <v>2</v>
      </c>
      <c r="F609" s="52" t="s">
        <v>2250</v>
      </c>
      <c r="G609" s="46">
        <v>6</v>
      </c>
      <c r="H609" s="52" t="s">
        <v>784</v>
      </c>
      <c r="I609" s="46"/>
      <c r="J609" s="46">
        <v>0</v>
      </c>
      <c r="K609" s="46"/>
      <c r="L609" s="52" t="s">
        <v>261</v>
      </c>
      <c r="M609" s="55">
        <v>10000000</v>
      </c>
      <c r="N609" s="46">
        <v>72</v>
      </c>
      <c r="O609" s="46">
        <v>0</v>
      </c>
      <c r="P609" s="46">
        <v>1</v>
      </c>
      <c r="Q609" s="46">
        <v>12</v>
      </c>
      <c r="R609" s="55">
        <v>178350</v>
      </c>
      <c r="S609" s="46">
        <v>1</v>
      </c>
      <c r="T609" s="55">
        <v>465000</v>
      </c>
      <c r="U609" s="55">
        <f>M609/100+11700</f>
        <v>111700</v>
      </c>
      <c r="V609" s="55">
        <v>1</v>
      </c>
      <c r="W609" s="55">
        <v>207495</v>
      </c>
      <c r="X609" s="46">
        <v>1</v>
      </c>
      <c r="Y609" s="46">
        <v>1</v>
      </c>
      <c r="Z609" s="54">
        <v>0.17354042975106143</v>
      </c>
      <c r="AA609" s="15">
        <f t="shared" si="57"/>
        <v>1.446170247925512E-2</v>
      </c>
      <c r="AB609" s="15">
        <f t="shared" si="58"/>
        <v>0.17354042975106143</v>
      </c>
      <c r="AC609" t="b">
        <f t="shared" si="59"/>
        <v>1</v>
      </c>
    </row>
    <row r="610" spans="1:29" x14ac:dyDescent="0.25">
      <c r="A610" s="52" t="s">
        <v>259</v>
      </c>
      <c r="B610" s="46">
        <v>30013</v>
      </c>
      <c r="C610" s="47">
        <v>45803</v>
      </c>
      <c r="D610" s="46">
        <v>311500</v>
      </c>
      <c r="E610" s="46">
        <v>2</v>
      </c>
      <c r="F610" s="52" t="s">
        <v>2251</v>
      </c>
      <c r="G610" s="46">
        <v>6</v>
      </c>
      <c r="H610" s="52" t="s">
        <v>1642</v>
      </c>
      <c r="I610" s="46"/>
      <c r="J610" s="46">
        <v>0</v>
      </c>
      <c r="K610" s="46"/>
      <c r="L610" s="52" t="s">
        <v>685</v>
      </c>
      <c r="M610" s="55">
        <v>7700000</v>
      </c>
      <c r="N610" s="46">
        <v>48</v>
      </c>
      <c r="O610" s="46">
        <v>0</v>
      </c>
      <c r="P610" s="46">
        <v>1</v>
      </c>
      <c r="Q610" s="46">
        <v>9</v>
      </c>
      <c r="R610" s="55">
        <v>228883</v>
      </c>
      <c r="S610" s="46">
        <v>1</v>
      </c>
      <c r="T610" s="55">
        <v>246000</v>
      </c>
      <c r="U610" s="55">
        <f>M610/100+11700</f>
        <v>88700</v>
      </c>
      <c r="V610" s="55">
        <v>1</v>
      </c>
      <c r="W610" s="55">
        <v>197894</v>
      </c>
      <c r="X610" s="46">
        <v>1</v>
      </c>
      <c r="Y610" s="46">
        <v>1</v>
      </c>
      <c r="Z610" s="54">
        <v>0.14801364040854192</v>
      </c>
      <c r="AA610" s="15">
        <f t="shared" si="57"/>
        <v>1.2334470034045159E-2</v>
      </c>
      <c r="AB610" s="15">
        <f t="shared" si="58"/>
        <v>0.14801364040854192</v>
      </c>
      <c r="AC610" t="b">
        <f t="shared" si="59"/>
        <v>1</v>
      </c>
    </row>
    <row r="611" spans="1:29" x14ac:dyDescent="0.25">
      <c r="A611" s="52" t="s">
        <v>259</v>
      </c>
      <c r="B611" s="46">
        <v>30013</v>
      </c>
      <c r="C611" s="47">
        <v>45803</v>
      </c>
      <c r="D611" s="46">
        <v>321500</v>
      </c>
      <c r="E611" s="46">
        <v>2</v>
      </c>
      <c r="F611" s="52" t="s">
        <v>2252</v>
      </c>
      <c r="G611" s="46">
        <v>6</v>
      </c>
      <c r="H611" s="52" t="s">
        <v>784</v>
      </c>
      <c r="I611" s="46"/>
      <c r="J611" s="46">
        <v>0</v>
      </c>
      <c r="K611" s="46"/>
      <c r="L611" s="52" t="s">
        <v>690</v>
      </c>
      <c r="M611" s="55">
        <v>788500</v>
      </c>
      <c r="N611" s="46">
        <v>12</v>
      </c>
      <c r="O611" s="46">
        <v>0</v>
      </c>
      <c r="P611" s="46">
        <v>1</v>
      </c>
      <c r="Q611" s="46">
        <v>10</v>
      </c>
      <c r="R611" s="55">
        <v>9375</v>
      </c>
      <c r="S611" s="46">
        <v>1</v>
      </c>
      <c r="T611" s="55">
        <v>0</v>
      </c>
      <c r="U611" s="55">
        <v>21700</v>
      </c>
      <c r="V611" s="55">
        <v>1</v>
      </c>
      <c r="W611" s="55">
        <v>70017</v>
      </c>
      <c r="X611" s="46">
        <v>1</v>
      </c>
      <c r="Y611" s="46">
        <v>1</v>
      </c>
      <c r="Z611" s="54">
        <v>0.19595109056852594</v>
      </c>
      <c r="AA611" s="15">
        <f t="shared" si="57"/>
        <v>1.6329257547377161E-2</v>
      </c>
      <c r="AB611" s="15">
        <f t="shared" si="58"/>
        <v>0.19595109056852594</v>
      </c>
      <c r="AC611" t="b">
        <f t="shared" si="59"/>
        <v>1</v>
      </c>
    </row>
    <row r="612" spans="1:29" x14ac:dyDescent="0.25">
      <c r="A612" s="52" t="s">
        <v>259</v>
      </c>
      <c r="B612" s="46">
        <v>30013</v>
      </c>
      <c r="C612" s="47">
        <v>45803</v>
      </c>
      <c r="D612" s="46">
        <v>311500</v>
      </c>
      <c r="E612" s="46">
        <v>2</v>
      </c>
      <c r="F612" s="52" t="s">
        <v>2253</v>
      </c>
      <c r="G612" s="46">
        <v>6</v>
      </c>
      <c r="H612" s="52" t="s">
        <v>784</v>
      </c>
      <c r="I612" s="46"/>
      <c r="J612" s="46">
        <v>0</v>
      </c>
      <c r="K612" s="46"/>
      <c r="L612" s="52" t="s">
        <v>261</v>
      </c>
      <c r="M612" s="55">
        <v>4250000</v>
      </c>
      <c r="N612" s="46">
        <v>60</v>
      </c>
      <c r="O612" s="46">
        <v>0</v>
      </c>
      <c r="P612" s="46">
        <v>1</v>
      </c>
      <c r="Q612" s="46">
        <v>13</v>
      </c>
      <c r="R612" s="55">
        <v>126331</v>
      </c>
      <c r="S612" s="46">
        <v>1</v>
      </c>
      <c r="T612" s="55">
        <v>169375</v>
      </c>
      <c r="U612" s="55">
        <f>M612/100+11700</f>
        <v>54200</v>
      </c>
      <c r="V612" s="55">
        <v>1</v>
      </c>
      <c r="W612" s="55">
        <v>102130</v>
      </c>
      <c r="X612" s="46">
        <v>1</v>
      </c>
      <c r="Y612" s="46">
        <v>1</v>
      </c>
      <c r="Z612" s="54">
        <v>0.19445953104728458</v>
      </c>
      <c r="AA612" s="15">
        <f t="shared" si="57"/>
        <v>1.620496092060705E-2</v>
      </c>
      <c r="AB612" s="15">
        <f t="shared" si="58"/>
        <v>0.19445953104728458</v>
      </c>
      <c r="AC612" t="b">
        <f t="shared" si="59"/>
        <v>1</v>
      </c>
    </row>
    <row r="613" spans="1:29" x14ac:dyDescent="0.25">
      <c r="A613" s="52" t="s">
        <v>259</v>
      </c>
      <c r="B613" s="46">
        <v>30013</v>
      </c>
      <c r="C613" s="47">
        <v>45803</v>
      </c>
      <c r="D613" s="46">
        <v>311500</v>
      </c>
      <c r="E613" s="46">
        <v>2</v>
      </c>
      <c r="F613" s="52" t="s">
        <v>2254</v>
      </c>
      <c r="G613" s="46">
        <v>6</v>
      </c>
      <c r="H613" s="52" t="s">
        <v>1642</v>
      </c>
      <c r="I613" s="46"/>
      <c r="J613" s="46">
        <v>0</v>
      </c>
      <c r="K613" s="46"/>
      <c r="L613" s="52" t="s">
        <v>231</v>
      </c>
      <c r="M613" s="55">
        <v>10000000</v>
      </c>
      <c r="N613" s="46">
        <v>60</v>
      </c>
      <c r="O613" s="46">
        <v>0</v>
      </c>
      <c r="P613" s="46">
        <v>1</v>
      </c>
      <c r="Q613" s="46">
        <v>9</v>
      </c>
      <c r="R613" s="55">
        <v>297250</v>
      </c>
      <c r="S613" s="46">
        <v>1</v>
      </c>
      <c r="T613" s="55">
        <v>390000</v>
      </c>
      <c r="U613" s="55">
        <f>M613/100+11700</f>
        <v>111700</v>
      </c>
      <c r="V613" s="55">
        <v>1</v>
      </c>
      <c r="W613" s="55">
        <v>215936</v>
      </c>
      <c r="X613" s="46">
        <v>1</v>
      </c>
      <c r="Y613" s="46">
        <v>1</v>
      </c>
      <c r="Z613" s="54">
        <v>0.14385566902641317</v>
      </c>
      <c r="AA613" s="15">
        <f t="shared" si="57"/>
        <v>1.1987972418867763E-2</v>
      </c>
      <c r="AB613" s="15">
        <f t="shared" si="58"/>
        <v>0.14385566902641317</v>
      </c>
      <c r="AC613" t="b">
        <f t="shared" si="59"/>
        <v>1</v>
      </c>
    </row>
    <row r="614" spans="1:29" x14ac:dyDescent="0.25">
      <c r="A614" s="52" t="s">
        <v>259</v>
      </c>
      <c r="B614" s="46">
        <v>30013</v>
      </c>
      <c r="C614" s="47">
        <v>45803</v>
      </c>
      <c r="D614" s="46">
        <v>311500</v>
      </c>
      <c r="E614" s="46">
        <v>2</v>
      </c>
      <c r="F614" s="52" t="s">
        <v>2255</v>
      </c>
      <c r="G614" s="46">
        <v>6</v>
      </c>
      <c r="H614" s="52" t="s">
        <v>784</v>
      </c>
      <c r="I614" s="46"/>
      <c r="J614" s="46">
        <v>0</v>
      </c>
      <c r="K614" s="46"/>
      <c r="L614" s="52" t="s">
        <v>261</v>
      </c>
      <c r="M614" s="55">
        <v>4330000</v>
      </c>
      <c r="N614" s="46">
        <v>60</v>
      </c>
      <c r="O614" s="46">
        <v>0</v>
      </c>
      <c r="P614" s="46">
        <v>1</v>
      </c>
      <c r="Q614" s="46">
        <v>12</v>
      </c>
      <c r="R614" s="55">
        <v>128709</v>
      </c>
      <c r="S614" s="46">
        <v>1</v>
      </c>
      <c r="T614" s="55">
        <v>172375</v>
      </c>
      <c r="U614" s="55">
        <f>M614/100+11700</f>
        <v>55000</v>
      </c>
      <c r="V614" s="55">
        <v>1</v>
      </c>
      <c r="W614" s="55">
        <v>101354</v>
      </c>
      <c r="X614" s="46">
        <v>1</v>
      </c>
      <c r="Y614" s="46">
        <v>1</v>
      </c>
      <c r="Z614" s="54">
        <v>0.18204519844405576</v>
      </c>
      <c r="AA614" s="15">
        <f t="shared" si="57"/>
        <v>1.5170433203671313E-2</v>
      </c>
      <c r="AB614" s="15">
        <f t="shared" si="58"/>
        <v>0.18204519844405576</v>
      </c>
      <c r="AC614" t="b">
        <f t="shared" si="59"/>
        <v>1</v>
      </c>
    </row>
    <row r="615" spans="1:29" x14ac:dyDescent="0.25">
      <c r="A615" s="52" t="s">
        <v>259</v>
      </c>
      <c r="B615" s="46">
        <v>30013</v>
      </c>
      <c r="C615" s="47">
        <v>45803</v>
      </c>
      <c r="D615" s="46">
        <v>311500</v>
      </c>
      <c r="E615" s="46">
        <v>2</v>
      </c>
      <c r="F615" s="52" t="s">
        <v>2256</v>
      </c>
      <c r="G615" s="46">
        <v>6</v>
      </c>
      <c r="H615" s="52" t="s">
        <v>784</v>
      </c>
      <c r="I615" s="46"/>
      <c r="J615" s="46">
        <v>0</v>
      </c>
      <c r="K615" s="46"/>
      <c r="L615" s="52" t="s">
        <v>690</v>
      </c>
      <c r="M615" s="55">
        <v>3600000</v>
      </c>
      <c r="N615" s="46">
        <v>60</v>
      </c>
      <c r="O615" s="46">
        <v>0</v>
      </c>
      <c r="P615" s="46">
        <v>1</v>
      </c>
      <c r="Q615" s="46">
        <v>8</v>
      </c>
      <c r="R615" s="55">
        <v>107010</v>
      </c>
      <c r="S615" s="46">
        <v>1</v>
      </c>
      <c r="T615" s="55">
        <v>145000</v>
      </c>
      <c r="U615" s="55">
        <f>M615/100+11700</f>
        <v>47700</v>
      </c>
      <c r="V615" s="55">
        <v>1</v>
      </c>
      <c r="W615" s="55">
        <v>75628</v>
      </c>
      <c r="X615" s="46">
        <v>1</v>
      </c>
      <c r="Y615" s="46">
        <v>1</v>
      </c>
      <c r="Z615" s="54">
        <v>0.13316775332710695</v>
      </c>
      <c r="AA615" s="15">
        <f t="shared" si="57"/>
        <v>1.1097312777258913E-2</v>
      </c>
      <c r="AB615" s="15">
        <f t="shared" si="58"/>
        <v>0.13316775332710695</v>
      </c>
      <c r="AC615" t="b">
        <f t="shared" si="59"/>
        <v>1</v>
      </c>
    </row>
    <row r="616" spans="1:29" x14ac:dyDescent="0.25">
      <c r="A616" s="52" t="s">
        <v>259</v>
      </c>
      <c r="B616" s="46">
        <v>30013</v>
      </c>
      <c r="C616" s="47">
        <v>45803</v>
      </c>
      <c r="D616" s="46">
        <v>311500</v>
      </c>
      <c r="E616" s="46">
        <v>2</v>
      </c>
      <c r="F616" s="52" t="s">
        <v>2257</v>
      </c>
      <c r="G616" s="46">
        <v>6</v>
      </c>
      <c r="H616" s="52" t="s">
        <v>784</v>
      </c>
      <c r="I616" s="46"/>
      <c r="J616" s="46">
        <v>0</v>
      </c>
      <c r="K616" s="46"/>
      <c r="L616" s="52" t="s">
        <v>261</v>
      </c>
      <c r="M616" s="55">
        <v>4450000</v>
      </c>
      <c r="N616" s="46">
        <v>60</v>
      </c>
      <c r="O616" s="46">
        <v>0</v>
      </c>
      <c r="P616" s="46">
        <v>1</v>
      </c>
      <c r="Q616" s="46">
        <v>12</v>
      </c>
      <c r="R616" s="55">
        <v>132276</v>
      </c>
      <c r="S616" s="46">
        <v>1</v>
      </c>
      <c r="T616" s="55">
        <v>176875</v>
      </c>
      <c r="U616" s="55">
        <f>M616/100+11700</f>
        <v>56200</v>
      </c>
      <c r="V616" s="55">
        <v>1</v>
      </c>
      <c r="W616" s="55">
        <v>104163</v>
      </c>
      <c r="X616" s="46">
        <v>1</v>
      </c>
      <c r="Y616" s="46">
        <v>1</v>
      </c>
      <c r="Z616" s="54">
        <v>0.18197683919335433</v>
      </c>
      <c r="AA616" s="15">
        <f t="shared" si="57"/>
        <v>1.5164736599446196E-2</v>
      </c>
      <c r="AB616" s="15">
        <f t="shared" si="58"/>
        <v>0.18197683919335433</v>
      </c>
      <c r="AC616" t="b">
        <f t="shared" si="59"/>
        <v>1</v>
      </c>
    </row>
    <row r="617" spans="1:29" x14ac:dyDescent="0.25">
      <c r="A617" s="52" t="s">
        <v>259</v>
      </c>
      <c r="B617" s="46">
        <v>30013</v>
      </c>
      <c r="C617" s="47">
        <v>45803</v>
      </c>
      <c r="D617" s="46">
        <v>311500</v>
      </c>
      <c r="E617" s="46">
        <v>2</v>
      </c>
      <c r="F617" s="52" t="s">
        <v>2258</v>
      </c>
      <c r="G617" s="46">
        <v>6</v>
      </c>
      <c r="H617" s="52" t="s">
        <v>1689</v>
      </c>
      <c r="I617" s="46"/>
      <c r="J617" s="46">
        <v>0</v>
      </c>
      <c r="K617" s="46"/>
      <c r="L617" s="52" t="s">
        <v>693</v>
      </c>
      <c r="M617" s="55">
        <v>950000</v>
      </c>
      <c r="N617" s="46">
        <v>48</v>
      </c>
      <c r="O617" s="46">
        <v>0</v>
      </c>
      <c r="P617" s="46">
        <v>1</v>
      </c>
      <c r="Q617" s="46">
        <v>12</v>
      </c>
      <c r="R617" s="55">
        <v>40723</v>
      </c>
      <c r="S617" s="46">
        <v>1</v>
      </c>
      <c r="T617" s="55">
        <v>38500</v>
      </c>
      <c r="U617" s="55">
        <v>21700</v>
      </c>
      <c r="V617" s="55">
        <v>1</v>
      </c>
      <c r="W617" s="55">
        <v>26088</v>
      </c>
      <c r="X617" s="46">
        <v>1</v>
      </c>
      <c r="Y617" s="46">
        <v>1</v>
      </c>
      <c r="Z617" s="54">
        <v>0.20551793488600978</v>
      </c>
      <c r="AA617" s="15">
        <f t="shared" si="57"/>
        <v>1.7126494573834149E-2</v>
      </c>
      <c r="AB617" s="15">
        <f t="shared" si="58"/>
        <v>0.20551793488600978</v>
      </c>
      <c r="AC617" t="b">
        <f t="shared" si="59"/>
        <v>1</v>
      </c>
    </row>
    <row r="618" spans="1:29" x14ac:dyDescent="0.25">
      <c r="A618" s="52" t="s">
        <v>259</v>
      </c>
      <c r="B618" s="46">
        <v>30013</v>
      </c>
      <c r="C618" s="47">
        <v>45803</v>
      </c>
      <c r="D618" s="46">
        <v>311500</v>
      </c>
      <c r="E618" s="46">
        <v>2</v>
      </c>
      <c r="F618" s="52" t="s">
        <v>2259</v>
      </c>
      <c r="G618" s="46">
        <v>6</v>
      </c>
      <c r="H618" s="52" t="s">
        <v>784</v>
      </c>
      <c r="I618" s="46"/>
      <c r="J618" s="46">
        <v>0</v>
      </c>
      <c r="K618" s="46"/>
      <c r="L618" s="52" t="s">
        <v>687</v>
      </c>
      <c r="M618" s="55">
        <v>6000000</v>
      </c>
      <c r="N618" s="46">
        <v>60</v>
      </c>
      <c r="O618" s="46">
        <v>0</v>
      </c>
      <c r="P618" s="46">
        <v>1</v>
      </c>
      <c r="Q618" s="46">
        <v>12</v>
      </c>
      <c r="R618" s="55">
        <v>178350</v>
      </c>
      <c r="S618" s="46">
        <v>1</v>
      </c>
      <c r="T618" s="55">
        <v>235000</v>
      </c>
      <c r="U618" s="55">
        <f t="shared" ref="U618:U624" si="62">M618/100+11700</f>
        <v>71700</v>
      </c>
      <c r="V618" s="55">
        <v>1</v>
      </c>
      <c r="W618" s="55">
        <v>140445</v>
      </c>
      <c r="X618" s="46">
        <v>1</v>
      </c>
      <c r="Y618" s="46">
        <v>1</v>
      </c>
      <c r="Z618" s="54">
        <v>0.18133730641448167</v>
      </c>
      <c r="AA618" s="15">
        <f t="shared" si="57"/>
        <v>1.5111442201206806E-2</v>
      </c>
      <c r="AB618" s="15">
        <f t="shared" si="58"/>
        <v>0.18133730641448167</v>
      </c>
      <c r="AC618" t="b">
        <f t="shared" si="59"/>
        <v>1</v>
      </c>
    </row>
    <row r="619" spans="1:29" x14ac:dyDescent="0.25">
      <c r="A619" s="52" t="s">
        <v>259</v>
      </c>
      <c r="B619" s="46">
        <v>30013</v>
      </c>
      <c r="C619" s="47">
        <v>45803</v>
      </c>
      <c r="D619" s="46">
        <v>311500</v>
      </c>
      <c r="E619" s="46">
        <v>2</v>
      </c>
      <c r="F619" s="52" t="s">
        <v>2260</v>
      </c>
      <c r="G619" s="46">
        <v>6</v>
      </c>
      <c r="H619" s="52" t="s">
        <v>784</v>
      </c>
      <c r="I619" s="46"/>
      <c r="J619" s="46">
        <v>0</v>
      </c>
      <c r="K619" s="46"/>
      <c r="L619" s="52" t="s">
        <v>261</v>
      </c>
      <c r="M619" s="55">
        <v>3400000</v>
      </c>
      <c r="N619" s="46">
        <v>48</v>
      </c>
      <c r="O619" s="46">
        <v>0</v>
      </c>
      <c r="P619" s="46">
        <v>1</v>
      </c>
      <c r="Q619" s="46">
        <v>12</v>
      </c>
      <c r="R619" s="55">
        <v>101065</v>
      </c>
      <c r="S619" s="46">
        <v>1</v>
      </c>
      <c r="T619" s="55">
        <v>112000</v>
      </c>
      <c r="U619" s="55">
        <f t="shared" si="62"/>
        <v>45700</v>
      </c>
      <c r="V619" s="55">
        <v>1</v>
      </c>
      <c r="W619" s="55">
        <v>93368</v>
      </c>
      <c r="X619" s="46">
        <v>1</v>
      </c>
      <c r="Y619" s="46">
        <v>1</v>
      </c>
      <c r="Z619" s="54">
        <v>0.18664449651943935</v>
      </c>
      <c r="AA619" s="15">
        <f t="shared" si="57"/>
        <v>1.5553708043286612E-2</v>
      </c>
      <c r="AB619" s="15">
        <f t="shared" si="58"/>
        <v>0.18664449651943935</v>
      </c>
      <c r="AC619" t="b">
        <f t="shared" si="59"/>
        <v>1</v>
      </c>
    </row>
    <row r="620" spans="1:29" x14ac:dyDescent="0.25">
      <c r="A620" s="52" t="s">
        <v>259</v>
      </c>
      <c r="B620" s="46">
        <v>30013</v>
      </c>
      <c r="C620" s="47">
        <v>45803</v>
      </c>
      <c r="D620" s="46">
        <v>311500</v>
      </c>
      <c r="E620" s="46">
        <v>2</v>
      </c>
      <c r="F620" s="52" t="s">
        <v>2261</v>
      </c>
      <c r="G620" s="46">
        <v>6</v>
      </c>
      <c r="H620" s="52" t="s">
        <v>784</v>
      </c>
      <c r="I620" s="46"/>
      <c r="J620" s="46">
        <v>0</v>
      </c>
      <c r="K620" s="46"/>
      <c r="L620" s="52" t="s">
        <v>690</v>
      </c>
      <c r="M620" s="55">
        <v>5300000</v>
      </c>
      <c r="N620" s="46">
        <v>60</v>
      </c>
      <c r="O620" s="46">
        <v>0</v>
      </c>
      <c r="P620" s="46">
        <v>1</v>
      </c>
      <c r="Q620" s="46">
        <v>14</v>
      </c>
      <c r="R620" s="55">
        <v>157543</v>
      </c>
      <c r="S620" s="46">
        <v>1</v>
      </c>
      <c r="T620" s="55">
        <v>208750</v>
      </c>
      <c r="U620" s="55">
        <f t="shared" si="62"/>
        <v>64700</v>
      </c>
      <c r="V620" s="55">
        <v>1</v>
      </c>
      <c r="W620" s="55">
        <v>130712</v>
      </c>
      <c r="X620" s="46">
        <v>1</v>
      </c>
      <c r="Y620" s="46">
        <v>1</v>
      </c>
      <c r="Z620" s="54">
        <v>0.20630140000716288</v>
      </c>
      <c r="AA620" s="15">
        <f t="shared" si="57"/>
        <v>1.719178333393024E-2</v>
      </c>
      <c r="AB620" s="15">
        <f t="shared" si="58"/>
        <v>0.20630140000716288</v>
      </c>
      <c r="AC620" t="b">
        <f t="shared" si="59"/>
        <v>1</v>
      </c>
    </row>
    <row r="621" spans="1:29" x14ac:dyDescent="0.25">
      <c r="A621" s="52" t="s">
        <v>259</v>
      </c>
      <c r="B621" s="46">
        <v>30013</v>
      </c>
      <c r="C621" s="47">
        <v>45803</v>
      </c>
      <c r="D621" s="46">
        <v>311500</v>
      </c>
      <c r="E621" s="46">
        <v>2</v>
      </c>
      <c r="F621" s="52" t="s">
        <v>2262</v>
      </c>
      <c r="G621" s="46">
        <v>6</v>
      </c>
      <c r="H621" s="52" t="s">
        <v>784</v>
      </c>
      <c r="I621" s="46"/>
      <c r="J621" s="46">
        <v>0</v>
      </c>
      <c r="K621" s="46"/>
      <c r="L621" s="52" t="s">
        <v>261</v>
      </c>
      <c r="M621" s="55">
        <v>1750000</v>
      </c>
      <c r="N621" s="46">
        <v>48</v>
      </c>
      <c r="O621" s="46">
        <v>0</v>
      </c>
      <c r="P621" s="46">
        <v>1</v>
      </c>
      <c r="Q621" s="46">
        <v>12</v>
      </c>
      <c r="R621" s="55">
        <v>52019</v>
      </c>
      <c r="S621" s="46">
        <v>1</v>
      </c>
      <c r="T621" s="55">
        <v>62500</v>
      </c>
      <c r="U621" s="55">
        <f t="shared" si="62"/>
        <v>29200</v>
      </c>
      <c r="V621" s="55">
        <v>1</v>
      </c>
      <c r="W621" s="55">
        <v>48057</v>
      </c>
      <c r="X621" s="46">
        <v>1</v>
      </c>
      <c r="Y621" s="46">
        <v>1</v>
      </c>
      <c r="Z621" s="54">
        <v>0.19034217680238441</v>
      </c>
      <c r="AA621" s="15">
        <f t="shared" si="57"/>
        <v>1.5861848066865369E-2</v>
      </c>
      <c r="AB621" s="15">
        <f t="shared" si="58"/>
        <v>0.19034217680238441</v>
      </c>
      <c r="AC621" t="b">
        <f t="shared" si="59"/>
        <v>1</v>
      </c>
    </row>
    <row r="622" spans="1:29" x14ac:dyDescent="0.25">
      <c r="A622" s="52" t="s">
        <v>259</v>
      </c>
      <c r="B622" s="46">
        <v>30013</v>
      </c>
      <c r="C622" s="47">
        <v>45803</v>
      </c>
      <c r="D622" s="46">
        <v>311500</v>
      </c>
      <c r="E622" s="46">
        <v>2</v>
      </c>
      <c r="F622" s="52" t="s">
        <v>2263</v>
      </c>
      <c r="G622" s="46">
        <v>6</v>
      </c>
      <c r="H622" s="52" t="s">
        <v>1642</v>
      </c>
      <c r="I622" s="46"/>
      <c r="J622" s="46">
        <v>0</v>
      </c>
      <c r="K622" s="46"/>
      <c r="L622" s="52" t="s">
        <v>686</v>
      </c>
      <c r="M622" s="55">
        <v>7300000</v>
      </c>
      <c r="N622" s="46">
        <v>48</v>
      </c>
      <c r="O622" s="46">
        <v>0</v>
      </c>
      <c r="P622" s="46">
        <v>1</v>
      </c>
      <c r="Q622" s="46">
        <v>9</v>
      </c>
      <c r="R622" s="55">
        <v>216993</v>
      </c>
      <c r="S622" s="46">
        <v>1</v>
      </c>
      <c r="T622" s="55">
        <v>229000</v>
      </c>
      <c r="U622" s="55">
        <f t="shared" si="62"/>
        <v>84700</v>
      </c>
      <c r="V622" s="55">
        <v>1</v>
      </c>
      <c r="W622" s="55">
        <v>187614</v>
      </c>
      <c r="X622" s="46">
        <v>1</v>
      </c>
      <c r="Y622" s="46">
        <v>1</v>
      </c>
      <c r="Z622" s="54">
        <v>0.14772162618063822</v>
      </c>
      <c r="AA622" s="15">
        <f t="shared" si="57"/>
        <v>1.2310135515053186E-2</v>
      </c>
      <c r="AB622" s="15">
        <f t="shared" si="58"/>
        <v>0.14772162618063822</v>
      </c>
      <c r="AC622" t="b">
        <f t="shared" si="59"/>
        <v>1</v>
      </c>
    </row>
    <row r="623" spans="1:29" x14ac:dyDescent="0.25">
      <c r="A623" s="52" t="s">
        <v>259</v>
      </c>
      <c r="B623" s="46">
        <v>30013</v>
      </c>
      <c r="C623" s="47">
        <v>45804</v>
      </c>
      <c r="D623" s="46">
        <v>311500</v>
      </c>
      <c r="E623" s="46">
        <v>2</v>
      </c>
      <c r="F623" s="52" t="s">
        <v>2264</v>
      </c>
      <c r="G623" s="46">
        <v>6</v>
      </c>
      <c r="H623" s="52" t="s">
        <v>1642</v>
      </c>
      <c r="I623" s="46"/>
      <c r="J623" s="46">
        <v>0</v>
      </c>
      <c r="K623" s="46"/>
      <c r="L623" s="52" t="s">
        <v>231</v>
      </c>
      <c r="M623" s="55">
        <v>3205000</v>
      </c>
      <c r="N623" s="46">
        <v>60</v>
      </c>
      <c r="O623" s="46">
        <v>0</v>
      </c>
      <c r="P623" s="46">
        <v>1</v>
      </c>
      <c r="Q623" s="46">
        <v>9</v>
      </c>
      <c r="R623" s="55">
        <v>95269</v>
      </c>
      <c r="S623" s="46">
        <v>1</v>
      </c>
      <c r="T623" s="55">
        <v>130188</v>
      </c>
      <c r="U623" s="55">
        <f t="shared" si="62"/>
        <v>43750</v>
      </c>
      <c r="V623" s="55">
        <v>1</v>
      </c>
      <c r="W623" s="55">
        <v>69208</v>
      </c>
      <c r="X623" s="46">
        <v>1</v>
      </c>
      <c r="Y623" s="46">
        <v>1</v>
      </c>
      <c r="Z623" s="54">
        <v>0.14587339438562119</v>
      </c>
      <c r="AA623" s="15">
        <f t="shared" si="57"/>
        <v>1.2156116198801767E-2</v>
      </c>
      <c r="AB623" s="15">
        <f t="shared" si="58"/>
        <v>0.14587339438562119</v>
      </c>
      <c r="AC623" t="b">
        <f t="shared" si="59"/>
        <v>1</v>
      </c>
    </row>
    <row r="624" spans="1:29" x14ac:dyDescent="0.25">
      <c r="A624" s="52" t="s">
        <v>259</v>
      </c>
      <c r="B624" s="46">
        <v>30013</v>
      </c>
      <c r="C624" s="47">
        <v>45804</v>
      </c>
      <c r="D624" s="46">
        <v>321600</v>
      </c>
      <c r="E624" s="46">
        <v>2</v>
      </c>
      <c r="F624" s="52" t="s">
        <v>2265</v>
      </c>
      <c r="G624" s="46">
        <v>6</v>
      </c>
      <c r="H624" s="52" t="s">
        <v>784</v>
      </c>
      <c r="I624" s="46"/>
      <c r="J624" s="46">
        <v>0</v>
      </c>
      <c r="K624" s="46"/>
      <c r="L624" s="52" t="s">
        <v>700</v>
      </c>
      <c r="M624" s="55">
        <v>2000000</v>
      </c>
      <c r="N624" s="46">
        <v>12</v>
      </c>
      <c r="O624" s="46">
        <v>0</v>
      </c>
      <c r="P624" s="46">
        <v>1</v>
      </c>
      <c r="Q624" s="46">
        <v>10</v>
      </c>
      <c r="R624" s="55">
        <v>23780</v>
      </c>
      <c r="S624" s="46">
        <v>1</v>
      </c>
      <c r="T624" s="55">
        <v>25000</v>
      </c>
      <c r="U624" s="55">
        <f t="shared" si="62"/>
        <v>31700</v>
      </c>
      <c r="V624" s="55">
        <v>1</v>
      </c>
      <c r="W624" s="55">
        <v>177595</v>
      </c>
      <c r="X624" s="46">
        <v>1</v>
      </c>
      <c r="Y624" s="46">
        <v>1</v>
      </c>
      <c r="Z624" s="54">
        <v>0.19761766790597002</v>
      </c>
      <c r="AA624" s="15">
        <f t="shared" si="57"/>
        <v>1.6468138992164167E-2</v>
      </c>
      <c r="AB624" s="15">
        <f t="shared" si="58"/>
        <v>0.19761766790597002</v>
      </c>
      <c r="AC624" t="b">
        <f t="shared" si="59"/>
        <v>1</v>
      </c>
    </row>
    <row r="625" spans="1:29" x14ac:dyDescent="0.25">
      <c r="A625" s="52" t="s">
        <v>259</v>
      </c>
      <c r="B625" s="46">
        <v>30013</v>
      </c>
      <c r="C625" s="47">
        <v>45804</v>
      </c>
      <c r="D625" s="46">
        <v>321600</v>
      </c>
      <c r="E625" s="46">
        <v>2</v>
      </c>
      <c r="F625" s="52" t="s">
        <v>2266</v>
      </c>
      <c r="G625" s="46">
        <v>6</v>
      </c>
      <c r="H625" s="52" t="s">
        <v>784</v>
      </c>
      <c r="I625" s="46"/>
      <c r="J625" s="46">
        <v>0</v>
      </c>
      <c r="K625" s="46"/>
      <c r="L625" s="52" t="s">
        <v>691</v>
      </c>
      <c r="M625" s="55">
        <v>750000</v>
      </c>
      <c r="N625" s="46">
        <v>12</v>
      </c>
      <c r="O625" s="46">
        <v>0</v>
      </c>
      <c r="P625" s="46">
        <v>1</v>
      </c>
      <c r="Q625" s="46">
        <v>10</v>
      </c>
      <c r="R625" s="55">
        <v>8918</v>
      </c>
      <c r="S625" s="46">
        <v>1</v>
      </c>
      <c r="T625" s="55">
        <v>0</v>
      </c>
      <c r="U625" s="55">
        <v>21700</v>
      </c>
      <c r="V625" s="55">
        <v>1</v>
      </c>
      <c r="W625" s="55">
        <v>66598</v>
      </c>
      <c r="X625" s="46">
        <v>1</v>
      </c>
      <c r="Y625" s="46">
        <v>1</v>
      </c>
      <c r="Z625" s="54">
        <v>0.19879164161996057</v>
      </c>
      <c r="AA625" s="15">
        <f t="shared" si="57"/>
        <v>1.6565970134996715E-2</v>
      </c>
      <c r="AB625" s="15">
        <f t="shared" si="58"/>
        <v>0.19879164161996057</v>
      </c>
      <c r="AC625" t="b">
        <f t="shared" si="59"/>
        <v>1</v>
      </c>
    </row>
    <row r="626" spans="1:29" x14ac:dyDescent="0.25">
      <c r="A626" s="52" t="s">
        <v>259</v>
      </c>
      <c r="B626" s="46">
        <v>30013</v>
      </c>
      <c r="C626" s="47">
        <v>45804</v>
      </c>
      <c r="D626" s="46">
        <v>311500</v>
      </c>
      <c r="E626" s="46">
        <v>2</v>
      </c>
      <c r="F626" s="52" t="s">
        <v>2267</v>
      </c>
      <c r="G626" s="46">
        <v>6</v>
      </c>
      <c r="H626" s="52" t="s">
        <v>784</v>
      </c>
      <c r="I626" s="46"/>
      <c r="J626" s="46">
        <v>0</v>
      </c>
      <c r="K626" s="46"/>
      <c r="L626" s="52" t="s">
        <v>270</v>
      </c>
      <c r="M626" s="55">
        <v>2300000</v>
      </c>
      <c r="N626" s="46">
        <v>48</v>
      </c>
      <c r="O626" s="46">
        <v>0</v>
      </c>
      <c r="P626" s="46">
        <v>1</v>
      </c>
      <c r="Q626" s="46">
        <v>13</v>
      </c>
      <c r="R626" s="55">
        <v>68368</v>
      </c>
      <c r="S626" s="46">
        <v>1</v>
      </c>
      <c r="T626" s="55">
        <v>79000</v>
      </c>
      <c r="U626" s="55">
        <f t="shared" ref="U626:U632" si="63">M626/100+11700</f>
        <v>34700</v>
      </c>
      <c r="V626" s="55">
        <v>1</v>
      </c>
      <c r="W626" s="55">
        <v>64545</v>
      </c>
      <c r="X626" s="46">
        <v>1</v>
      </c>
      <c r="Y626" s="46">
        <v>1</v>
      </c>
      <c r="Z626" s="54">
        <v>0.20084651967679112</v>
      </c>
      <c r="AA626" s="15">
        <f t="shared" si="57"/>
        <v>1.6737209973065926E-2</v>
      </c>
      <c r="AB626" s="15">
        <f t="shared" si="58"/>
        <v>0.20084651967679112</v>
      </c>
      <c r="AC626" t="b">
        <f t="shared" si="59"/>
        <v>1</v>
      </c>
    </row>
    <row r="627" spans="1:29" x14ac:dyDescent="0.25">
      <c r="A627" s="52" t="s">
        <v>259</v>
      </c>
      <c r="B627" s="46">
        <v>30013</v>
      </c>
      <c r="C627" s="47">
        <v>45804</v>
      </c>
      <c r="D627" s="46">
        <v>311500</v>
      </c>
      <c r="E627" s="46">
        <v>2</v>
      </c>
      <c r="F627" s="52" t="s">
        <v>2268</v>
      </c>
      <c r="G627" s="46">
        <v>6</v>
      </c>
      <c r="H627" s="52" t="s">
        <v>784</v>
      </c>
      <c r="I627" s="46"/>
      <c r="J627" s="46">
        <v>0</v>
      </c>
      <c r="K627" s="46"/>
      <c r="L627" s="52" t="s">
        <v>261</v>
      </c>
      <c r="M627" s="55">
        <v>3990000</v>
      </c>
      <c r="N627" s="46">
        <v>60</v>
      </c>
      <c r="O627" s="46">
        <v>0</v>
      </c>
      <c r="P627" s="46">
        <v>1</v>
      </c>
      <c r="Q627" s="46">
        <v>12</v>
      </c>
      <c r="R627" s="55">
        <v>118603</v>
      </c>
      <c r="S627" s="46">
        <v>1</v>
      </c>
      <c r="T627" s="55">
        <v>159625</v>
      </c>
      <c r="U627" s="55">
        <f t="shared" si="63"/>
        <v>51600</v>
      </c>
      <c r="V627" s="55">
        <v>1</v>
      </c>
      <c r="W627" s="55">
        <v>93396</v>
      </c>
      <c r="X627" s="46">
        <v>1</v>
      </c>
      <c r="Y627" s="46">
        <v>1</v>
      </c>
      <c r="Z627" s="54">
        <v>0.18226554789489008</v>
      </c>
      <c r="AA627" s="15">
        <f t="shared" si="57"/>
        <v>1.5188795657907508E-2</v>
      </c>
      <c r="AB627" s="15">
        <f t="shared" si="58"/>
        <v>0.18226554789489008</v>
      </c>
      <c r="AC627" t="b">
        <f t="shared" si="59"/>
        <v>1</v>
      </c>
    </row>
    <row r="628" spans="1:29" x14ac:dyDescent="0.25">
      <c r="A628" s="52" t="s">
        <v>259</v>
      </c>
      <c r="B628" s="46">
        <v>30013</v>
      </c>
      <c r="C628" s="47">
        <v>45804</v>
      </c>
      <c r="D628" s="46">
        <v>311500</v>
      </c>
      <c r="E628" s="46">
        <v>2</v>
      </c>
      <c r="F628" s="52" t="s">
        <v>2269</v>
      </c>
      <c r="G628" s="46">
        <v>6</v>
      </c>
      <c r="H628" s="52" t="s">
        <v>784</v>
      </c>
      <c r="I628" s="46"/>
      <c r="J628" s="46">
        <v>0</v>
      </c>
      <c r="K628" s="46"/>
      <c r="L628" s="52" t="s">
        <v>261</v>
      </c>
      <c r="M628" s="55">
        <v>2200000</v>
      </c>
      <c r="N628" s="46">
        <v>48</v>
      </c>
      <c r="O628" s="46">
        <v>0</v>
      </c>
      <c r="P628" s="46">
        <v>1</v>
      </c>
      <c r="Q628" s="46">
        <v>12</v>
      </c>
      <c r="R628" s="55">
        <v>65395</v>
      </c>
      <c r="S628" s="46">
        <v>1</v>
      </c>
      <c r="T628" s="55">
        <v>76000</v>
      </c>
      <c r="U628" s="55">
        <f t="shared" si="63"/>
        <v>33700</v>
      </c>
      <c r="V628" s="55">
        <v>1</v>
      </c>
      <c r="W628" s="55">
        <v>60414</v>
      </c>
      <c r="X628" s="46">
        <v>1</v>
      </c>
      <c r="Y628" s="46">
        <v>1</v>
      </c>
      <c r="Z628" s="54">
        <v>0.18877421812183873</v>
      </c>
      <c r="AA628" s="15">
        <f t="shared" si="57"/>
        <v>1.5731184843486561E-2</v>
      </c>
      <c r="AB628" s="15">
        <f t="shared" si="58"/>
        <v>0.18877421812183873</v>
      </c>
      <c r="AC628" t="b">
        <f t="shared" si="59"/>
        <v>1</v>
      </c>
    </row>
    <row r="629" spans="1:29" x14ac:dyDescent="0.25">
      <c r="A629" s="52" t="s">
        <v>259</v>
      </c>
      <c r="B629" s="46">
        <v>30013</v>
      </c>
      <c r="C629" s="47">
        <v>45804</v>
      </c>
      <c r="D629" s="46">
        <v>311500</v>
      </c>
      <c r="E629" s="46">
        <v>2</v>
      </c>
      <c r="F629" s="52" t="s">
        <v>2270</v>
      </c>
      <c r="G629" s="46">
        <v>6</v>
      </c>
      <c r="H629" s="52" t="s">
        <v>784</v>
      </c>
      <c r="I629" s="46"/>
      <c r="J629" s="46">
        <v>0</v>
      </c>
      <c r="K629" s="46"/>
      <c r="L629" s="52" t="s">
        <v>270</v>
      </c>
      <c r="M629" s="55">
        <v>2800000</v>
      </c>
      <c r="N629" s="46">
        <v>48</v>
      </c>
      <c r="O629" s="46">
        <v>0</v>
      </c>
      <c r="P629" s="46">
        <v>1</v>
      </c>
      <c r="Q629" s="46">
        <v>12</v>
      </c>
      <c r="R629" s="55">
        <v>83230</v>
      </c>
      <c r="S629" s="46">
        <v>1</v>
      </c>
      <c r="T629" s="55">
        <v>94000</v>
      </c>
      <c r="U629" s="55">
        <f t="shared" si="63"/>
        <v>39700</v>
      </c>
      <c r="V629" s="55">
        <v>1</v>
      </c>
      <c r="W629" s="55">
        <v>76891</v>
      </c>
      <c r="X629" s="46">
        <v>1</v>
      </c>
      <c r="Y629" s="46">
        <v>1</v>
      </c>
      <c r="Z629" s="54">
        <v>0.18747978308878435</v>
      </c>
      <c r="AA629" s="15">
        <f t="shared" si="57"/>
        <v>1.5623315257398697E-2</v>
      </c>
      <c r="AB629" s="15">
        <f t="shared" si="58"/>
        <v>0.18747978308878435</v>
      </c>
      <c r="AC629" t="b">
        <f t="shared" si="59"/>
        <v>1</v>
      </c>
    </row>
    <row r="630" spans="1:29" x14ac:dyDescent="0.25">
      <c r="A630" s="52" t="s">
        <v>259</v>
      </c>
      <c r="B630" s="46">
        <v>30013</v>
      </c>
      <c r="C630" s="47">
        <v>45804</v>
      </c>
      <c r="D630" s="46">
        <v>311500</v>
      </c>
      <c r="E630" s="46">
        <v>2</v>
      </c>
      <c r="F630" s="52" t="s">
        <v>713</v>
      </c>
      <c r="G630" s="46">
        <v>6</v>
      </c>
      <c r="H630" s="52" t="s">
        <v>784</v>
      </c>
      <c r="I630" s="46"/>
      <c r="J630" s="46">
        <v>0</v>
      </c>
      <c r="K630" s="46"/>
      <c r="L630" s="52" t="s">
        <v>261</v>
      </c>
      <c r="M630" s="55">
        <v>4650000</v>
      </c>
      <c r="N630" s="46">
        <v>60</v>
      </c>
      <c r="O630" s="46">
        <v>0</v>
      </c>
      <c r="P630" s="46">
        <v>1</v>
      </c>
      <c r="Q630" s="46">
        <v>12</v>
      </c>
      <c r="R630" s="55">
        <v>138221</v>
      </c>
      <c r="S630" s="46">
        <v>1</v>
      </c>
      <c r="T630" s="55">
        <v>184375</v>
      </c>
      <c r="U630" s="55">
        <f t="shared" si="63"/>
        <v>58200</v>
      </c>
      <c r="V630" s="55">
        <v>1</v>
      </c>
      <c r="W630" s="55">
        <v>108845</v>
      </c>
      <c r="X630" s="46">
        <v>1</v>
      </c>
      <c r="Y630" s="46">
        <v>1</v>
      </c>
      <c r="Z630" s="54">
        <v>0.1818722090144107</v>
      </c>
      <c r="AA630" s="15">
        <f t="shared" si="57"/>
        <v>1.5156017417867557E-2</v>
      </c>
      <c r="AB630" s="15">
        <f t="shared" si="58"/>
        <v>0.1818722090144107</v>
      </c>
      <c r="AC630" t="b">
        <f t="shared" si="59"/>
        <v>1</v>
      </c>
    </row>
    <row r="631" spans="1:29" x14ac:dyDescent="0.25">
      <c r="A631" s="52" t="s">
        <v>259</v>
      </c>
      <c r="B631" s="46">
        <v>30013</v>
      </c>
      <c r="C631" s="47">
        <v>45804</v>
      </c>
      <c r="D631" s="46">
        <v>311500</v>
      </c>
      <c r="E631" s="46">
        <v>2</v>
      </c>
      <c r="F631" s="52" t="s">
        <v>2271</v>
      </c>
      <c r="G631" s="46">
        <v>6</v>
      </c>
      <c r="H631" s="52" t="s">
        <v>1642</v>
      </c>
      <c r="I631" s="46"/>
      <c r="J631" s="46">
        <v>0</v>
      </c>
      <c r="K631" s="46"/>
      <c r="L631" s="52" t="s">
        <v>685</v>
      </c>
      <c r="M631" s="55">
        <v>2900000</v>
      </c>
      <c r="N631" s="46">
        <v>36</v>
      </c>
      <c r="O631" s="46">
        <v>0</v>
      </c>
      <c r="P631" s="46">
        <v>1</v>
      </c>
      <c r="Q631" s="46">
        <v>12</v>
      </c>
      <c r="R631" s="55">
        <v>86203</v>
      </c>
      <c r="S631" s="46">
        <v>1</v>
      </c>
      <c r="T631" s="55">
        <v>75250</v>
      </c>
      <c r="U631" s="55">
        <f t="shared" si="63"/>
        <v>40700</v>
      </c>
      <c r="V631" s="55">
        <v>1</v>
      </c>
      <c r="W631" s="55">
        <v>99493</v>
      </c>
      <c r="X631" s="46">
        <v>1</v>
      </c>
      <c r="Y631" s="46">
        <v>1</v>
      </c>
      <c r="Z631" s="54">
        <v>0.19439611478312452</v>
      </c>
      <c r="AA631" s="15">
        <f t="shared" si="57"/>
        <v>1.6199676231927043E-2</v>
      </c>
      <c r="AB631" s="15">
        <f t="shared" si="58"/>
        <v>0.19439611478312452</v>
      </c>
      <c r="AC631" t="b">
        <f t="shared" si="59"/>
        <v>1</v>
      </c>
    </row>
    <row r="632" spans="1:29" x14ac:dyDescent="0.25">
      <c r="A632" s="52" t="s">
        <v>259</v>
      </c>
      <c r="B632" s="46">
        <v>30013</v>
      </c>
      <c r="C632" s="47">
        <v>45804</v>
      </c>
      <c r="D632" s="46">
        <v>311500</v>
      </c>
      <c r="E632" s="46">
        <v>2</v>
      </c>
      <c r="F632" s="52" t="s">
        <v>2272</v>
      </c>
      <c r="G632" s="46">
        <v>6</v>
      </c>
      <c r="H632" s="52" t="s">
        <v>784</v>
      </c>
      <c r="I632" s="46"/>
      <c r="J632" s="46">
        <v>0</v>
      </c>
      <c r="K632" s="46"/>
      <c r="L632" s="52" t="s">
        <v>261</v>
      </c>
      <c r="M632" s="55">
        <v>7990000</v>
      </c>
      <c r="N632" s="46">
        <v>72</v>
      </c>
      <c r="O632" s="46">
        <v>0</v>
      </c>
      <c r="P632" s="46">
        <v>1</v>
      </c>
      <c r="Q632" s="46">
        <v>10</v>
      </c>
      <c r="R632" s="55">
        <v>142502</v>
      </c>
      <c r="S632" s="46">
        <v>1</v>
      </c>
      <c r="T632" s="55">
        <v>374550</v>
      </c>
      <c r="U632" s="55">
        <f t="shared" si="63"/>
        <v>91600</v>
      </c>
      <c r="V632" s="55">
        <v>1</v>
      </c>
      <c r="W632" s="55">
        <v>155749</v>
      </c>
      <c r="X632" s="46">
        <v>1</v>
      </c>
      <c r="Y632" s="46">
        <v>1</v>
      </c>
      <c r="Z632" s="54">
        <v>0.14917703292542997</v>
      </c>
      <c r="AA632" s="15">
        <f t="shared" si="57"/>
        <v>1.2431419410452497E-2</v>
      </c>
      <c r="AB632" s="15">
        <f t="shared" si="58"/>
        <v>0.14917703292542997</v>
      </c>
      <c r="AC632" t="b">
        <f t="shared" si="59"/>
        <v>1</v>
      </c>
    </row>
    <row r="633" spans="1:29" x14ac:dyDescent="0.25">
      <c r="A633" s="52" t="s">
        <v>259</v>
      </c>
      <c r="B633" s="46">
        <v>30013</v>
      </c>
      <c r="C633" s="47">
        <v>45804</v>
      </c>
      <c r="D633" s="46">
        <v>321500</v>
      </c>
      <c r="E633" s="46">
        <v>2</v>
      </c>
      <c r="F633" s="52" t="s">
        <v>2273</v>
      </c>
      <c r="G633" s="46">
        <v>6</v>
      </c>
      <c r="H633" s="52" t="s">
        <v>1642</v>
      </c>
      <c r="I633" s="46"/>
      <c r="J633" s="46">
        <v>0</v>
      </c>
      <c r="K633" s="46"/>
      <c r="L633" s="52" t="s">
        <v>686</v>
      </c>
      <c r="M633" s="55">
        <v>474000</v>
      </c>
      <c r="N633" s="46">
        <v>12</v>
      </c>
      <c r="O633" s="46">
        <v>0</v>
      </c>
      <c r="P633" s="46">
        <v>1</v>
      </c>
      <c r="Q633" s="46">
        <v>10</v>
      </c>
      <c r="R633" s="55">
        <v>2818</v>
      </c>
      <c r="S633" s="46">
        <v>1</v>
      </c>
      <c r="T633" s="55">
        <v>0</v>
      </c>
      <c r="U633" s="55">
        <v>21700</v>
      </c>
      <c r="V633" s="55">
        <v>1</v>
      </c>
      <c r="W633" s="55">
        <v>42090</v>
      </c>
      <c r="X633" s="46">
        <v>1</v>
      </c>
      <c r="Y633" s="46">
        <v>1</v>
      </c>
      <c r="Z633" s="54">
        <v>0.22097114567612733</v>
      </c>
      <c r="AA633" s="15">
        <f t="shared" si="57"/>
        <v>1.8414262139677277E-2</v>
      </c>
      <c r="AB633" s="15">
        <f t="shared" si="58"/>
        <v>0.22097114567612733</v>
      </c>
      <c r="AC633" t="b">
        <f t="shared" si="59"/>
        <v>1</v>
      </c>
    </row>
    <row r="634" spans="1:29" x14ac:dyDescent="0.25">
      <c r="A634" s="52" t="s">
        <v>259</v>
      </c>
      <c r="B634" s="46">
        <v>30013</v>
      </c>
      <c r="C634" s="47">
        <v>45804</v>
      </c>
      <c r="D634" s="46">
        <v>311500</v>
      </c>
      <c r="E634" s="46">
        <v>2</v>
      </c>
      <c r="F634" s="52" t="s">
        <v>2274</v>
      </c>
      <c r="G634" s="46">
        <v>6</v>
      </c>
      <c r="H634" s="52" t="s">
        <v>1642</v>
      </c>
      <c r="I634" s="46"/>
      <c r="J634" s="46">
        <v>0</v>
      </c>
      <c r="K634" s="46"/>
      <c r="L634" s="52" t="s">
        <v>1677</v>
      </c>
      <c r="M634" s="55">
        <v>10000000</v>
      </c>
      <c r="N634" s="46">
        <v>48</v>
      </c>
      <c r="O634" s="46">
        <v>0</v>
      </c>
      <c r="P634" s="46">
        <v>1</v>
      </c>
      <c r="Q634" s="46">
        <v>9</v>
      </c>
      <c r="R634" s="55">
        <v>297250</v>
      </c>
      <c r="S634" s="46">
        <v>1</v>
      </c>
      <c r="T634" s="55">
        <v>315000</v>
      </c>
      <c r="U634" s="55">
        <f t="shared" ref="U634:U642" si="64">M634/100+11700</f>
        <v>111700</v>
      </c>
      <c r="V634" s="55">
        <v>1</v>
      </c>
      <c r="W634" s="55">
        <v>257006</v>
      </c>
      <c r="X634" s="46">
        <v>1</v>
      </c>
      <c r="Y634" s="46">
        <v>1</v>
      </c>
      <c r="Z634" s="54">
        <v>0.14754389394740203</v>
      </c>
      <c r="AA634" s="15">
        <f t="shared" si="57"/>
        <v>1.2295324495616836E-2</v>
      </c>
      <c r="AB634" s="15">
        <f t="shared" si="58"/>
        <v>0.14754389394740203</v>
      </c>
      <c r="AC634" t="b">
        <f t="shared" si="59"/>
        <v>1</v>
      </c>
    </row>
    <row r="635" spans="1:29" x14ac:dyDescent="0.25">
      <c r="A635" s="52" t="s">
        <v>259</v>
      </c>
      <c r="B635" s="46">
        <v>30013</v>
      </c>
      <c r="C635" s="47">
        <v>45804</v>
      </c>
      <c r="D635" s="46">
        <v>311500</v>
      </c>
      <c r="E635" s="46">
        <v>2</v>
      </c>
      <c r="F635" s="52" t="s">
        <v>2275</v>
      </c>
      <c r="G635" s="46">
        <v>6</v>
      </c>
      <c r="H635" s="52" t="s">
        <v>784</v>
      </c>
      <c r="I635" s="46"/>
      <c r="J635" s="46">
        <v>0</v>
      </c>
      <c r="K635" s="46"/>
      <c r="L635" s="52" t="s">
        <v>687</v>
      </c>
      <c r="M635" s="55">
        <v>4250000</v>
      </c>
      <c r="N635" s="46">
        <v>60</v>
      </c>
      <c r="O635" s="46">
        <v>0</v>
      </c>
      <c r="P635" s="46">
        <v>1</v>
      </c>
      <c r="Q635" s="46">
        <v>13</v>
      </c>
      <c r="R635" s="55">
        <v>126331</v>
      </c>
      <c r="S635" s="46">
        <v>1</v>
      </c>
      <c r="T635" s="55">
        <v>169375</v>
      </c>
      <c r="U635" s="55">
        <f t="shared" si="64"/>
        <v>54200</v>
      </c>
      <c r="V635" s="55">
        <v>1</v>
      </c>
      <c r="W635" s="55">
        <v>102130</v>
      </c>
      <c r="X635" s="46">
        <v>1</v>
      </c>
      <c r="Y635" s="46">
        <v>1</v>
      </c>
      <c r="Z635" s="54">
        <v>0.19445953104728458</v>
      </c>
      <c r="AA635" s="15">
        <f t="shared" si="57"/>
        <v>1.620496092060705E-2</v>
      </c>
      <c r="AB635" s="15">
        <f t="shared" si="58"/>
        <v>0.19445953104728458</v>
      </c>
      <c r="AC635" t="b">
        <f t="shared" si="59"/>
        <v>1</v>
      </c>
    </row>
    <row r="636" spans="1:29" x14ac:dyDescent="0.25">
      <c r="A636" s="52" t="s">
        <v>259</v>
      </c>
      <c r="B636" s="46">
        <v>30013</v>
      </c>
      <c r="C636" s="47">
        <v>45804</v>
      </c>
      <c r="D636" s="46">
        <v>311500</v>
      </c>
      <c r="E636" s="46">
        <v>2</v>
      </c>
      <c r="F636" s="52" t="s">
        <v>2276</v>
      </c>
      <c r="G636" s="46">
        <v>6</v>
      </c>
      <c r="H636" s="52" t="s">
        <v>784</v>
      </c>
      <c r="I636" s="46"/>
      <c r="J636" s="46">
        <v>0</v>
      </c>
      <c r="K636" s="46"/>
      <c r="L636" s="52" t="s">
        <v>261</v>
      </c>
      <c r="M636" s="55">
        <v>2500000</v>
      </c>
      <c r="N636" s="46">
        <v>60</v>
      </c>
      <c r="O636" s="46">
        <v>0</v>
      </c>
      <c r="P636" s="46">
        <v>1</v>
      </c>
      <c r="Q636" s="46">
        <v>12</v>
      </c>
      <c r="R636" s="55">
        <v>74313</v>
      </c>
      <c r="S636" s="46">
        <v>1</v>
      </c>
      <c r="T636" s="55">
        <v>103750</v>
      </c>
      <c r="U636" s="55">
        <f t="shared" si="64"/>
        <v>36700</v>
      </c>
      <c r="V636" s="55">
        <v>1</v>
      </c>
      <c r="W636" s="55">
        <v>58519</v>
      </c>
      <c r="X636" s="46">
        <v>1</v>
      </c>
      <c r="Y636" s="46">
        <v>1</v>
      </c>
      <c r="Z636" s="54">
        <v>0.18392464278230106</v>
      </c>
      <c r="AA636" s="15">
        <f t="shared" si="57"/>
        <v>1.5327053565191755E-2</v>
      </c>
      <c r="AB636" s="15">
        <f t="shared" si="58"/>
        <v>0.18392464278230106</v>
      </c>
      <c r="AC636" t="b">
        <f t="shared" si="59"/>
        <v>1</v>
      </c>
    </row>
    <row r="637" spans="1:29" x14ac:dyDescent="0.25">
      <c r="A637" s="52" t="s">
        <v>259</v>
      </c>
      <c r="B637" s="46">
        <v>30013</v>
      </c>
      <c r="C637" s="47">
        <v>45804</v>
      </c>
      <c r="D637" s="46">
        <v>311500</v>
      </c>
      <c r="E637" s="46">
        <v>2</v>
      </c>
      <c r="F637" s="52" t="s">
        <v>2277</v>
      </c>
      <c r="G637" s="46">
        <v>6</v>
      </c>
      <c r="H637" s="52" t="s">
        <v>784</v>
      </c>
      <c r="I637" s="46"/>
      <c r="J637" s="46">
        <v>0</v>
      </c>
      <c r="K637" s="46"/>
      <c r="L637" s="52" t="s">
        <v>261</v>
      </c>
      <c r="M637" s="55">
        <v>4000000</v>
      </c>
      <c r="N637" s="46">
        <v>60</v>
      </c>
      <c r="O637" s="46">
        <v>0</v>
      </c>
      <c r="P637" s="46">
        <v>1</v>
      </c>
      <c r="Q637" s="46">
        <v>13</v>
      </c>
      <c r="R637" s="55">
        <v>118900</v>
      </c>
      <c r="S637" s="46">
        <v>1</v>
      </c>
      <c r="T637" s="55">
        <v>160000</v>
      </c>
      <c r="U637" s="55">
        <f t="shared" si="64"/>
        <v>51700</v>
      </c>
      <c r="V637" s="55">
        <v>1</v>
      </c>
      <c r="W637" s="55">
        <v>96122</v>
      </c>
      <c r="X637" s="46">
        <v>1</v>
      </c>
      <c r="Y637" s="46">
        <v>1</v>
      </c>
      <c r="Z637" s="54">
        <v>0.1946225353827844</v>
      </c>
      <c r="AA637" s="15">
        <f t="shared" si="57"/>
        <v>1.6218544615232033E-2</v>
      </c>
      <c r="AB637" s="15">
        <f t="shared" si="58"/>
        <v>0.1946225353827844</v>
      </c>
      <c r="AC637" t="b">
        <f t="shared" si="59"/>
        <v>1</v>
      </c>
    </row>
    <row r="638" spans="1:29" x14ac:dyDescent="0.25">
      <c r="A638" s="52" t="s">
        <v>259</v>
      </c>
      <c r="B638" s="46">
        <v>30013</v>
      </c>
      <c r="C638" s="47">
        <v>45804</v>
      </c>
      <c r="D638" s="46">
        <v>311500</v>
      </c>
      <c r="E638" s="46">
        <v>2</v>
      </c>
      <c r="F638" s="52" t="s">
        <v>2278</v>
      </c>
      <c r="G638" s="46">
        <v>6</v>
      </c>
      <c r="H638" s="52" t="s">
        <v>1642</v>
      </c>
      <c r="I638" s="46"/>
      <c r="J638" s="46">
        <v>0</v>
      </c>
      <c r="K638" s="46"/>
      <c r="L638" s="52" t="s">
        <v>698</v>
      </c>
      <c r="M638" s="55">
        <v>6230000</v>
      </c>
      <c r="N638" s="46">
        <v>60</v>
      </c>
      <c r="O638" s="46">
        <v>0</v>
      </c>
      <c r="P638" s="46">
        <v>1</v>
      </c>
      <c r="Q638" s="46">
        <v>8</v>
      </c>
      <c r="R638" s="55">
        <v>185187</v>
      </c>
      <c r="S638" s="46">
        <v>1</v>
      </c>
      <c r="T638" s="55">
        <v>243625</v>
      </c>
      <c r="U638" s="55">
        <f t="shared" si="64"/>
        <v>74000</v>
      </c>
      <c r="V638" s="55">
        <v>1</v>
      </c>
      <c r="W638" s="55">
        <v>130878</v>
      </c>
      <c r="X638" s="46">
        <v>1</v>
      </c>
      <c r="Y638" s="46">
        <v>1</v>
      </c>
      <c r="Z638" s="54">
        <v>0.1319311443091262</v>
      </c>
      <c r="AA638" s="15">
        <f t="shared" si="57"/>
        <v>1.0994262025760516E-2</v>
      </c>
      <c r="AB638" s="15">
        <f t="shared" si="58"/>
        <v>0.1319311443091262</v>
      </c>
      <c r="AC638" t="b">
        <f t="shared" si="59"/>
        <v>1</v>
      </c>
    </row>
    <row r="639" spans="1:29" x14ac:dyDescent="0.25">
      <c r="A639" s="52" t="s">
        <v>259</v>
      </c>
      <c r="B639" s="46">
        <v>30013</v>
      </c>
      <c r="C639" s="47">
        <v>45804</v>
      </c>
      <c r="D639" s="46">
        <v>311500</v>
      </c>
      <c r="E639" s="46">
        <v>2</v>
      </c>
      <c r="F639" s="52" t="s">
        <v>2279</v>
      </c>
      <c r="G639" s="46">
        <v>6</v>
      </c>
      <c r="H639" s="52" t="s">
        <v>784</v>
      </c>
      <c r="I639" s="46"/>
      <c r="J639" s="46">
        <v>0</v>
      </c>
      <c r="K639" s="46"/>
      <c r="L639" s="52" t="s">
        <v>261</v>
      </c>
      <c r="M639" s="55">
        <v>3000000</v>
      </c>
      <c r="N639" s="46">
        <v>60</v>
      </c>
      <c r="O639" s="46">
        <v>0</v>
      </c>
      <c r="P639" s="46">
        <v>1</v>
      </c>
      <c r="Q639" s="46">
        <v>13</v>
      </c>
      <c r="R639" s="55">
        <v>89175</v>
      </c>
      <c r="S639" s="46">
        <v>1</v>
      </c>
      <c r="T639" s="55">
        <v>122500</v>
      </c>
      <c r="U639" s="55">
        <f t="shared" si="64"/>
        <v>41700</v>
      </c>
      <c r="V639" s="55">
        <v>1</v>
      </c>
      <c r="W639" s="55">
        <v>72091</v>
      </c>
      <c r="X639" s="46">
        <v>1</v>
      </c>
      <c r="Y639" s="46">
        <v>1</v>
      </c>
      <c r="Z639" s="54">
        <v>0.19555421418763996</v>
      </c>
      <c r="AA639" s="15">
        <f t="shared" si="57"/>
        <v>1.6296184515636664E-2</v>
      </c>
      <c r="AB639" s="15">
        <f t="shared" si="58"/>
        <v>0.19555421418763996</v>
      </c>
      <c r="AC639" t="b">
        <f t="shared" si="59"/>
        <v>1</v>
      </c>
    </row>
    <row r="640" spans="1:29" x14ac:dyDescent="0.25">
      <c r="A640" s="52" t="s">
        <v>259</v>
      </c>
      <c r="B640" s="46">
        <v>30013</v>
      </c>
      <c r="C640" s="47">
        <v>45804</v>
      </c>
      <c r="D640" s="46">
        <v>311500</v>
      </c>
      <c r="E640" s="46">
        <v>2</v>
      </c>
      <c r="F640" s="52" t="s">
        <v>2280</v>
      </c>
      <c r="G640" s="46">
        <v>6</v>
      </c>
      <c r="H640" s="52" t="s">
        <v>784</v>
      </c>
      <c r="I640" s="46"/>
      <c r="J640" s="46">
        <v>0</v>
      </c>
      <c r="K640" s="46"/>
      <c r="L640" s="52" t="s">
        <v>261</v>
      </c>
      <c r="M640" s="55">
        <v>3595000</v>
      </c>
      <c r="N640" s="46">
        <v>60</v>
      </c>
      <c r="O640" s="46">
        <v>0</v>
      </c>
      <c r="P640" s="46">
        <v>1</v>
      </c>
      <c r="Q640" s="46">
        <v>12</v>
      </c>
      <c r="R640" s="55">
        <v>106861</v>
      </c>
      <c r="S640" s="46">
        <v>1</v>
      </c>
      <c r="T640" s="55">
        <v>144813</v>
      </c>
      <c r="U640" s="55">
        <f t="shared" si="64"/>
        <v>47650</v>
      </c>
      <c r="V640" s="55">
        <v>1</v>
      </c>
      <c r="W640" s="55">
        <v>84150</v>
      </c>
      <c r="X640" s="46">
        <v>1</v>
      </c>
      <c r="Y640" s="46">
        <v>1</v>
      </c>
      <c r="Z640" s="54">
        <v>0.18257026908274343</v>
      </c>
      <c r="AA640" s="15">
        <f t="shared" si="57"/>
        <v>1.5214189090228619E-2</v>
      </c>
      <c r="AB640" s="15">
        <f t="shared" si="58"/>
        <v>0.18257026908274343</v>
      </c>
      <c r="AC640" t="b">
        <f t="shared" si="59"/>
        <v>1</v>
      </c>
    </row>
    <row r="641" spans="1:29" x14ac:dyDescent="0.25">
      <c r="A641" s="52" t="s">
        <v>259</v>
      </c>
      <c r="B641" s="46">
        <v>30013</v>
      </c>
      <c r="C641" s="47">
        <v>45804</v>
      </c>
      <c r="D641" s="46">
        <v>311500</v>
      </c>
      <c r="E641" s="46">
        <v>2</v>
      </c>
      <c r="F641" s="52" t="s">
        <v>2281</v>
      </c>
      <c r="G641" s="46">
        <v>6</v>
      </c>
      <c r="H641" s="52" t="s">
        <v>1642</v>
      </c>
      <c r="I641" s="46"/>
      <c r="J641" s="46">
        <v>0</v>
      </c>
      <c r="K641" s="46"/>
      <c r="L641" s="52" t="s">
        <v>231</v>
      </c>
      <c r="M641" s="55">
        <v>2830000</v>
      </c>
      <c r="N641" s="46">
        <v>36</v>
      </c>
      <c r="O641" s="46">
        <v>0</v>
      </c>
      <c r="P641" s="46">
        <v>1</v>
      </c>
      <c r="Q641" s="46">
        <v>12</v>
      </c>
      <c r="R641" s="55">
        <v>84122</v>
      </c>
      <c r="S641" s="46">
        <v>1</v>
      </c>
      <c r="T641" s="55">
        <v>73675</v>
      </c>
      <c r="U641" s="55">
        <f t="shared" si="64"/>
        <v>40000</v>
      </c>
      <c r="V641" s="55">
        <v>1</v>
      </c>
      <c r="W641" s="55">
        <v>97091</v>
      </c>
      <c r="X641" s="46">
        <v>1</v>
      </c>
      <c r="Y641" s="46">
        <v>1</v>
      </c>
      <c r="Z641" s="54">
        <v>0.19453736340428396</v>
      </c>
      <c r="AA641" s="15">
        <f t="shared" si="57"/>
        <v>1.6211446950356995E-2</v>
      </c>
      <c r="AB641" s="15">
        <f t="shared" si="58"/>
        <v>0.19453736340428396</v>
      </c>
      <c r="AC641" t="b">
        <f t="shared" si="59"/>
        <v>1</v>
      </c>
    </row>
    <row r="642" spans="1:29" x14ac:dyDescent="0.25">
      <c r="A642" s="52" t="s">
        <v>259</v>
      </c>
      <c r="B642" s="46">
        <v>30013</v>
      </c>
      <c r="C642" s="47">
        <v>45804</v>
      </c>
      <c r="D642" s="46">
        <v>311500</v>
      </c>
      <c r="E642" s="46">
        <v>2</v>
      </c>
      <c r="F642" s="52" t="s">
        <v>2282</v>
      </c>
      <c r="G642" s="46">
        <v>6</v>
      </c>
      <c r="H642" s="52" t="s">
        <v>784</v>
      </c>
      <c r="I642" s="46"/>
      <c r="J642" s="46">
        <v>0</v>
      </c>
      <c r="K642" s="46"/>
      <c r="L642" s="52" t="s">
        <v>261</v>
      </c>
      <c r="M642" s="55">
        <v>3000000</v>
      </c>
      <c r="N642" s="46">
        <v>36</v>
      </c>
      <c r="O642" s="46">
        <v>0</v>
      </c>
      <c r="P642" s="46">
        <v>1</v>
      </c>
      <c r="Q642" s="46">
        <v>13</v>
      </c>
      <c r="R642" s="55">
        <v>89175</v>
      </c>
      <c r="S642" s="46">
        <v>1</v>
      </c>
      <c r="T642" s="55">
        <v>77500</v>
      </c>
      <c r="U642" s="55">
        <f t="shared" si="64"/>
        <v>41700</v>
      </c>
      <c r="V642" s="55">
        <v>1</v>
      </c>
      <c r="W642" s="55">
        <v>104669</v>
      </c>
      <c r="X642" s="46">
        <v>1</v>
      </c>
      <c r="Y642" s="46">
        <v>1</v>
      </c>
      <c r="Z642" s="54">
        <v>0.20646737934629361</v>
      </c>
      <c r="AA642" s="15">
        <f t="shared" si="57"/>
        <v>1.7205614945524469E-2</v>
      </c>
      <c r="AB642" s="15">
        <f t="shared" si="58"/>
        <v>0.20646737934629361</v>
      </c>
      <c r="AC642" t="b">
        <f t="shared" si="59"/>
        <v>1</v>
      </c>
    </row>
    <row r="643" spans="1:29" x14ac:dyDescent="0.25">
      <c r="A643" s="52" t="s">
        <v>259</v>
      </c>
      <c r="B643" s="46">
        <v>30013</v>
      </c>
      <c r="C643" s="47">
        <v>45804</v>
      </c>
      <c r="D643" s="46">
        <v>321500</v>
      </c>
      <c r="E643" s="46">
        <v>2</v>
      </c>
      <c r="F643" s="52" t="s">
        <v>2283</v>
      </c>
      <c r="G643" s="46">
        <v>6</v>
      </c>
      <c r="H643" s="52" t="s">
        <v>784</v>
      </c>
      <c r="I643" s="46"/>
      <c r="J643" s="46">
        <v>0</v>
      </c>
      <c r="K643" s="46"/>
      <c r="L643" s="52" t="s">
        <v>710</v>
      </c>
      <c r="M643" s="55">
        <v>570000</v>
      </c>
      <c r="N643" s="46">
        <v>12</v>
      </c>
      <c r="O643" s="46">
        <v>0</v>
      </c>
      <c r="P643" s="46">
        <v>1</v>
      </c>
      <c r="Q643" s="46">
        <v>10</v>
      </c>
      <c r="R643" s="55">
        <v>5422</v>
      </c>
      <c r="S643" s="46">
        <v>1</v>
      </c>
      <c r="T643" s="55">
        <v>0</v>
      </c>
      <c r="U643" s="55">
        <v>21700</v>
      </c>
      <c r="V643" s="55">
        <v>1</v>
      </c>
      <c r="W643" s="55">
        <v>50614</v>
      </c>
      <c r="X643" s="46">
        <v>1</v>
      </c>
      <c r="Y643" s="46">
        <v>1</v>
      </c>
      <c r="Z643" s="54">
        <v>0.21247780021440382</v>
      </c>
      <c r="AA643" s="15">
        <f t="shared" si="57"/>
        <v>1.7706483351200317E-2</v>
      </c>
      <c r="AB643" s="15">
        <f t="shared" si="58"/>
        <v>0.21247780021440382</v>
      </c>
      <c r="AC643" t="b">
        <f t="shared" si="59"/>
        <v>1</v>
      </c>
    </row>
    <row r="644" spans="1:29" x14ac:dyDescent="0.25">
      <c r="A644" s="52" t="s">
        <v>259</v>
      </c>
      <c r="B644" s="46">
        <v>30013</v>
      </c>
      <c r="C644" s="47">
        <v>45804</v>
      </c>
      <c r="D644" s="46">
        <v>321500</v>
      </c>
      <c r="E644" s="46">
        <v>2</v>
      </c>
      <c r="F644" s="52" t="s">
        <v>2284</v>
      </c>
      <c r="G644" s="46">
        <v>6</v>
      </c>
      <c r="H644" s="52" t="s">
        <v>1642</v>
      </c>
      <c r="I644" s="46"/>
      <c r="J644" s="46">
        <v>0</v>
      </c>
      <c r="K644" s="46"/>
      <c r="L644" s="52" t="s">
        <v>231</v>
      </c>
      <c r="M644" s="55">
        <v>1000000</v>
      </c>
      <c r="N644" s="46">
        <v>12</v>
      </c>
      <c r="O644" s="46">
        <v>0</v>
      </c>
      <c r="P644" s="46">
        <v>1</v>
      </c>
      <c r="Q644" s="46">
        <v>10</v>
      </c>
      <c r="R644" s="55">
        <v>11890</v>
      </c>
      <c r="S644" s="46">
        <v>1</v>
      </c>
      <c r="T644" s="55">
        <v>0</v>
      </c>
      <c r="U644" s="55">
        <f t="shared" ref="U644:U656" si="65">M644/100+11700</f>
        <v>21700</v>
      </c>
      <c r="V644" s="55">
        <v>1</v>
      </c>
      <c r="W644" s="55">
        <v>88797</v>
      </c>
      <c r="X644" s="46">
        <v>1</v>
      </c>
      <c r="Y644" s="46">
        <v>1</v>
      </c>
      <c r="Z644" s="54">
        <v>0.18427066427090119</v>
      </c>
      <c r="AA644" s="15">
        <f t="shared" ref="AA644:AA707" si="66">RATE(N644,-W644,M644-R644-T644-U644)</f>
        <v>1.5355888689241766E-2</v>
      </c>
      <c r="AB644" s="15">
        <f t="shared" ref="AB644:AB707" si="67">IF(P644=1,AA644*12,IF(P644=2,AA644*4,IF(P644=3,AA644*2,AA644)))</f>
        <v>0.18427066427090119</v>
      </c>
      <c r="AC644" t="b">
        <f t="shared" ref="AC644:AC707" si="68">AB644=Z644</f>
        <v>1</v>
      </c>
    </row>
    <row r="645" spans="1:29" x14ac:dyDescent="0.25">
      <c r="A645" s="52" t="s">
        <v>259</v>
      </c>
      <c r="B645" s="46">
        <v>30013</v>
      </c>
      <c r="C645" s="47">
        <v>45805</v>
      </c>
      <c r="D645" s="46">
        <v>311500</v>
      </c>
      <c r="E645" s="46">
        <v>2</v>
      </c>
      <c r="F645" s="52" t="s">
        <v>2285</v>
      </c>
      <c r="G645" s="46">
        <v>6</v>
      </c>
      <c r="H645" s="52" t="s">
        <v>784</v>
      </c>
      <c r="I645" s="46"/>
      <c r="J645" s="46">
        <v>0</v>
      </c>
      <c r="K645" s="46"/>
      <c r="L645" s="52" t="s">
        <v>270</v>
      </c>
      <c r="M645" s="55">
        <v>5100000</v>
      </c>
      <c r="N645" s="46">
        <v>48</v>
      </c>
      <c r="O645" s="46">
        <v>0</v>
      </c>
      <c r="P645" s="46">
        <v>1</v>
      </c>
      <c r="Q645" s="46">
        <v>8</v>
      </c>
      <c r="R645" s="55">
        <v>151598</v>
      </c>
      <c r="S645" s="46">
        <v>1</v>
      </c>
      <c r="T645" s="55">
        <v>163000</v>
      </c>
      <c r="U645" s="55">
        <f t="shared" si="65"/>
        <v>62700</v>
      </c>
      <c r="V645" s="55">
        <v>1</v>
      </c>
      <c r="W645" s="55">
        <v>128157</v>
      </c>
      <c r="X645" s="46">
        <v>1</v>
      </c>
      <c r="Y645" s="46">
        <v>1</v>
      </c>
      <c r="Z645" s="54">
        <v>0.13620266985891624</v>
      </c>
      <c r="AA645" s="15">
        <f t="shared" si="66"/>
        <v>1.1350222488243021E-2</v>
      </c>
      <c r="AB645" s="15">
        <f t="shared" si="67"/>
        <v>0.13620266985891624</v>
      </c>
      <c r="AC645" t="b">
        <f t="shared" si="68"/>
        <v>1</v>
      </c>
    </row>
    <row r="646" spans="1:29" x14ac:dyDescent="0.25">
      <c r="A646" s="52" t="s">
        <v>259</v>
      </c>
      <c r="B646" s="46">
        <v>30013</v>
      </c>
      <c r="C646" s="47">
        <v>45805</v>
      </c>
      <c r="D646" s="46">
        <v>311500</v>
      </c>
      <c r="E646" s="46">
        <v>2</v>
      </c>
      <c r="F646" s="52" t="s">
        <v>2286</v>
      </c>
      <c r="G646" s="46">
        <v>6</v>
      </c>
      <c r="H646" s="52" t="s">
        <v>784</v>
      </c>
      <c r="I646" s="46"/>
      <c r="J646" s="46">
        <v>0</v>
      </c>
      <c r="K646" s="46"/>
      <c r="L646" s="52" t="s">
        <v>261</v>
      </c>
      <c r="M646" s="55">
        <v>4050000</v>
      </c>
      <c r="N646" s="46">
        <v>60</v>
      </c>
      <c r="O646" s="46">
        <v>0</v>
      </c>
      <c r="P646" s="46">
        <v>1</v>
      </c>
      <c r="Q646" s="46">
        <v>12</v>
      </c>
      <c r="R646" s="55">
        <v>120386</v>
      </c>
      <c r="S646" s="46">
        <v>1</v>
      </c>
      <c r="T646" s="55">
        <v>161875</v>
      </c>
      <c r="U646" s="55">
        <f t="shared" si="65"/>
        <v>52200</v>
      </c>
      <c r="V646" s="55">
        <v>1</v>
      </c>
      <c r="W646" s="55">
        <v>94800</v>
      </c>
      <c r="X646" s="46">
        <v>1</v>
      </c>
      <c r="Y646" s="46">
        <v>1</v>
      </c>
      <c r="Z646" s="54">
        <v>0.18222216935649427</v>
      </c>
      <c r="AA646" s="15">
        <f t="shared" si="66"/>
        <v>1.5185180779707857E-2</v>
      </c>
      <c r="AB646" s="15">
        <f t="shared" si="67"/>
        <v>0.18222216935649427</v>
      </c>
      <c r="AC646" t="b">
        <f t="shared" si="68"/>
        <v>1</v>
      </c>
    </row>
    <row r="647" spans="1:29" x14ac:dyDescent="0.25">
      <c r="A647" s="52" t="s">
        <v>259</v>
      </c>
      <c r="B647" s="46">
        <v>30013</v>
      </c>
      <c r="C647" s="47">
        <v>45805</v>
      </c>
      <c r="D647" s="46">
        <v>311500</v>
      </c>
      <c r="E647" s="46">
        <v>2</v>
      </c>
      <c r="F647" s="52" t="s">
        <v>2287</v>
      </c>
      <c r="G647" s="46">
        <v>6</v>
      </c>
      <c r="H647" s="52" t="s">
        <v>784</v>
      </c>
      <c r="I647" s="46"/>
      <c r="J647" s="46">
        <v>0</v>
      </c>
      <c r="K647" s="46"/>
      <c r="L647" s="52" t="s">
        <v>687</v>
      </c>
      <c r="M647" s="55">
        <v>2591000</v>
      </c>
      <c r="N647" s="46">
        <v>36</v>
      </c>
      <c r="O647" s="46">
        <v>0</v>
      </c>
      <c r="P647" s="46">
        <v>1</v>
      </c>
      <c r="Q647" s="46">
        <v>13</v>
      </c>
      <c r="R647" s="55">
        <v>77017</v>
      </c>
      <c r="S647" s="46">
        <v>1</v>
      </c>
      <c r="T647" s="55">
        <v>68298</v>
      </c>
      <c r="U647" s="55">
        <f t="shared" si="65"/>
        <v>37610</v>
      </c>
      <c r="V647" s="55">
        <v>1</v>
      </c>
      <c r="W647" s="55">
        <v>90399</v>
      </c>
      <c r="X647" s="46">
        <v>1</v>
      </c>
      <c r="Y647" s="46">
        <v>1</v>
      </c>
      <c r="Z647" s="54">
        <v>0.20736562084992882</v>
      </c>
      <c r="AA647" s="15">
        <f t="shared" si="66"/>
        <v>1.7280468404160736E-2</v>
      </c>
      <c r="AB647" s="15">
        <f t="shared" si="67"/>
        <v>0.20736562084992882</v>
      </c>
      <c r="AC647" t="b">
        <f t="shared" si="68"/>
        <v>1</v>
      </c>
    </row>
    <row r="648" spans="1:29" x14ac:dyDescent="0.25">
      <c r="A648" s="52" t="s">
        <v>259</v>
      </c>
      <c r="B648" s="46">
        <v>30013</v>
      </c>
      <c r="C648" s="47">
        <v>45805</v>
      </c>
      <c r="D648" s="46">
        <v>311730</v>
      </c>
      <c r="E648" s="46">
        <v>2</v>
      </c>
      <c r="F648" s="52" t="s">
        <v>2288</v>
      </c>
      <c r="G648" s="46">
        <v>6</v>
      </c>
      <c r="H648" s="52" t="s">
        <v>784</v>
      </c>
      <c r="I648" s="46"/>
      <c r="J648" s="46">
        <v>0</v>
      </c>
      <c r="K648" s="46"/>
      <c r="L648" s="52" t="s">
        <v>693</v>
      </c>
      <c r="M648" s="55">
        <v>9475000</v>
      </c>
      <c r="N648" s="46">
        <v>26</v>
      </c>
      <c r="O648" s="46">
        <v>0</v>
      </c>
      <c r="P648" s="46">
        <v>1</v>
      </c>
      <c r="Q648" s="46">
        <v>8</v>
      </c>
      <c r="R648" s="55">
        <v>40723</v>
      </c>
      <c r="S648" s="46">
        <v>1</v>
      </c>
      <c r="T648" s="55">
        <v>0</v>
      </c>
      <c r="U648" s="55">
        <f t="shared" si="65"/>
        <v>106450</v>
      </c>
      <c r="V648" s="55">
        <v>1</v>
      </c>
      <c r="W648" s="55">
        <v>404702</v>
      </c>
      <c r="X648" s="46">
        <v>1</v>
      </c>
      <c r="Y648" s="46">
        <v>1</v>
      </c>
      <c r="Z648" s="54">
        <v>0.10966864226417457</v>
      </c>
      <c r="AA648" s="15">
        <f t="shared" si="66"/>
        <v>9.1390535220145473E-3</v>
      </c>
      <c r="AB648" s="15">
        <f t="shared" si="67"/>
        <v>0.10966864226417457</v>
      </c>
      <c r="AC648" t="b">
        <f t="shared" si="68"/>
        <v>1</v>
      </c>
    </row>
    <row r="649" spans="1:29" x14ac:dyDescent="0.25">
      <c r="A649" s="52" t="s">
        <v>259</v>
      </c>
      <c r="B649" s="46">
        <v>30013</v>
      </c>
      <c r="C649" s="47">
        <v>45805</v>
      </c>
      <c r="D649" s="46">
        <v>311500</v>
      </c>
      <c r="E649" s="46">
        <v>2</v>
      </c>
      <c r="F649" s="52" t="s">
        <v>2289</v>
      </c>
      <c r="G649" s="46">
        <v>6</v>
      </c>
      <c r="H649" s="52" t="s">
        <v>784</v>
      </c>
      <c r="I649" s="46"/>
      <c r="J649" s="46">
        <v>0</v>
      </c>
      <c r="K649" s="46"/>
      <c r="L649" s="52" t="s">
        <v>700</v>
      </c>
      <c r="M649" s="55">
        <v>4100000</v>
      </c>
      <c r="N649" s="46">
        <v>60</v>
      </c>
      <c r="O649" s="46">
        <v>0</v>
      </c>
      <c r="P649" s="46">
        <v>1</v>
      </c>
      <c r="Q649" s="46">
        <v>12</v>
      </c>
      <c r="R649" s="55">
        <v>121873</v>
      </c>
      <c r="S649" s="46">
        <v>1</v>
      </c>
      <c r="T649" s="55">
        <v>163750</v>
      </c>
      <c r="U649" s="55">
        <f t="shared" si="65"/>
        <v>52700</v>
      </c>
      <c r="V649" s="55">
        <v>1</v>
      </c>
      <c r="W649" s="55">
        <v>95970</v>
      </c>
      <c r="X649" s="46">
        <v>1</v>
      </c>
      <c r="Y649" s="46">
        <v>1</v>
      </c>
      <c r="Z649" s="54">
        <v>0.18218713952519838</v>
      </c>
      <c r="AA649" s="15">
        <f t="shared" si="66"/>
        <v>1.5182261627099864E-2</v>
      </c>
      <c r="AB649" s="15">
        <f t="shared" si="67"/>
        <v>0.18218713952519838</v>
      </c>
      <c r="AC649" t="b">
        <f t="shared" si="68"/>
        <v>1</v>
      </c>
    </row>
    <row r="650" spans="1:29" x14ac:dyDescent="0.25">
      <c r="A650" s="52" t="s">
        <v>259</v>
      </c>
      <c r="B650" s="46">
        <v>30013</v>
      </c>
      <c r="C650" s="47">
        <v>45805</v>
      </c>
      <c r="D650" s="46">
        <v>311500</v>
      </c>
      <c r="E650" s="46">
        <v>2</v>
      </c>
      <c r="F650" s="52" t="s">
        <v>712</v>
      </c>
      <c r="G650" s="46">
        <v>6</v>
      </c>
      <c r="H650" s="52" t="s">
        <v>1642</v>
      </c>
      <c r="I650" s="46"/>
      <c r="J650" s="46">
        <v>0</v>
      </c>
      <c r="K650" s="46"/>
      <c r="L650" s="52" t="s">
        <v>700</v>
      </c>
      <c r="M650" s="55">
        <v>3149000</v>
      </c>
      <c r="N650" s="46">
        <v>48</v>
      </c>
      <c r="O650" s="46">
        <v>0</v>
      </c>
      <c r="P650" s="46">
        <v>1</v>
      </c>
      <c r="Q650" s="46">
        <v>12</v>
      </c>
      <c r="R650" s="55">
        <v>93604</v>
      </c>
      <c r="S650" s="46">
        <v>1</v>
      </c>
      <c r="T650" s="55">
        <v>104470</v>
      </c>
      <c r="U650" s="55">
        <f t="shared" si="65"/>
        <v>43190</v>
      </c>
      <c r="V650" s="55">
        <v>1</v>
      </c>
      <c r="W650" s="55">
        <v>86475</v>
      </c>
      <c r="X650" s="46">
        <v>1</v>
      </c>
      <c r="Y650" s="46">
        <v>1</v>
      </c>
      <c r="Z650" s="54">
        <v>0.18695418837707029</v>
      </c>
      <c r="AA650" s="15">
        <f t="shared" si="66"/>
        <v>1.5579515698089189E-2</v>
      </c>
      <c r="AB650" s="15">
        <f t="shared" si="67"/>
        <v>0.18695418837707029</v>
      </c>
      <c r="AC650" t="b">
        <f t="shared" si="68"/>
        <v>1</v>
      </c>
    </row>
    <row r="651" spans="1:29" x14ac:dyDescent="0.25">
      <c r="A651" s="52" t="s">
        <v>259</v>
      </c>
      <c r="B651" s="46">
        <v>30013</v>
      </c>
      <c r="C651" s="47">
        <v>45805</v>
      </c>
      <c r="D651" s="46">
        <v>311500</v>
      </c>
      <c r="E651" s="46">
        <v>2</v>
      </c>
      <c r="F651" s="52" t="s">
        <v>2290</v>
      </c>
      <c r="G651" s="46">
        <v>6</v>
      </c>
      <c r="H651" s="52" t="s">
        <v>784</v>
      </c>
      <c r="I651" s="46"/>
      <c r="J651" s="46">
        <v>0</v>
      </c>
      <c r="K651" s="46"/>
      <c r="L651" s="52" t="s">
        <v>270</v>
      </c>
      <c r="M651" s="55">
        <v>5150000</v>
      </c>
      <c r="N651" s="46">
        <v>48</v>
      </c>
      <c r="O651" s="46">
        <v>0</v>
      </c>
      <c r="P651" s="46">
        <v>1</v>
      </c>
      <c r="Q651" s="46">
        <v>8</v>
      </c>
      <c r="R651" s="55">
        <v>153084</v>
      </c>
      <c r="S651" s="46">
        <v>1</v>
      </c>
      <c r="T651" s="55">
        <v>164500</v>
      </c>
      <c r="U651" s="55">
        <f t="shared" si="65"/>
        <v>63200</v>
      </c>
      <c r="V651" s="55">
        <v>1</v>
      </c>
      <c r="W651" s="55">
        <v>129414</v>
      </c>
      <c r="X651" s="46">
        <v>1</v>
      </c>
      <c r="Y651" s="46">
        <v>1</v>
      </c>
      <c r="Z651" s="54">
        <v>0.13618075741664321</v>
      </c>
      <c r="AA651" s="15">
        <f t="shared" si="66"/>
        <v>1.1348396451386935E-2</v>
      </c>
      <c r="AB651" s="15">
        <f t="shared" si="67"/>
        <v>0.13618075741664321</v>
      </c>
      <c r="AC651" t="b">
        <f t="shared" si="68"/>
        <v>1</v>
      </c>
    </row>
    <row r="652" spans="1:29" x14ac:dyDescent="0.25">
      <c r="A652" s="52" t="s">
        <v>259</v>
      </c>
      <c r="B652" s="46">
        <v>30013</v>
      </c>
      <c r="C652" s="47">
        <v>45805</v>
      </c>
      <c r="D652" s="46">
        <v>321300</v>
      </c>
      <c r="E652" s="46">
        <v>2</v>
      </c>
      <c r="F652" s="52" t="s">
        <v>2291</v>
      </c>
      <c r="G652" s="46">
        <v>6</v>
      </c>
      <c r="H652" s="52" t="s">
        <v>784</v>
      </c>
      <c r="I652" s="46"/>
      <c r="J652" s="46">
        <v>0</v>
      </c>
      <c r="K652" s="46"/>
      <c r="L652" s="52" t="s">
        <v>266</v>
      </c>
      <c r="M652" s="55">
        <v>10000000</v>
      </c>
      <c r="N652" s="46">
        <v>24</v>
      </c>
      <c r="O652" s="46">
        <v>0</v>
      </c>
      <c r="P652" s="46">
        <v>1</v>
      </c>
      <c r="Q652" s="46">
        <v>8</v>
      </c>
      <c r="R652" s="55">
        <v>297250</v>
      </c>
      <c r="S652" s="46">
        <v>1</v>
      </c>
      <c r="T652" s="55">
        <v>165000</v>
      </c>
      <c r="U652" s="55">
        <f t="shared" si="65"/>
        <v>111700</v>
      </c>
      <c r="V652" s="55">
        <v>1</v>
      </c>
      <c r="W652" s="55">
        <v>459200</v>
      </c>
      <c r="X652" s="46">
        <v>1</v>
      </c>
      <c r="Y652" s="46">
        <v>1</v>
      </c>
      <c r="Z652" s="54">
        <v>0.15482192211471621</v>
      </c>
      <c r="AA652" s="15">
        <f t="shared" si="66"/>
        <v>1.2901826842893017E-2</v>
      </c>
      <c r="AB652" s="15">
        <f t="shared" si="67"/>
        <v>0.15482192211471621</v>
      </c>
      <c r="AC652" t="b">
        <f t="shared" si="68"/>
        <v>1</v>
      </c>
    </row>
    <row r="653" spans="1:29" x14ac:dyDescent="0.25">
      <c r="A653" s="52" t="s">
        <v>259</v>
      </c>
      <c r="B653" s="46">
        <v>30013</v>
      </c>
      <c r="C653" s="47">
        <v>45805</v>
      </c>
      <c r="D653" s="46">
        <v>311500</v>
      </c>
      <c r="E653" s="46">
        <v>2</v>
      </c>
      <c r="F653" s="52" t="s">
        <v>2292</v>
      </c>
      <c r="G653" s="46">
        <v>6</v>
      </c>
      <c r="H653" s="52" t="s">
        <v>784</v>
      </c>
      <c r="I653" s="46"/>
      <c r="J653" s="46">
        <v>0</v>
      </c>
      <c r="K653" s="46"/>
      <c r="L653" s="52" t="s">
        <v>261</v>
      </c>
      <c r="M653" s="55">
        <v>3000000</v>
      </c>
      <c r="N653" s="46">
        <v>48</v>
      </c>
      <c r="O653" s="46">
        <v>0</v>
      </c>
      <c r="P653" s="46">
        <v>1</v>
      </c>
      <c r="Q653" s="46">
        <v>12</v>
      </c>
      <c r="R653" s="55">
        <v>89175</v>
      </c>
      <c r="S653" s="46">
        <v>1</v>
      </c>
      <c r="T653" s="55">
        <v>100000</v>
      </c>
      <c r="U653" s="55">
        <f t="shared" si="65"/>
        <v>41700</v>
      </c>
      <c r="V653" s="55">
        <v>1</v>
      </c>
      <c r="W653" s="55">
        <v>82383</v>
      </c>
      <c r="X653" s="46">
        <v>1</v>
      </c>
      <c r="Y653" s="46">
        <v>1</v>
      </c>
      <c r="Z653" s="54">
        <v>0.18716173204207004</v>
      </c>
      <c r="AA653" s="15">
        <f t="shared" si="66"/>
        <v>1.5596811003505837E-2</v>
      </c>
      <c r="AB653" s="15">
        <f t="shared" si="67"/>
        <v>0.18716173204207004</v>
      </c>
      <c r="AC653" t="b">
        <f t="shared" si="68"/>
        <v>1</v>
      </c>
    </row>
    <row r="654" spans="1:29" x14ac:dyDescent="0.25">
      <c r="A654" s="52" t="s">
        <v>259</v>
      </c>
      <c r="B654" s="46">
        <v>30013</v>
      </c>
      <c r="C654" s="47">
        <v>45805</v>
      </c>
      <c r="D654" s="46">
        <v>311500</v>
      </c>
      <c r="E654" s="46">
        <v>2</v>
      </c>
      <c r="F654" s="52" t="s">
        <v>2293</v>
      </c>
      <c r="G654" s="46">
        <v>6</v>
      </c>
      <c r="H654" s="52" t="s">
        <v>784</v>
      </c>
      <c r="I654" s="46"/>
      <c r="J654" s="46">
        <v>0</v>
      </c>
      <c r="K654" s="46"/>
      <c r="L654" s="52" t="s">
        <v>261</v>
      </c>
      <c r="M654" s="55">
        <v>5100000</v>
      </c>
      <c r="N654" s="46">
        <v>60</v>
      </c>
      <c r="O654" s="46">
        <v>0</v>
      </c>
      <c r="P654" s="46">
        <v>1</v>
      </c>
      <c r="Q654" s="46">
        <v>12</v>
      </c>
      <c r="R654" s="55">
        <v>151598</v>
      </c>
      <c r="S654" s="46">
        <v>1</v>
      </c>
      <c r="T654" s="55">
        <v>201250</v>
      </c>
      <c r="U654" s="55">
        <f t="shared" si="65"/>
        <v>62700</v>
      </c>
      <c r="V654" s="55">
        <v>1</v>
      </c>
      <c r="W654" s="55">
        <v>119378</v>
      </c>
      <c r="X654" s="46">
        <v>1</v>
      </c>
      <c r="Y654" s="46">
        <v>1</v>
      </c>
      <c r="Z654" s="54">
        <v>0.18166109772537459</v>
      </c>
      <c r="AA654" s="15">
        <f t="shared" si="66"/>
        <v>1.5138424810447882E-2</v>
      </c>
      <c r="AB654" s="15">
        <f t="shared" si="67"/>
        <v>0.18166109772537459</v>
      </c>
      <c r="AC654" t="b">
        <f t="shared" si="68"/>
        <v>1</v>
      </c>
    </row>
    <row r="655" spans="1:29" x14ac:dyDescent="0.25">
      <c r="A655" s="52" t="s">
        <v>259</v>
      </c>
      <c r="B655" s="46">
        <v>30013</v>
      </c>
      <c r="C655" s="47">
        <v>45805</v>
      </c>
      <c r="D655" s="46">
        <v>311500</v>
      </c>
      <c r="E655" s="46">
        <v>2</v>
      </c>
      <c r="F655" s="52" t="s">
        <v>2294</v>
      </c>
      <c r="G655" s="46">
        <v>6</v>
      </c>
      <c r="H655" s="52" t="s">
        <v>784</v>
      </c>
      <c r="I655" s="46"/>
      <c r="J655" s="46">
        <v>0</v>
      </c>
      <c r="K655" s="46"/>
      <c r="L655" s="52" t="s">
        <v>261</v>
      </c>
      <c r="M655" s="55">
        <v>4650000</v>
      </c>
      <c r="N655" s="46">
        <v>60</v>
      </c>
      <c r="O655" s="46">
        <v>0</v>
      </c>
      <c r="P655" s="46">
        <v>1</v>
      </c>
      <c r="Q655" s="46">
        <v>12</v>
      </c>
      <c r="R655" s="55">
        <v>138221</v>
      </c>
      <c r="S655" s="46">
        <v>1</v>
      </c>
      <c r="T655" s="55">
        <v>184375</v>
      </c>
      <c r="U655" s="55">
        <f t="shared" si="65"/>
        <v>58200</v>
      </c>
      <c r="V655" s="55">
        <v>1</v>
      </c>
      <c r="W655" s="55">
        <v>108845</v>
      </c>
      <c r="X655" s="46">
        <v>1</v>
      </c>
      <c r="Y655" s="46">
        <v>1</v>
      </c>
      <c r="Z655" s="54">
        <v>0.1818722090144107</v>
      </c>
      <c r="AA655" s="15">
        <f t="shared" si="66"/>
        <v>1.5156017417867557E-2</v>
      </c>
      <c r="AB655" s="15">
        <f t="shared" si="67"/>
        <v>0.1818722090144107</v>
      </c>
      <c r="AC655" t="b">
        <f t="shared" si="68"/>
        <v>1</v>
      </c>
    </row>
    <row r="656" spans="1:29" x14ac:dyDescent="0.25">
      <c r="A656" s="52" t="s">
        <v>259</v>
      </c>
      <c r="B656" s="46">
        <v>30013</v>
      </c>
      <c r="C656" s="47">
        <v>45805</v>
      </c>
      <c r="D656" s="46">
        <v>311730</v>
      </c>
      <c r="E656" s="46">
        <v>2</v>
      </c>
      <c r="F656" s="52" t="s">
        <v>2295</v>
      </c>
      <c r="G656" s="46">
        <v>6</v>
      </c>
      <c r="H656" s="52" t="s">
        <v>784</v>
      </c>
      <c r="I656" s="46"/>
      <c r="J656" s="46">
        <v>0</v>
      </c>
      <c r="K656" s="46"/>
      <c r="L656" s="52" t="s">
        <v>693</v>
      </c>
      <c r="M656" s="55">
        <v>8380000</v>
      </c>
      <c r="N656" s="46">
        <v>52</v>
      </c>
      <c r="O656" s="46">
        <v>0</v>
      </c>
      <c r="P656" s="46">
        <v>1</v>
      </c>
      <c r="Q656" s="46">
        <v>8</v>
      </c>
      <c r="R656" s="55">
        <v>40723</v>
      </c>
      <c r="S656" s="46">
        <v>1</v>
      </c>
      <c r="T656" s="55">
        <v>18903</v>
      </c>
      <c r="U656" s="55">
        <f t="shared" si="65"/>
        <v>95500</v>
      </c>
      <c r="V656" s="55">
        <v>1</v>
      </c>
      <c r="W656" s="55">
        <v>197271</v>
      </c>
      <c r="X656" s="46">
        <v>1</v>
      </c>
      <c r="Y656" s="46">
        <v>1</v>
      </c>
      <c r="Z656" s="54">
        <v>0.1042953794131527</v>
      </c>
      <c r="AA656" s="15">
        <f t="shared" si="66"/>
        <v>8.691281617762725E-3</v>
      </c>
      <c r="AB656" s="15">
        <f t="shared" si="67"/>
        <v>0.1042953794131527</v>
      </c>
      <c r="AC656" t="b">
        <f t="shared" si="68"/>
        <v>1</v>
      </c>
    </row>
    <row r="657" spans="1:29" x14ac:dyDescent="0.25">
      <c r="A657" s="52" t="s">
        <v>259</v>
      </c>
      <c r="B657" s="46">
        <v>30013</v>
      </c>
      <c r="C657" s="47">
        <v>45805</v>
      </c>
      <c r="D657" s="46">
        <v>321500</v>
      </c>
      <c r="E657" s="46">
        <v>2</v>
      </c>
      <c r="F657" s="52" t="s">
        <v>2296</v>
      </c>
      <c r="G657" s="46">
        <v>6</v>
      </c>
      <c r="H657" s="52" t="s">
        <v>1650</v>
      </c>
      <c r="I657" s="46"/>
      <c r="J657" s="46">
        <v>0</v>
      </c>
      <c r="K657" s="46"/>
      <c r="L657" s="52" t="s">
        <v>261</v>
      </c>
      <c r="M657" s="55">
        <v>410000</v>
      </c>
      <c r="N657" s="46">
        <v>12</v>
      </c>
      <c r="O657" s="46">
        <v>0</v>
      </c>
      <c r="P657" s="46">
        <v>1</v>
      </c>
      <c r="Q657" s="46">
        <v>10</v>
      </c>
      <c r="R657" s="55">
        <v>975</v>
      </c>
      <c r="S657" s="46">
        <v>1</v>
      </c>
      <c r="T657" s="55">
        <v>0</v>
      </c>
      <c r="U657" s="55">
        <v>21700</v>
      </c>
      <c r="V657" s="55">
        <v>1</v>
      </c>
      <c r="W657" s="55">
        <v>36407</v>
      </c>
      <c r="X657" s="46">
        <v>1</v>
      </c>
      <c r="Y657" s="46">
        <v>1</v>
      </c>
      <c r="Z657" s="54">
        <v>0.22833526422402844</v>
      </c>
      <c r="AA657" s="15">
        <f t="shared" si="66"/>
        <v>1.9027938685335703E-2</v>
      </c>
      <c r="AB657" s="15">
        <f t="shared" si="67"/>
        <v>0.22833526422402844</v>
      </c>
      <c r="AC657" t="b">
        <f t="shared" si="68"/>
        <v>1</v>
      </c>
    </row>
    <row r="658" spans="1:29" x14ac:dyDescent="0.25">
      <c r="A658" s="52" t="s">
        <v>259</v>
      </c>
      <c r="B658" s="46">
        <v>30013</v>
      </c>
      <c r="C658" s="47">
        <v>45805</v>
      </c>
      <c r="D658" s="46">
        <v>311500</v>
      </c>
      <c r="E658" s="46">
        <v>2</v>
      </c>
      <c r="F658" s="52" t="s">
        <v>2297</v>
      </c>
      <c r="G658" s="46">
        <v>6</v>
      </c>
      <c r="H658" s="52" t="s">
        <v>784</v>
      </c>
      <c r="I658" s="46"/>
      <c r="J658" s="46">
        <v>0</v>
      </c>
      <c r="K658" s="46"/>
      <c r="L658" s="52" t="s">
        <v>261</v>
      </c>
      <c r="M658" s="55">
        <v>3710000</v>
      </c>
      <c r="N658" s="46">
        <v>60</v>
      </c>
      <c r="O658" s="46">
        <v>0</v>
      </c>
      <c r="P658" s="46">
        <v>1</v>
      </c>
      <c r="Q658" s="46">
        <v>12</v>
      </c>
      <c r="R658" s="55">
        <v>110280</v>
      </c>
      <c r="S658" s="46">
        <v>1</v>
      </c>
      <c r="T658" s="55">
        <v>149125</v>
      </c>
      <c r="U658" s="55">
        <f>M658/100+11700</f>
        <v>48800</v>
      </c>
      <c r="V658" s="55">
        <v>1</v>
      </c>
      <c r="W658" s="55">
        <v>86842</v>
      </c>
      <c r="X658" s="46">
        <v>1</v>
      </c>
      <c r="Y658" s="46">
        <v>1</v>
      </c>
      <c r="Z658" s="54">
        <v>0.18247552022656352</v>
      </c>
      <c r="AA658" s="15">
        <f t="shared" si="66"/>
        <v>1.5206293352213627E-2</v>
      </c>
      <c r="AB658" s="15">
        <f t="shared" si="67"/>
        <v>0.18247552022656352</v>
      </c>
      <c r="AC658" t="b">
        <f t="shared" si="68"/>
        <v>1</v>
      </c>
    </row>
    <row r="659" spans="1:29" x14ac:dyDescent="0.25">
      <c r="A659" s="52" t="s">
        <v>259</v>
      </c>
      <c r="B659" s="46">
        <v>30013</v>
      </c>
      <c r="C659" s="47">
        <v>45805</v>
      </c>
      <c r="D659" s="46">
        <v>311500</v>
      </c>
      <c r="E659" s="46">
        <v>2</v>
      </c>
      <c r="F659" s="52" t="s">
        <v>2298</v>
      </c>
      <c r="G659" s="46">
        <v>6</v>
      </c>
      <c r="H659" s="52" t="s">
        <v>1642</v>
      </c>
      <c r="I659" s="46"/>
      <c r="J659" s="46">
        <v>0</v>
      </c>
      <c r="K659" s="46"/>
      <c r="L659" s="52" t="s">
        <v>685</v>
      </c>
      <c r="M659" s="55">
        <v>2695000</v>
      </c>
      <c r="N659" s="46">
        <v>48</v>
      </c>
      <c r="O659" s="46">
        <v>0</v>
      </c>
      <c r="P659" s="46">
        <v>1</v>
      </c>
      <c r="Q659" s="46">
        <v>8</v>
      </c>
      <c r="R659" s="55">
        <v>80109</v>
      </c>
      <c r="S659" s="46">
        <v>1</v>
      </c>
      <c r="T659" s="55">
        <v>90850</v>
      </c>
      <c r="U659" s="55">
        <f>M659/100+11700</f>
        <v>38650</v>
      </c>
      <c r="V659" s="55">
        <v>1</v>
      </c>
      <c r="W659" s="55">
        <v>67722</v>
      </c>
      <c r="X659" s="46">
        <v>1</v>
      </c>
      <c r="Y659" s="46">
        <v>1</v>
      </c>
      <c r="Z659" s="54">
        <v>0.13843481088231624</v>
      </c>
      <c r="AA659" s="15">
        <f t="shared" si="66"/>
        <v>1.1536234240193021E-2</v>
      </c>
      <c r="AB659" s="15">
        <f t="shared" si="67"/>
        <v>0.13843481088231624</v>
      </c>
      <c r="AC659" t="b">
        <f t="shared" si="68"/>
        <v>1</v>
      </c>
    </row>
    <row r="660" spans="1:29" x14ac:dyDescent="0.25">
      <c r="A660" s="52" t="s">
        <v>259</v>
      </c>
      <c r="B660" s="46">
        <v>30013</v>
      </c>
      <c r="C660" s="47">
        <v>45805</v>
      </c>
      <c r="D660" s="46">
        <v>311500</v>
      </c>
      <c r="E660" s="46">
        <v>2</v>
      </c>
      <c r="F660" s="52" t="s">
        <v>2299</v>
      </c>
      <c r="G660" s="46">
        <v>6</v>
      </c>
      <c r="H660" s="52" t="s">
        <v>1642</v>
      </c>
      <c r="I660" s="46"/>
      <c r="J660" s="46">
        <v>0</v>
      </c>
      <c r="K660" s="46"/>
      <c r="L660" s="52" t="s">
        <v>231</v>
      </c>
      <c r="M660" s="55">
        <v>2500000</v>
      </c>
      <c r="N660" s="46">
        <v>36</v>
      </c>
      <c r="O660" s="46">
        <v>0</v>
      </c>
      <c r="P660" s="46">
        <v>1</v>
      </c>
      <c r="Q660" s="46">
        <v>9</v>
      </c>
      <c r="R660" s="55">
        <v>74313</v>
      </c>
      <c r="S660" s="46">
        <v>1</v>
      </c>
      <c r="T660" s="55">
        <v>66250</v>
      </c>
      <c r="U660" s="55">
        <f>M660/100+11700</f>
        <v>36700</v>
      </c>
      <c r="V660" s="55">
        <v>1</v>
      </c>
      <c r="W660" s="55">
        <v>81493</v>
      </c>
      <c r="X660" s="46">
        <v>1</v>
      </c>
      <c r="Y660" s="46">
        <v>1</v>
      </c>
      <c r="Z660" s="54">
        <v>0.15853811290693887</v>
      </c>
      <c r="AA660" s="15">
        <f t="shared" si="66"/>
        <v>1.3211509408911573E-2</v>
      </c>
      <c r="AB660" s="15">
        <f t="shared" si="67"/>
        <v>0.15853811290693887</v>
      </c>
      <c r="AC660" t="b">
        <f t="shared" si="68"/>
        <v>1</v>
      </c>
    </row>
    <row r="661" spans="1:29" x14ac:dyDescent="0.25">
      <c r="A661" s="52" t="s">
        <v>259</v>
      </c>
      <c r="B661" s="46">
        <v>30013</v>
      </c>
      <c r="C661" s="47">
        <v>45805</v>
      </c>
      <c r="D661" s="46">
        <v>321500</v>
      </c>
      <c r="E661" s="46">
        <v>2</v>
      </c>
      <c r="F661" s="52" t="s">
        <v>2300</v>
      </c>
      <c r="G661" s="46">
        <v>6</v>
      </c>
      <c r="H661" s="52" t="s">
        <v>1642</v>
      </c>
      <c r="I661" s="46"/>
      <c r="J661" s="46">
        <v>0</v>
      </c>
      <c r="K661" s="46"/>
      <c r="L661" s="52" t="s">
        <v>261</v>
      </c>
      <c r="M661" s="55">
        <v>1050000</v>
      </c>
      <c r="N661" s="46">
        <v>12</v>
      </c>
      <c r="O661" s="46">
        <v>0</v>
      </c>
      <c r="P661" s="46">
        <v>1</v>
      </c>
      <c r="Q661" s="46">
        <v>10</v>
      </c>
      <c r="R661" s="55">
        <v>12485</v>
      </c>
      <c r="S661" s="46">
        <v>1</v>
      </c>
      <c r="T661" s="55">
        <v>0</v>
      </c>
      <c r="U661" s="55">
        <f>M661/100+11700</f>
        <v>22200</v>
      </c>
      <c r="V661" s="55">
        <v>1</v>
      </c>
      <c r="W661" s="55">
        <v>93237</v>
      </c>
      <c r="X661" s="46">
        <v>1</v>
      </c>
      <c r="Y661" s="46">
        <v>1</v>
      </c>
      <c r="Z661" s="54">
        <v>0.18316347396349084</v>
      </c>
      <c r="AA661" s="15">
        <f t="shared" si="66"/>
        <v>1.5263622830290903E-2</v>
      </c>
      <c r="AB661" s="15">
        <f t="shared" si="67"/>
        <v>0.18316347396349084</v>
      </c>
      <c r="AC661" t="b">
        <f t="shared" si="68"/>
        <v>1</v>
      </c>
    </row>
    <row r="662" spans="1:29" x14ac:dyDescent="0.25">
      <c r="A662" s="52" t="s">
        <v>259</v>
      </c>
      <c r="B662" s="46">
        <v>30013</v>
      </c>
      <c r="C662" s="47">
        <v>45805</v>
      </c>
      <c r="D662" s="46">
        <v>311100</v>
      </c>
      <c r="E662" s="46">
        <v>5</v>
      </c>
      <c r="F662" s="52" t="s">
        <v>2301</v>
      </c>
      <c r="G662" s="56" t="s">
        <v>1641</v>
      </c>
      <c r="H662" s="52" t="s">
        <v>784</v>
      </c>
      <c r="I662" s="46" t="s">
        <v>2302</v>
      </c>
      <c r="J662" s="46">
        <v>0</v>
      </c>
      <c r="K662" s="46"/>
      <c r="L662" s="52" t="s">
        <v>696</v>
      </c>
      <c r="M662" s="55">
        <v>1400000000</v>
      </c>
      <c r="N662" s="46">
        <v>36</v>
      </c>
      <c r="O662" s="46">
        <v>0</v>
      </c>
      <c r="P662" s="46">
        <v>1</v>
      </c>
      <c r="Q662" s="46">
        <v>6</v>
      </c>
      <c r="R662" s="55">
        <v>0</v>
      </c>
      <c r="S662" s="46">
        <v>1</v>
      </c>
      <c r="T662" s="55">
        <v>0</v>
      </c>
      <c r="U662" s="55">
        <v>66501924</v>
      </c>
      <c r="V662" s="55">
        <v>1</v>
      </c>
      <c r="W662" s="55">
        <v>43385408</v>
      </c>
      <c r="X662" s="46">
        <v>2</v>
      </c>
      <c r="Y662" s="46">
        <v>1</v>
      </c>
      <c r="Z662" s="54">
        <v>0.10569100202753669</v>
      </c>
      <c r="AA662" s="15">
        <f t="shared" si="66"/>
        <v>8.8075835022947239E-3</v>
      </c>
      <c r="AB662" s="15">
        <f t="shared" si="67"/>
        <v>0.10569100202753669</v>
      </c>
      <c r="AC662" t="b">
        <f t="shared" si="68"/>
        <v>1</v>
      </c>
    </row>
    <row r="663" spans="1:29" x14ac:dyDescent="0.25">
      <c r="A663" s="52" t="s">
        <v>259</v>
      </c>
      <c r="B663" s="46">
        <v>30013</v>
      </c>
      <c r="C663" s="47">
        <v>45805</v>
      </c>
      <c r="D663" s="46">
        <v>311500</v>
      </c>
      <c r="E663" s="46">
        <v>2</v>
      </c>
      <c r="F663" s="52" t="s">
        <v>2303</v>
      </c>
      <c r="G663" s="46">
        <v>6</v>
      </c>
      <c r="H663" s="52" t="s">
        <v>784</v>
      </c>
      <c r="I663" s="46"/>
      <c r="J663" s="46">
        <v>0</v>
      </c>
      <c r="K663" s="46"/>
      <c r="L663" s="52" t="s">
        <v>261</v>
      </c>
      <c r="M663" s="55">
        <v>3430000</v>
      </c>
      <c r="N663" s="46">
        <v>60</v>
      </c>
      <c r="O663" s="46">
        <v>0</v>
      </c>
      <c r="P663" s="46">
        <v>1</v>
      </c>
      <c r="Q663" s="46">
        <v>12</v>
      </c>
      <c r="R663" s="55">
        <v>101957</v>
      </c>
      <c r="S663" s="46">
        <v>1</v>
      </c>
      <c r="T663" s="55">
        <v>138625</v>
      </c>
      <c r="U663" s="55">
        <f t="shared" ref="U663:U672" si="69">M663/100+11700</f>
        <v>46000</v>
      </c>
      <c r="V663" s="55">
        <v>1</v>
      </c>
      <c r="W663" s="55">
        <v>80287</v>
      </c>
      <c r="X663" s="46">
        <v>1</v>
      </c>
      <c r="Y663" s="46">
        <v>1</v>
      </c>
      <c r="Z663" s="54">
        <v>0.18271411704448004</v>
      </c>
      <c r="AA663" s="15">
        <f t="shared" si="66"/>
        <v>1.5226176420373336E-2</v>
      </c>
      <c r="AB663" s="15">
        <f t="shared" si="67"/>
        <v>0.18271411704448004</v>
      </c>
      <c r="AC663" t="b">
        <f t="shared" si="68"/>
        <v>1</v>
      </c>
    </row>
    <row r="664" spans="1:29" x14ac:dyDescent="0.25">
      <c r="A664" s="52" t="s">
        <v>259</v>
      </c>
      <c r="B664" s="46">
        <v>30013</v>
      </c>
      <c r="C664" s="47">
        <v>45805</v>
      </c>
      <c r="D664" s="46">
        <v>311500</v>
      </c>
      <c r="E664" s="46">
        <v>2</v>
      </c>
      <c r="F664" s="52" t="s">
        <v>2304</v>
      </c>
      <c r="G664" s="46">
        <v>6</v>
      </c>
      <c r="H664" s="52" t="s">
        <v>784</v>
      </c>
      <c r="I664" s="46"/>
      <c r="J664" s="46">
        <v>0</v>
      </c>
      <c r="K664" s="46"/>
      <c r="L664" s="52" t="s">
        <v>690</v>
      </c>
      <c r="M664" s="55">
        <v>10000000</v>
      </c>
      <c r="N664" s="46">
        <v>60</v>
      </c>
      <c r="O664" s="46">
        <v>0</v>
      </c>
      <c r="P664" s="46">
        <v>1</v>
      </c>
      <c r="Q664" s="46">
        <v>8</v>
      </c>
      <c r="R664" s="55">
        <v>297250</v>
      </c>
      <c r="S664" s="46">
        <v>1</v>
      </c>
      <c r="T664" s="55">
        <v>390000</v>
      </c>
      <c r="U664" s="55">
        <f t="shared" si="69"/>
        <v>111700</v>
      </c>
      <c r="V664" s="55">
        <v>1</v>
      </c>
      <c r="W664" s="55">
        <v>210077</v>
      </c>
      <c r="X664" s="46">
        <v>1</v>
      </c>
      <c r="Y664" s="46">
        <v>1</v>
      </c>
      <c r="Z664" s="54">
        <v>0.1315373851260413</v>
      </c>
      <c r="AA664" s="15">
        <f t="shared" si="66"/>
        <v>1.096144876050344E-2</v>
      </c>
      <c r="AB664" s="15">
        <f t="shared" si="67"/>
        <v>0.1315373851260413</v>
      </c>
      <c r="AC664" t="b">
        <f t="shared" si="68"/>
        <v>1</v>
      </c>
    </row>
    <row r="665" spans="1:29" x14ac:dyDescent="0.25">
      <c r="A665" s="52" t="s">
        <v>259</v>
      </c>
      <c r="B665" s="46">
        <v>30013</v>
      </c>
      <c r="C665" s="47">
        <v>45805</v>
      </c>
      <c r="D665" s="46">
        <v>311100</v>
      </c>
      <c r="E665" s="46">
        <v>5</v>
      </c>
      <c r="F665" s="52" t="s">
        <v>2305</v>
      </c>
      <c r="G665" s="57" t="s">
        <v>1641</v>
      </c>
      <c r="H665" s="52" t="s">
        <v>1642</v>
      </c>
      <c r="I665" s="46" t="s">
        <v>2004</v>
      </c>
      <c r="J665" s="46">
        <v>0</v>
      </c>
      <c r="K665" s="46"/>
      <c r="L665" s="52" t="s">
        <v>696</v>
      </c>
      <c r="M665" s="55">
        <v>1000000000</v>
      </c>
      <c r="N665" s="46">
        <v>48</v>
      </c>
      <c r="O665" s="46">
        <v>0</v>
      </c>
      <c r="P665" s="46">
        <v>1</v>
      </c>
      <c r="Q665" s="46">
        <v>6</v>
      </c>
      <c r="R665" s="55">
        <v>2378000</v>
      </c>
      <c r="S665" s="46">
        <v>1</v>
      </c>
      <c r="T665" s="55">
        <v>0</v>
      </c>
      <c r="U665" s="55">
        <f t="shared" si="69"/>
        <v>10011700</v>
      </c>
      <c r="V665" s="55">
        <v>1</v>
      </c>
      <c r="W665" s="55">
        <v>24060013</v>
      </c>
      <c r="X665" s="46">
        <v>1</v>
      </c>
      <c r="Y665" s="46">
        <v>1</v>
      </c>
      <c r="Z665" s="54">
        <v>7.8911262169045093E-2</v>
      </c>
      <c r="AA665" s="15">
        <f t="shared" si="66"/>
        <v>6.5759385140870914E-3</v>
      </c>
      <c r="AB665" s="15">
        <f t="shared" si="67"/>
        <v>7.8911262169045093E-2</v>
      </c>
      <c r="AC665" t="b">
        <f t="shared" si="68"/>
        <v>1</v>
      </c>
    </row>
    <row r="666" spans="1:29" x14ac:dyDescent="0.25">
      <c r="A666" s="52" t="s">
        <v>259</v>
      </c>
      <c r="B666" s="46">
        <v>30013</v>
      </c>
      <c r="C666" s="47">
        <v>45805</v>
      </c>
      <c r="D666" s="46">
        <v>311500</v>
      </c>
      <c r="E666" s="46">
        <v>2</v>
      </c>
      <c r="F666" s="52" t="s">
        <v>2306</v>
      </c>
      <c r="G666" s="46">
        <v>6</v>
      </c>
      <c r="H666" s="52" t="s">
        <v>1642</v>
      </c>
      <c r="I666" s="46"/>
      <c r="J666" s="46">
        <v>0</v>
      </c>
      <c r="K666" s="46"/>
      <c r="L666" s="52" t="s">
        <v>231</v>
      </c>
      <c r="M666" s="55">
        <v>4022000</v>
      </c>
      <c r="N666" s="46">
        <v>48</v>
      </c>
      <c r="O666" s="46">
        <v>0</v>
      </c>
      <c r="P666" s="46">
        <v>1</v>
      </c>
      <c r="Q666" s="46">
        <v>8</v>
      </c>
      <c r="R666" s="55">
        <v>119554</v>
      </c>
      <c r="S666" s="46">
        <v>1</v>
      </c>
      <c r="T666" s="55">
        <v>130660</v>
      </c>
      <c r="U666" s="55">
        <f t="shared" si="69"/>
        <v>51920</v>
      </c>
      <c r="V666" s="55">
        <v>1</v>
      </c>
      <c r="W666" s="55">
        <v>101068</v>
      </c>
      <c r="X666" s="46">
        <v>1</v>
      </c>
      <c r="Y666" s="46">
        <v>1</v>
      </c>
      <c r="Z666" s="54">
        <v>0.13687141225688024</v>
      </c>
      <c r="AA666" s="15">
        <f t="shared" si="66"/>
        <v>1.1405951021406686E-2</v>
      </c>
      <c r="AB666" s="15">
        <f t="shared" si="67"/>
        <v>0.13687141225688024</v>
      </c>
      <c r="AC666" t="b">
        <f t="shared" si="68"/>
        <v>1</v>
      </c>
    </row>
    <row r="667" spans="1:29" x14ac:dyDescent="0.25">
      <c r="A667" s="52" t="s">
        <v>259</v>
      </c>
      <c r="B667" s="46">
        <v>30013</v>
      </c>
      <c r="C667" s="47">
        <v>45805</v>
      </c>
      <c r="D667" s="46">
        <v>311500</v>
      </c>
      <c r="E667" s="46">
        <v>2</v>
      </c>
      <c r="F667" s="52" t="s">
        <v>2307</v>
      </c>
      <c r="G667" s="46">
        <v>6</v>
      </c>
      <c r="H667" s="52" t="s">
        <v>1642</v>
      </c>
      <c r="I667" s="46"/>
      <c r="J667" s="46">
        <v>0</v>
      </c>
      <c r="K667" s="46"/>
      <c r="L667" s="52" t="s">
        <v>231</v>
      </c>
      <c r="M667" s="55">
        <v>3000000</v>
      </c>
      <c r="N667" s="46">
        <v>36</v>
      </c>
      <c r="O667" s="46">
        <v>0</v>
      </c>
      <c r="P667" s="46">
        <v>1</v>
      </c>
      <c r="Q667" s="46">
        <v>12</v>
      </c>
      <c r="R667" s="55">
        <v>89175</v>
      </c>
      <c r="S667" s="46">
        <v>1</v>
      </c>
      <c r="T667" s="55">
        <v>77500</v>
      </c>
      <c r="U667" s="55">
        <f t="shared" si="69"/>
        <v>41700</v>
      </c>
      <c r="V667" s="55">
        <v>1</v>
      </c>
      <c r="W667" s="55">
        <v>102924</v>
      </c>
      <c r="X667" s="46">
        <v>1</v>
      </c>
      <c r="Y667" s="46">
        <v>1</v>
      </c>
      <c r="Z667" s="54">
        <v>0.19420258016823416</v>
      </c>
      <c r="AA667" s="15">
        <f t="shared" si="66"/>
        <v>1.6183548347352847E-2</v>
      </c>
      <c r="AB667" s="15">
        <f t="shared" si="67"/>
        <v>0.19420258016823416</v>
      </c>
      <c r="AC667" t="b">
        <f t="shared" si="68"/>
        <v>1</v>
      </c>
    </row>
    <row r="668" spans="1:29" x14ac:dyDescent="0.25">
      <c r="A668" s="52" t="s">
        <v>259</v>
      </c>
      <c r="B668" s="46">
        <v>30013</v>
      </c>
      <c r="C668" s="47">
        <v>45805</v>
      </c>
      <c r="D668" s="46">
        <v>311500</v>
      </c>
      <c r="E668" s="46">
        <v>2</v>
      </c>
      <c r="F668" s="52" t="s">
        <v>2308</v>
      </c>
      <c r="G668" s="46">
        <v>6</v>
      </c>
      <c r="H668" s="52" t="s">
        <v>784</v>
      </c>
      <c r="I668" s="46"/>
      <c r="J668" s="46">
        <v>0</v>
      </c>
      <c r="K668" s="46"/>
      <c r="L668" s="52" t="s">
        <v>261</v>
      </c>
      <c r="M668" s="55">
        <v>5050000</v>
      </c>
      <c r="N668" s="46">
        <v>60</v>
      </c>
      <c r="O668" s="46">
        <v>0</v>
      </c>
      <c r="P668" s="46">
        <v>1</v>
      </c>
      <c r="Q668" s="46">
        <v>12</v>
      </c>
      <c r="R668" s="55">
        <v>150111</v>
      </c>
      <c r="S668" s="46">
        <v>1</v>
      </c>
      <c r="T668" s="55">
        <v>199375</v>
      </c>
      <c r="U668" s="55">
        <f t="shared" si="69"/>
        <v>62200</v>
      </c>
      <c r="V668" s="55">
        <v>1</v>
      </c>
      <c r="W668" s="55">
        <v>118207</v>
      </c>
      <c r="X668" s="46">
        <v>1</v>
      </c>
      <c r="Y668" s="46">
        <v>1</v>
      </c>
      <c r="Z668" s="54">
        <v>0.18167998602254945</v>
      </c>
      <c r="AA668" s="15">
        <f t="shared" si="66"/>
        <v>1.5139998835212455E-2</v>
      </c>
      <c r="AB668" s="15">
        <f t="shared" si="67"/>
        <v>0.18167998602254945</v>
      </c>
      <c r="AC668" t="b">
        <f t="shared" si="68"/>
        <v>1</v>
      </c>
    </row>
    <row r="669" spans="1:29" x14ac:dyDescent="0.25">
      <c r="A669" s="52" t="s">
        <v>259</v>
      </c>
      <c r="B669" s="46">
        <v>30013</v>
      </c>
      <c r="C669" s="47">
        <v>45805</v>
      </c>
      <c r="D669" s="46">
        <v>311500</v>
      </c>
      <c r="E669" s="46">
        <v>2</v>
      </c>
      <c r="F669" s="52" t="s">
        <v>2309</v>
      </c>
      <c r="G669" s="46">
        <v>6</v>
      </c>
      <c r="H669" s="52" t="s">
        <v>1642</v>
      </c>
      <c r="I669" s="46"/>
      <c r="J669" s="46">
        <v>0</v>
      </c>
      <c r="K669" s="46"/>
      <c r="L669" s="52" t="s">
        <v>261</v>
      </c>
      <c r="M669" s="55">
        <v>10000000</v>
      </c>
      <c r="N669" s="46">
        <v>48</v>
      </c>
      <c r="O669" s="46">
        <v>0</v>
      </c>
      <c r="P669" s="46">
        <v>1</v>
      </c>
      <c r="Q669" s="46">
        <v>12</v>
      </c>
      <c r="R669" s="55">
        <v>297250</v>
      </c>
      <c r="S669" s="46">
        <v>1</v>
      </c>
      <c r="T669" s="55">
        <v>315000</v>
      </c>
      <c r="U669" s="55">
        <f t="shared" si="69"/>
        <v>111700</v>
      </c>
      <c r="V669" s="55">
        <v>1</v>
      </c>
      <c r="W669" s="55">
        <v>274611</v>
      </c>
      <c r="X669" s="46">
        <v>1</v>
      </c>
      <c r="Y669" s="46">
        <v>1</v>
      </c>
      <c r="Z669" s="54">
        <v>0.18437876447892404</v>
      </c>
      <c r="AA669" s="15">
        <f t="shared" si="66"/>
        <v>1.5364897039910336E-2</v>
      </c>
      <c r="AB669" s="15">
        <f t="shared" si="67"/>
        <v>0.18437876447892404</v>
      </c>
      <c r="AC669" t="b">
        <f t="shared" si="68"/>
        <v>1</v>
      </c>
    </row>
    <row r="670" spans="1:29" x14ac:dyDescent="0.25">
      <c r="A670" s="52" t="s">
        <v>259</v>
      </c>
      <c r="B670" s="46">
        <v>30013</v>
      </c>
      <c r="C670" s="47">
        <v>45805</v>
      </c>
      <c r="D670" s="46">
        <v>311500</v>
      </c>
      <c r="E670" s="46">
        <v>2</v>
      </c>
      <c r="F670" s="52" t="s">
        <v>2310</v>
      </c>
      <c r="G670" s="46">
        <v>6</v>
      </c>
      <c r="H670" s="52" t="s">
        <v>1642</v>
      </c>
      <c r="I670" s="46"/>
      <c r="J670" s="46">
        <v>0</v>
      </c>
      <c r="K670" s="46"/>
      <c r="L670" s="52" t="s">
        <v>270</v>
      </c>
      <c r="M670" s="55">
        <v>8500000</v>
      </c>
      <c r="N670" s="46">
        <v>43</v>
      </c>
      <c r="O670" s="46">
        <v>0</v>
      </c>
      <c r="P670" s="46">
        <v>1</v>
      </c>
      <c r="Q670" s="46">
        <v>10</v>
      </c>
      <c r="R670" s="55">
        <v>252663</v>
      </c>
      <c r="S670" s="46">
        <v>1</v>
      </c>
      <c r="T670" s="55">
        <v>243438</v>
      </c>
      <c r="U670" s="55">
        <f t="shared" si="69"/>
        <v>96700</v>
      </c>
      <c r="V670" s="55">
        <v>1</v>
      </c>
      <c r="W670" s="55">
        <v>243729</v>
      </c>
      <c r="X670" s="46">
        <v>1</v>
      </c>
      <c r="Y670" s="46">
        <v>1</v>
      </c>
      <c r="Z670" s="54">
        <v>0.16231892935944517</v>
      </c>
      <c r="AA670" s="15">
        <f t="shared" si="66"/>
        <v>1.3526577446620431E-2</v>
      </c>
      <c r="AB670" s="15">
        <f t="shared" si="67"/>
        <v>0.16231892935944517</v>
      </c>
      <c r="AC670" t="b">
        <f t="shared" si="68"/>
        <v>1</v>
      </c>
    </row>
    <row r="671" spans="1:29" x14ac:dyDescent="0.25">
      <c r="A671" s="52" t="s">
        <v>259</v>
      </c>
      <c r="B671" s="46">
        <v>30013</v>
      </c>
      <c r="C671" s="47">
        <v>45805</v>
      </c>
      <c r="D671" s="46">
        <v>311500</v>
      </c>
      <c r="E671" s="46">
        <v>2</v>
      </c>
      <c r="F671" s="52" t="s">
        <v>2311</v>
      </c>
      <c r="G671" s="46">
        <v>6</v>
      </c>
      <c r="H671" s="52" t="s">
        <v>784</v>
      </c>
      <c r="I671" s="46"/>
      <c r="J671" s="46">
        <v>0</v>
      </c>
      <c r="K671" s="46"/>
      <c r="L671" s="52" t="s">
        <v>261</v>
      </c>
      <c r="M671" s="55">
        <v>1350000</v>
      </c>
      <c r="N671" s="46">
        <v>48</v>
      </c>
      <c r="O671" s="46">
        <v>0</v>
      </c>
      <c r="P671" s="46">
        <v>1</v>
      </c>
      <c r="Q671" s="46">
        <v>13</v>
      </c>
      <c r="R671" s="55">
        <v>40723</v>
      </c>
      <c r="S671" s="46">
        <v>1</v>
      </c>
      <c r="T671" s="55">
        <v>50500</v>
      </c>
      <c r="U671" s="55">
        <f t="shared" si="69"/>
        <v>25200</v>
      </c>
      <c r="V671" s="55">
        <v>1</v>
      </c>
      <c r="W671" s="55">
        <v>37885</v>
      </c>
      <c r="X671" s="46">
        <v>1</v>
      </c>
      <c r="Y671" s="46">
        <v>1</v>
      </c>
      <c r="Z671" s="54">
        <v>0.20526344769931332</v>
      </c>
      <c r="AA671" s="15">
        <f t="shared" si="66"/>
        <v>1.710528730827611E-2</v>
      </c>
      <c r="AB671" s="15">
        <f t="shared" si="67"/>
        <v>0.20526344769931332</v>
      </c>
      <c r="AC671" t="b">
        <f t="shared" si="68"/>
        <v>1</v>
      </c>
    </row>
    <row r="672" spans="1:29" x14ac:dyDescent="0.25">
      <c r="A672" s="52" t="s">
        <v>259</v>
      </c>
      <c r="B672" s="46">
        <v>30013</v>
      </c>
      <c r="C672" s="47">
        <v>45807</v>
      </c>
      <c r="D672" s="46">
        <v>311500</v>
      </c>
      <c r="E672" s="46">
        <v>2</v>
      </c>
      <c r="F672" s="52" t="s">
        <v>2312</v>
      </c>
      <c r="G672" s="46">
        <v>6</v>
      </c>
      <c r="H672" s="52" t="s">
        <v>784</v>
      </c>
      <c r="I672" s="46"/>
      <c r="J672" s="46">
        <v>0</v>
      </c>
      <c r="K672" s="46"/>
      <c r="L672" s="52" t="s">
        <v>261</v>
      </c>
      <c r="M672" s="55">
        <v>2800000</v>
      </c>
      <c r="N672" s="46">
        <v>48</v>
      </c>
      <c r="O672" s="46">
        <v>0</v>
      </c>
      <c r="P672" s="46">
        <v>1</v>
      </c>
      <c r="Q672" s="46">
        <v>12</v>
      </c>
      <c r="R672" s="55">
        <v>83230</v>
      </c>
      <c r="S672" s="46">
        <v>1</v>
      </c>
      <c r="T672" s="55">
        <v>94000</v>
      </c>
      <c r="U672" s="55">
        <f t="shared" si="69"/>
        <v>39700</v>
      </c>
      <c r="V672" s="55">
        <v>1</v>
      </c>
      <c r="W672" s="55">
        <v>76891</v>
      </c>
      <c r="X672" s="46">
        <v>1</v>
      </c>
      <c r="Y672" s="46">
        <v>1</v>
      </c>
      <c r="Z672" s="54">
        <v>0.18747978308878435</v>
      </c>
      <c r="AA672" s="15">
        <f t="shared" si="66"/>
        <v>1.5623315257398697E-2</v>
      </c>
      <c r="AB672" s="15">
        <f t="shared" si="67"/>
        <v>0.18747978308878435</v>
      </c>
      <c r="AC672" t="b">
        <f t="shared" si="68"/>
        <v>1</v>
      </c>
    </row>
    <row r="673" spans="1:29" x14ac:dyDescent="0.25">
      <c r="A673" s="52" t="s">
        <v>259</v>
      </c>
      <c r="B673" s="46">
        <v>30013</v>
      </c>
      <c r="C673" s="47">
        <v>45807</v>
      </c>
      <c r="D673" s="46">
        <v>301200</v>
      </c>
      <c r="E673" s="46">
        <v>3</v>
      </c>
      <c r="F673" s="52" t="s">
        <v>2313</v>
      </c>
      <c r="G673" s="46">
        <v>6</v>
      </c>
      <c r="H673" s="52" t="s">
        <v>1642</v>
      </c>
      <c r="I673" s="46"/>
      <c r="J673" s="46">
        <v>0</v>
      </c>
      <c r="K673" s="46"/>
      <c r="L673" s="52" t="s">
        <v>231</v>
      </c>
      <c r="M673" s="55">
        <v>27800000</v>
      </c>
      <c r="N673" s="46">
        <v>76</v>
      </c>
      <c r="O673" s="46">
        <v>0</v>
      </c>
      <c r="P673" s="46">
        <v>1</v>
      </c>
      <c r="Q673" s="46">
        <v>8</v>
      </c>
      <c r="R673" s="55">
        <v>330542</v>
      </c>
      <c r="S673" s="46">
        <v>1</v>
      </c>
      <c r="T673" s="55">
        <v>1308782</v>
      </c>
      <c r="U673" s="55">
        <v>1232762</v>
      </c>
      <c r="V673" s="55">
        <v>1</v>
      </c>
      <c r="W673" s="55">
        <v>488371</v>
      </c>
      <c r="X673" s="46">
        <v>2</v>
      </c>
      <c r="Y673" s="46">
        <v>1</v>
      </c>
      <c r="Z673" s="54">
        <v>0.13401093548965959</v>
      </c>
      <c r="AA673" s="15">
        <f t="shared" si="66"/>
        <v>1.1167577957471631E-2</v>
      </c>
      <c r="AB673" s="15">
        <f t="shared" si="67"/>
        <v>0.13401093548965959</v>
      </c>
      <c r="AC673" t="b">
        <f t="shared" si="68"/>
        <v>1</v>
      </c>
    </row>
    <row r="674" spans="1:29" x14ac:dyDescent="0.25">
      <c r="A674" s="52" t="s">
        <v>259</v>
      </c>
      <c r="B674" s="46">
        <v>30013</v>
      </c>
      <c r="C674" s="47">
        <v>45807</v>
      </c>
      <c r="D674" s="46">
        <v>301730</v>
      </c>
      <c r="E674" s="46">
        <v>2</v>
      </c>
      <c r="F674" s="52" t="s">
        <v>2314</v>
      </c>
      <c r="G674" s="46">
        <v>6</v>
      </c>
      <c r="H674" s="52" t="s">
        <v>784</v>
      </c>
      <c r="I674" s="46"/>
      <c r="J674" s="46">
        <v>0</v>
      </c>
      <c r="K674" s="46"/>
      <c r="L674" s="52" t="s">
        <v>261</v>
      </c>
      <c r="M674" s="55">
        <v>2300000</v>
      </c>
      <c r="N674" s="46">
        <v>32</v>
      </c>
      <c r="O674" s="46">
        <v>0</v>
      </c>
      <c r="P674" s="46">
        <v>1</v>
      </c>
      <c r="Q674" s="46">
        <v>12</v>
      </c>
      <c r="R674" s="55">
        <v>0</v>
      </c>
      <c r="S674" s="46">
        <v>1</v>
      </c>
      <c r="T674" s="55">
        <v>17180</v>
      </c>
      <c r="U674" s="55">
        <f t="shared" ref="U674:U690" si="70">M674/100+11700</f>
        <v>34700</v>
      </c>
      <c r="V674" s="55">
        <v>1</v>
      </c>
      <c r="W674" s="55">
        <v>86835</v>
      </c>
      <c r="X674" s="46">
        <v>1</v>
      </c>
      <c r="Y674" s="46">
        <v>1</v>
      </c>
      <c r="Z674" s="54">
        <v>0.16064600782332744</v>
      </c>
      <c r="AA674" s="15">
        <f t="shared" si="66"/>
        <v>1.3387167318610621E-2</v>
      </c>
      <c r="AB674" s="15">
        <f t="shared" si="67"/>
        <v>0.16064600782332744</v>
      </c>
      <c r="AC674" t="b">
        <f t="shared" si="68"/>
        <v>1</v>
      </c>
    </row>
    <row r="675" spans="1:29" x14ac:dyDescent="0.25">
      <c r="A675" s="52" t="s">
        <v>259</v>
      </c>
      <c r="B675" s="46">
        <v>30013</v>
      </c>
      <c r="C675" s="47">
        <v>45807</v>
      </c>
      <c r="D675" s="46">
        <v>311500</v>
      </c>
      <c r="E675" s="46">
        <v>2</v>
      </c>
      <c r="F675" s="52" t="s">
        <v>2315</v>
      </c>
      <c r="G675" s="46">
        <v>6</v>
      </c>
      <c r="H675" s="52" t="s">
        <v>784</v>
      </c>
      <c r="I675" s="46"/>
      <c r="J675" s="46">
        <v>0</v>
      </c>
      <c r="K675" s="46"/>
      <c r="L675" s="52" t="s">
        <v>690</v>
      </c>
      <c r="M675" s="55">
        <v>6000000</v>
      </c>
      <c r="N675" s="46">
        <v>60</v>
      </c>
      <c r="O675" s="46">
        <v>0</v>
      </c>
      <c r="P675" s="46">
        <v>1</v>
      </c>
      <c r="Q675" s="46">
        <v>12</v>
      </c>
      <c r="R675" s="55">
        <v>178350</v>
      </c>
      <c r="S675" s="46">
        <v>1</v>
      </c>
      <c r="T675" s="55">
        <v>235000</v>
      </c>
      <c r="U675" s="55">
        <f t="shared" si="70"/>
        <v>71700</v>
      </c>
      <c r="V675" s="55">
        <v>1</v>
      </c>
      <c r="W675" s="55">
        <v>140445</v>
      </c>
      <c r="X675" s="46">
        <v>1</v>
      </c>
      <c r="Y675" s="46">
        <v>1</v>
      </c>
      <c r="Z675" s="54">
        <v>0.18133730641448167</v>
      </c>
      <c r="AA675" s="15">
        <f t="shared" si="66"/>
        <v>1.5111442201206806E-2</v>
      </c>
      <c r="AB675" s="15">
        <f t="shared" si="67"/>
        <v>0.18133730641448167</v>
      </c>
      <c r="AC675" t="b">
        <f t="shared" si="68"/>
        <v>1</v>
      </c>
    </row>
    <row r="676" spans="1:29" x14ac:dyDescent="0.25">
      <c r="A676" s="52" t="s">
        <v>259</v>
      </c>
      <c r="B676" s="46">
        <v>30013</v>
      </c>
      <c r="C676" s="47">
        <v>45807</v>
      </c>
      <c r="D676" s="46">
        <v>311500</v>
      </c>
      <c r="E676" s="46">
        <v>2</v>
      </c>
      <c r="F676" s="52" t="s">
        <v>2316</v>
      </c>
      <c r="G676" s="46">
        <v>6</v>
      </c>
      <c r="H676" s="52" t="s">
        <v>1642</v>
      </c>
      <c r="I676" s="46"/>
      <c r="J676" s="46">
        <v>0</v>
      </c>
      <c r="K676" s="46"/>
      <c r="L676" s="52" t="s">
        <v>261</v>
      </c>
      <c r="M676" s="55">
        <v>4292000</v>
      </c>
      <c r="N676" s="46">
        <v>60</v>
      </c>
      <c r="O676" s="46">
        <v>0</v>
      </c>
      <c r="P676" s="46">
        <v>1</v>
      </c>
      <c r="Q676" s="46">
        <v>12</v>
      </c>
      <c r="R676" s="55">
        <v>127580</v>
      </c>
      <c r="S676" s="46">
        <v>1</v>
      </c>
      <c r="T676" s="55">
        <v>170950</v>
      </c>
      <c r="U676" s="55">
        <f t="shared" si="70"/>
        <v>54620</v>
      </c>
      <c r="V676" s="55">
        <v>1</v>
      </c>
      <c r="W676" s="55">
        <v>100465</v>
      </c>
      <c r="X676" s="46">
        <v>1</v>
      </c>
      <c r="Y676" s="46">
        <v>1</v>
      </c>
      <c r="Z676" s="54">
        <v>0.18207011648731308</v>
      </c>
      <c r="AA676" s="15">
        <f t="shared" si="66"/>
        <v>1.5172509707276091E-2</v>
      </c>
      <c r="AB676" s="15">
        <f t="shared" si="67"/>
        <v>0.18207011648731308</v>
      </c>
      <c r="AC676" t="b">
        <f t="shared" si="68"/>
        <v>1</v>
      </c>
    </row>
    <row r="677" spans="1:29" x14ac:dyDescent="0.25">
      <c r="A677" s="52" t="s">
        <v>259</v>
      </c>
      <c r="B677" s="46">
        <v>30013</v>
      </c>
      <c r="C677" s="47">
        <v>45807</v>
      </c>
      <c r="D677" s="46">
        <v>311500</v>
      </c>
      <c r="E677" s="46">
        <v>2</v>
      </c>
      <c r="F677" s="52" t="s">
        <v>2317</v>
      </c>
      <c r="G677" s="46">
        <v>6</v>
      </c>
      <c r="H677" s="52" t="s">
        <v>1642</v>
      </c>
      <c r="I677" s="46"/>
      <c r="J677" s="46">
        <v>0</v>
      </c>
      <c r="K677" s="46"/>
      <c r="L677" s="52" t="s">
        <v>692</v>
      </c>
      <c r="M677" s="55">
        <v>10000000</v>
      </c>
      <c r="N677" s="46">
        <v>60</v>
      </c>
      <c r="O677" s="46">
        <v>0</v>
      </c>
      <c r="P677" s="46">
        <v>1</v>
      </c>
      <c r="Q677" s="46">
        <v>12</v>
      </c>
      <c r="R677" s="55">
        <v>297250</v>
      </c>
      <c r="S677" s="46">
        <v>1</v>
      </c>
      <c r="T677" s="55">
        <v>390000</v>
      </c>
      <c r="U677" s="55">
        <f t="shared" si="70"/>
        <v>111700</v>
      </c>
      <c r="V677" s="55">
        <v>1</v>
      </c>
      <c r="W677" s="55">
        <v>234074</v>
      </c>
      <c r="X677" s="46">
        <v>1</v>
      </c>
      <c r="Y677" s="46">
        <v>1</v>
      </c>
      <c r="Z677" s="54">
        <v>0.1808542734871087</v>
      </c>
      <c r="AA677" s="15">
        <f t="shared" si="66"/>
        <v>1.5071189457259057E-2</v>
      </c>
      <c r="AB677" s="15">
        <f t="shared" si="67"/>
        <v>0.1808542734871087</v>
      </c>
      <c r="AC677" t="b">
        <f t="shared" si="68"/>
        <v>1</v>
      </c>
    </row>
    <row r="678" spans="1:29" x14ac:dyDescent="0.25">
      <c r="A678" s="52" t="s">
        <v>259</v>
      </c>
      <c r="B678" s="46">
        <v>30013</v>
      </c>
      <c r="C678" s="47">
        <v>45807</v>
      </c>
      <c r="D678" s="46">
        <v>311500</v>
      </c>
      <c r="E678" s="46">
        <v>2</v>
      </c>
      <c r="F678" s="52" t="s">
        <v>2318</v>
      </c>
      <c r="G678" s="46">
        <v>6</v>
      </c>
      <c r="H678" s="52" t="s">
        <v>784</v>
      </c>
      <c r="I678" s="46"/>
      <c r="J678" s="46">
        <v>0</v>
      </c>
      <c r="K678" s="46"/>
      <c r="L678" s="52" t="s">
        <v>261</v>
      </c>
      <c r="M678" s="55">
        <v>4640000</v>
      </c>
      <c r="N678" s="46">
        <v>60</v>
      </c>
      <c r="O678" s="46">
        <v>0</v>
      </c>
      <c r="P678" s="46">
        <v>1</v>
      </c>
      <c r="Q678" s="46">
        <v>12</v>
      </c>
      <c r="R678" s="55">
        <v>137924</v>
      </c>
      <c r="S678" s="46">
        <v>1</v>
      </c>
      <c r="T678" s="55">
        <v>184000</v>
      </c>
      <c r="U678" s="55">
        <f t="shared" si="70"/>
        <v>58100</v>
      </c>
      <c r="V678" s="55">
        <v>1</v>
      </c>
      <c r="W678" s="55">
        <v>108610</v>
      </c>
      <c r="X678" s="46">
        <v>1</v>
      </c>
      <c r="Y678" s="46">
        <v>1</v>
      </c>
      <c r="Z678" s="54">
        <v>0.18187337768258002</v>
      </c>
      <c r="AA678" s="15">
        <f t="shared" si="66"/>
        <v>1.5156114806881669E-2</v>
      </c>
      <c r="AB678" s="15">
        <f t="shared" si="67"/>
        <v>0.18187337768258002</v>
      </c>
      <c r="AC678" t="b">
        <f t="shared" si="68"/>
        <v>1</v>
      </c>
    </row>
    <row r="679" spans="1:29" x14ac:dyDescent="0.25">
      <c r="A679" s="52" t="s">
        <v>259</v>
      </c>
      <c r="B679" s="46">
        <v>30013</v>
      </c>
      <c r="C679" s="47">
        <v>45807</v>
      </c>
      <c r="D679" s="46">
        <v>311500</v>
      </c>
      <c r="E679" s="46">
        <v>2</v>
      </c>
      <c r="F679" s="52" t="s">
        <v>2319</v>
      </c>
      <c r="G679" s="46">
        <v>6</v>
      </c>
      <c r="H679" s="52" t="s">
        <v>1642</v>
      </c>
      <c r="I679" s="46"/>
      <c r="J679" s="46">
        <v>0</v>
      </c>
      <c r="K679" s="46"/>
      <c r="L679" s="52" t="s">
        <v>231</v>
      </c>
      <c r="M679" s="55">
        <v>10000000</v>
      </c>
      <c r="N679" s="46">
        <v>60</v>
      </c>
      <c r="O679" s="46">
        <v>0</v>
      </c>
      <c r="P679" s="46">
        <v>1</v>
      </c>
      <c r="Q679" s="46">
        <v>8</v>
      </c>
      <c r="R679" s="55">
        <v>297250</v>
      </c>
      <c r="S679" s="46">
        <v>1</v>
      </c>
      <c r="T679" s="55">
        <v>390000</v>
      </c>
      <c r="U679" s="55">
        <f t="shared" si="70"/>
        <v>111700</v>
      </c>
      <c r="V679" s="55">
        <v>1</v>
      </c>
      <c r="W679" s="55">
        <v>210077</v>
      </c>
      <c r="X679" s="46">
        <v>1</v>
      </c>
      <c r="Y679" s="46">
        <v>1</v>
      </c>
      <c r="Z679" s="54">
        <v>0.1315373851260413</v>
      </c>
      <c r="AA679" s="15">
        <f t="shared" si="66"/>
        <v>1.096144876050344E-2</v>
      </c>
      <c r="AB679" s="15">
        <f t="shared" si="67"/>
        <v>0.1315373851260413</v>
      </c>
      <c r="AC679" t="b">
        <f t="shared" si="68"/>
        <v>1</v>
      </c>
    </row>
    <row r="680" spans="1:29" x14ac:dyDescent="0.25">
      <c r="A680" s="52" t="s">
        <v>259</v>
      </c>
      <c r="B680" s="46">
        <v>30013</v>
      </c>
      <c r="C680" s="47">
        <v>45807</v>
      </c>
      <c r="D680" s="46">
        <v>311500</v>
      </c>
      <c r="E680" s="46">
        <v>2</v>
      </c>
      <c r="F680" s="52" t="s">
        <v>2320</v>
      </c>
      <c r="G680" s="46">
        <v>6</v>
      </c>
      <c r="H680" s="52" t="s">
        <v>784</v>
      </c>
      <c r="I680" s="46"/>
      <c r="J680" s="46">
        <v>0</v>
      </c>
      <c r="K680" s="46"/>
      <c r="L680" s="52" t="s">
        <v>261</v>
      </c>
      <c r="M680" s="55">
        <v>4900000</v>
      </c>
      <c r="N680" s="46">
        <v>60</v>
      </c>
      <c r="O680" s="46">
        <v>0</v>
      </c>
      <c r="P680" s="46">
        <v>1</v>
      </c>
      <c r="Q680" s="46">
        <v>12</v>
      </c>
      <c r="R680" s="55">
        <v>145653</v>
      </c>
      <c r="S680" s="46">
        <v>1</v>
      </c>
      <c r="T680" s="55">
        <v>193750</v>
      </c>
      <c r="U680" s="55">
        <f t="shared" si="70"/>
        <v>60700</v>
      </c>
      <c r="V680" s="55">
        <v>1</v>
      </c>
      <c r="W680" s="55">
        <v>114696</v>
      </c>
      <c r="X680" s="46">
        <v>1</v>
      </c>
      <c r="Y680" s="46">
        <v>1</v>
      </c>
      <c r="Z680" s="54">
        <v>0.1817474377562005</v>
      </c>
      <c r="AA680" s="15">
        <f t="shared" si="66"/>
        <v>1.5145619813016709E-2</v>
      </c>
      <c r="AB680" s="15">
        <f t="shared" si="67"/>
        <v>0.1817474377562005</v>
      </c>
      <c r="AC680" t="b">
        <f t="shared" si="68"/>
        <v>1</v>
      </c>
    </row>
    <row r="681" spans="1:29" x14ac:dyDescent="0.25">
      <c r="A681" s="52" t="s">
        <v>259</v>
      </c>
      <c r="B681" s="46">
        <v>30013</v>
      </c>
      <c r="C681" s="47">
        <v>45807</v>
      </c>
      <c r="D681" s="46">
        <v>311500</v>
      </c>
      <c r="E681" s="46">
        <v>2</v>
      </c>
      <c r="F681" s="52" t="s">
        <v>2321</v>
      </c>
      <c r="G681" s="46">
        <v>6</v>
      </c>
      <c r="H681" s="52" t="s">
        <v>784</v>
      </c>
      <c r="I681" s="46"/>
      <c r="J681" s="46">
        <v>0</v>
      </c>
      <c r="K681" s="46"/>
      <c r="L681" s="52" t="s">
        <v>270</v>
      </c>
      <c r="M681" s="55">
        <v>10000000</v>
      </c>
      <c r="N681" s="46">
        <v>60</v>
      </c>
      <c r="O681" s="46">
        <v>0</v>
      </c>
      <c r="P681" s="46">
        <v>1</v>
      </c>
      <c r="Q681" s="46">
        <v>9</v>
      </c>
      <c r="R681" s="55">
        <v>297250</v>
      </c>
      <c r="S681" s="46">
        <v>1</v>
      </c>
      <c r="T681" s="55">
        <v>390000</v>
      </c>
      <c r="U681" s="55">
        <f t="shared" si="70"/>
        <v>111700</v>
      </c>
      <c r="V681" s="55">
        <v>1</v>
      </c>
      <c r="W681" s="55">
        <v>215936</v>
      </c>
      <c r="X681" s="46">
        <v>1</v>
      </c>
      <c r="Y681" s="46">
        <v>1</v>
      </c>
      <c r="Z681" s="54">
        <v>0.14385566902641317</v>
      </c>
      <c r="AA681" s="15">
        <f t="shared" si="66"/>
        <v>1.1987972418867763E-2</v>
      </c>
      <c r="AB681" s="15">
        <f t="shared" si="67"/>
        <v>0.14385566902641317</v>
      </c>
      <c r="AC681" t="b">
        <f t="shared" si="68"/>
        <v>1</v>
      </c>
    </row>
    <row r="682" spans="1:29" x14ac:dyDescent="0.25">
      <c r="A682" s="52" t="s">
        <v>259</v>
      </c>
      <c r="B682" s="46">
        <v>30013</v>
      </c>
      <c r="C682" s="47">
        <v>45807</v>
      </c>
      <c r="D682" s="46">
        <v>311500</v>
      </c>
      <c r="E682" s="46">
        <v>2</v>
      </c>
      <c r="F682" s="52" t="s">
        <v>2322</v>
      </c>
      <c r="G682" s="46">
        <v>6</v>
      </c>
      <c r="H682" s="52" t="s">
        <v>784</v>
      </c>
      <c r="I682" s="46"/>
      <c r="J682" s="46">
        <v>0</v>
      </c>
      <c r="K682" s="46"/>
      <c r="L682" s="52" t="s">
        <v>261</v>
      </c>
      <c r="M682" s="55">
        <v>4700000</v>
      </c>
      <c r="N682" s="46">
        <v>60</v>
      </c>
      <c r="O682" s="46">
        <v>0</v>
      </c>
      <c r="P682" s="46">
        <v>1</v>
      </c>
      <c r="Q682" s="46">
        <v>12</v>
      </c>
      <c r="R682" s="55">
        <v>139708</v>
      </c>
      <c r="S682" s="46">
        <v>1</v>
      </c>
      <c r="T682" s="55">
        <v>186352</v>
      </c>
      <c r="U682" s="55">
        <f t="shared" si="70"/>
        <v>58700</v>
      </c>
      <c r="V682" s="55">
        <v>1</v>
      </c>
      <c r="W682" s="55">
        <v>110015</v>
      </c>
      <c r="X682" s="46">
        <v>1</v>
      </c>
      <c r="Y682" s="46">
        <v>1</v>
      </c>
      <c r="Z682" s="54">
        <v>0.18185645763947819</v>
      </c>
      <c r="AA682" s="15">
        <f t="shared" si="66"/>
        <v>1.5154704803289849E-2</v>
      </c>
      <c r="AB682" s="15">
        <f t="shared" si="67"/>
        <v>0.18185645763947819</v>
      </c>
      <c r="AC682" t="b">
        <f t="shared" si="68"/>
        <v>1</v>
      </c>
    </row>
    <row r="683" spans="1:29" x14ac:dyDescent="0.25">
      <c r="A683" s="52" t="s">
        <v>259</v>
      </c>
      <c r="B683" s="46">
        <v>30013</v>
      </c>
      <c r="C683" s="47">
        <v>45807</v>
      </c>
      <c r="D683" s="46">
        <v>311500</v>
      </c>
      <c r="E683" s="46">
        <v>2</v>
      </c>
      <c r="F683" s="52" t="s">
        <v>2323</v>
      </c>
      <c r="G683" s="46">
        <v>6</v>
      </c>
      <c r="H683" s="52" t="s">
        <v>784</v>
      </c>
      <c r="I683" s="46"/>
      <c r="J683" s="46">
        <v>0</v>
      </c>
      <c r="K683" s="46"/>
      <c r="L683" s="52" t="s">
        <v>690</v>
      </c>
      <c r="M683" s="55">
        <v>7750000</v>
      </c>
      <c r="N683" s="46">
        <v>60</v>
      </c>
      <c r="O683" s="46">
        <v>0</v>
      </c>
      <c r="P683" s="46">
        <v>1</v>
      </c>
      <c r="Q683" s="46">
        <v>12</v>
      </c>
      <c r="R683" s="55">
        <v>230369</v>
      </c>
      <c r="S683" s="46">
        <v>1</v>
      </c>
      <c r="T683" s="55">
        <v>305625</v>
      </c>
      <c r="U683" s="55">
        <f t="shared" si="70"/>
        <v>89200</v>
      </c>
      <c r="V683" s="55">
        <v>1</v>
      </c>
      <c r="W683" s="55">
        <v>181408</v>
      </c>
      <c r="X683" s="46">
        <v>1</v>
      </c>
      <c r="Y683" s="46">
        <v>1</v>
      </c>
      <c r="Z683" s="54">
        <v>0.18124979869026239</v>
      </c>
      <c r="AA683" s="15">
        <f t="shared" si="66"/>
        <v>1.5104149890855199E-2</v>
      </c>
      <c r="AB683" s="15">
        <f t="shared" si="67"/>
        <v>0.18124979869026239</v>
      </c>
      <c r="AC683" t="b">
        <f t="shared" si="68"/>
        <v>1</v>
      </c>
    </row>
    <row r="684" spans="1:29" x14ac:dyDescent="0.25">
      <c r="A684" s="52" t="s">
        <v>259</v>
      </c>
      <c r="B684" s="46">
        <v>30013</v>
      </c>
      <c r="C684" s="47">
        <v>45807</v>
      </c>
      <c r="D684" s="46">
        <v>311500</v>
      </c>
      <c r="E684" s="46">
        <v>2</v>
      </c>
      <c r="F684" s="52" t="s">
        <v>2324</v>
      </c>
      <c r="G684" s="46">
        <v>6</v>
      </c>
      <c r="H684" s="52" t="s">
        <v>1642</v>
      </c>
      <c r="I684" s="46"/>
      <c r="J684" s="46">
        <v>0</v>
      </c>
      <c r="K684" s="46"/>
      <c r="L684" s="52" t="s">
        <v>686</v>
      </c>
      <c r="M684" s="55">
        <v>4200000</v>
      </c>
      <c r="N684" s="46">
        <v>60</v>
      </c>
      <c r="O684" s="46">
        <v>0</v>
      </c>
      <c r="P684" s="46">
        <v>1</v>
      </c>
      <c r="Q684" s="46">
        <v>12</v>
      </c>
      <c r="R684" s="55">
        <v>124845</v>
      </c>
      <c r="S684" s="46">
        <v>1</v>
      </c>
      <c r="T684" s="55">
        <v>167500</v>
      </c>
      <c r="U684" s="55">
        <f t="shared" si="70"/>
        <v>53700</v>
      </c>
      <c r="V684" s="55">
        <v>1</v>
      </c>
      <c r="W684" s="55">
        <v>98311</v>
      </c>
      <c r="X684" s="46">
        <v>1</v>
      </c>
      <c r="Y684" s="46">
        <v>1</v>
      </c>
      <c r="Z684" s="54">
        <v>0.18212410744384089</v>
      </c>
      <c r="AA684" s="15">
        <f t="shared" si="66"/>
        <v>1.5177008953653408E-2</v>
      </c>
      <c r="AB684" s="15">
        <f t="shared" si="67"/>
        <v>0.18212410744384089</v>
      </c>
      <c r="AC684" t="b">
        <f t="shared" si="68"/>
        <v>1</v>
      </c>
    </row>
    <row r="685" spans="1:29" x14ac:dyDescent="0.25">
      <c r="A685" s="52" t="s">
        <v>259</v>
      </c>
      <c r="B685" s="46">
        <v>30013</v>
      </c>
      <c r="C685" s="47">
        <v>45807</v>
      </c>
      <c r="D685" s="46">
        <v>311500</v>
      </c>
      <c r="E685" s="46">
        <v>2</v>
      </c>
      <c r="F685" s="52" t="s">
        <v>2325</v>
      </c>
      <c r="G685" s="46">
        <v>6</v>
      </c>
      <c r="H685" s="52" t="s">
        <v>1689</v>
      </c>
      <c r="I685" s="46"/>
      <c r="J685" s="46">
        <v>0</v>
      </c>
      <c r="K685" s="46"/>
      <c r="L685" s="52" t="s">
        <v>693</v>
      </c>
      <c r="M685" s="55">
        <v>1030000</v>
      </c>
      <c r="N685" s="46">
        <v>48</v>
      </c>
      <c r="O685" s="46">
        <v>0</v>
      </c>
      <c r="P685" s="46">
        <v>1</v>
      </c>
      <c r="Q685" s="46">
        <v>12</v>
      </c>
      <c r="R685" s="55">
        <v>40723</v>
      </c>
      <c r="S685" s="46">
        <v>1</v>
      </c>
      <c r="T685" s="55">
        <v>40900</v>
      </c>
      <c r="U685" s="55">
        <f t="shared" si="70"/>
        <v>22000</v>
      </c>
      <c r="V685" s="55">
        <v>1</v>
      </c>
      <c r="W685" s="55">
        <v>28285</v>
      </c>
      <c r="X685" s="46">
        <v>1</v>
      </c>
      <c r="Y685" s="46">
        <v>1</v>
      </c>
      <c r="Z685" s="54">
        <v>0.20192323949144089</v>
      </c>
      <c r="AA685" s="15">
        <f t="shared" si="66"/>
        <v>1.6826936624286741E-2</v>
      </c>
      <c r="AB685" s="15">
        <f t="shared" si="67"/>
        <v>0.20192323949144089</v>
      </c>
      <c r="AC685" t="b">
        <f t="shared" si="68"/>
        <v>1</v>
      </c>
    </row>
    <row r="686" spans="1:29" x14ac:dyDescent="0.25">
      <c r="A686" s="52" t="s">
        <v>259</v>
      </c>
      <c r="B686" s="46">
        <v>30013</v>
      </c>
      <c r="C686" s="47">
        <v>45807</v>
      </c>
      <c r="D686" s="46">
        <v>311500</v>
      </c>
      <c r="E686" s="46">
        <v>2</v>
      </c>
      <c r="F686" s="52" t="s">
        <v>2326</v>
      </c>
      <c r="G686" s="46">
        <v>6</v>
      </c>
      <c r="H686" s="52" t="s">
        <v>784</v>
      </c>
      <c r="I686" s="46"/>
      <c r="J686" s="46">
        <v>0</v>
      </c>
      <c r="K686" s="46"/>
      <c r="L686" s="52" t="s">
        <v>687</v>
      </c>
      <c r="M686" s="55">
        <v>4000000</v>
      </c>
      <c r="N686" s="46">
        <v>48</v>
      </c>
      <c r="O686" s="46">
        <v>0</v>
      </c>
      <c r="P686" s="46">
        <v>1</v>
      </c>
      <c r="Q686" s="46">
        <v>12</v>
      </c>
      <c r="R686" s="55">
        <v>118900</v>
      </c>
      <c r="S686" s="46">
        <v>1</v>
      </c>
      <c r="T686" s="55">
        <v>130000</v>
      </c>
      <c r="U686" s="55">
        <f t="shared" si="70"/>
        <v>51700</v>
      </c>
      <c r="V686" s="55">
        <v>1</v>
      </c>
      <c r="W686" s="55">
        <v>109844</v>
      </c>
      <c r="X686" s="46">
        <v>1</v>
      </c>
      <c r="Y686" s="46">
        <v>1</v>
      </c>
      <c r="Z686" s="54">
        <v>0.18605571919570199</v>
      </c>
      <c r="AA686" s="15">
        <f t="shared" si="66"/>
        <v>1.55046432663085E-2</v>
      </c>
      <c r="AB686" s="15">
        <f t="shared" si="67"/>
        <v>0.18605571919570199</v>
      </c>
      <c r="AC686" t="b">
        <f t="shared" si="68"/>
        <v>1</v>
      </c>
    </row>
    <row r="687" spans="1:29" x14ac:dyDescent="0.25">
      <c r="A687" s="52" t="s">
        <v>259</v>
      </c>
      <c r="B687" s="46">
        <v>30013</v>
      </c>
      <c r="C687" s="47">
        <v>45807</v>
      </c>
      <c r="D687" s="46">
        <v>321300</v>
      </c>
      <c r="E687" s="46">
        <v>2</v>
      </c>
      <c r="F687" s="52" t="s">
        <v>2327</v>
      </c>
      <c r="G687" s="46">
        <v>6</v>
      </c>
      <c r="H687" s="52" t="s">
        <v>1642</v>
      </c>
      <c r="I687" s="46"/>
      <c r="J687" s="46">
        <v>0</v>
      </c>
      <c r="K687" s="46"/>
      <c r="L687" s="52" t="s">
        <v>261</v>
      </c>
      <c r="M687" s="55">
        <v>2000000</v>
      </c>
      <c r="N687" s="46">
        <v>24</v>
      </c>
      <c r="O687" s="46">
        <v>0</v>
      </c>
      <c r="P687" s="46">
        <v>1</v>
      </c>
      <c r="Q687" s="46">
        <v>12</v>
      </c>
      <c r="R687" s="55">
        <v>59450</v>
      </c>
      <c r="S687" s="46">
        <v>1</v>
      </c>
      <c r="T687" s="55">
        <v>40000</v>
      </c>
      <c r="U687" s="55">
        <f t="shared" si="70"/>
        <v>31700</v>
      </c>
      <c r="V687" s="55">
        <v>1</v>
      </c>
      <c r="W687" s="55">
        <v>96279</v>
      </c>
      <c r="X687" s="46">
        <v>1</v>
      </c>
      <c r="Y687" s="46">
        <v>1</v>
      </c>
      <c r="Z687" s="54">
        <v>0.21268806095728615</v>
      </c>
      <c r="AA687" s="15">
        <f t="shared" si="66"/>
        <v>1.7724005079773845E-2</v>
      </c>
      <c r="AB687" s="15">
        <f t="shared" si="67"/>
        <v>0.21268806095728615</v>
      </c>
      <c r="AC687" t="b">
        <f t="shared" si="68"/>
        <v>1</v>
      </c>
    </row>
    <row r="688" spans="1:29" x14ac:dyDescent="0.25">
      <c r="A688" s="52" t="s">
        <v>259</v>
      </c>
      <c r="B688" s="46">
        <v>30013</v>
      </c>
      <c r="C688" s="47">
        <v>45807</v>
      </c>
      <c r="D688" s="46">
        <v>311500</v>
      </c>
      <c r="E688" s="46">
        <v>2</v>
      </c>
      <c r="F688" s="52" t="s">
        <v>2328</v>
      </c>
      <c r="G688" s="46">
        <v>6</v>
      </c>
      <c r="H688" s="52" t="s">
        <v>1642</v>
      </c>
      <c r="I688" s="46"/>
      <c r="J688" s="46">
        <v>0</v>
      </c>
      <c r="K688" s="46"/>
      <c r="L688" s="52" t="s">
        <v>690</v>
      </c>
      <c r="M688" s="55">
        <v>9580000</v>
      </c>
      <c r="N688" s="46">
        <v>60</v>
      </c>
      <c r="O688" s="46">
        <v>0</v>
      </c>
      <c r="P688" s="46">
        <v>1</v>
      </c>
      <c r="Q688" s="46">
        <v>8</v>
      </c>
      <c r="R688" s="55">
        <v>284766</v>
      </c>
      <c r="S688" s="46">
        <v>1</v>
      </c>
      <c r="T688" s="55">
        <v>374250</v>
      </c>
      <c r="U688" s="55">
        <f t="shared" si="70"/>
        <v>107500</v>
      </c>
      <c r="V688" s="55">
        <v>1</v>
      </c>
      <c r="W688" s="55">
        <v>201254</v>
      </c>
      <c r="X688" s="46">
        <v>1</v>
      </c>
      <c r="Y688" s="46">
        <v>1</v>
      </c>
      <c r="Z688" s="54">
        <v>0.13159456383750556</v>
      </c>
      <c r="AA688" s="15">
        <f t="shared" si="66"/>
        <v>1.0966213653125462E-2</v>
      </c>
      <c r="AB688" s="15">
        <f t="shared" si="67"/>
        <v>0.13159456383750556</v>
      </c>
      <c r="AC688" t="b">
        <f t="shared" si="68"/>
        <v>1</v>
      </c>
    </row>
    <row r="689" spans="1:29" x14ac:dyDescent="0.25">
      <c r="A689" s="52" t="s">
        <v>259</v>
      </c>
      <c r="B689" s="46">
        <v>30013</v>
      </c>
      <c r="C689" s="47">
        <v>45807</v>
      </c>
      <c r="D689" s="46">
        <v>311500</v>
      </c>
      <c r="E689" s="46">
        <v>2</v>
      </c>
      <c r="F689" s="52" t="s">
        <v>2329</v>
      </c>
      <c r="G689" s="46">
        <v>6</v>
      </c>
      <c r="H689" s="52" t="s">
        <v>1642</v>
      </c>
      <c r="I689" s="46"/>
      <c r="J689" s="46">
        <v>0</v>
      </c>
      <c r="K689" s="46"/>
      <c r="L689" s="52" t="s">
        <v>261</v>
      </c>
      <c r="M689" s="55">
        <v>4479000</v>
      </c>
      <c r="N689" s="46">
        <v>60</v>
      </c>
      <c r="O689" s="46">
        <v>0</v>
      </c>
      <c r="P689" s="46">
        <v>1</v>
      </c>
      <c r="Q689" s="46">
        <v>12</v>
      </c>
      <c r="R689" s="55">
        <v>133138</v>
      </c>
      <c r="S689" s="46">
        <v>1</v>
      </c>
      <c r="T689" s="55">
        <v>177963</v>
      </c>
      <c r="U689" s="55">
        <f t="shared" si="70"/>
        <v>56490</v>
      </c>
      <c r="V689" s="55">
        <v>1</v>
      </c>
      <c r="W689" s="55">
        <v>104842</v>
      </c>
      <c r="X689" s="46">
        <v>1</v>
      </c>
      <c r="Y689" s="46">
        <v>1</v>
      </c>
      <c r="Z689" s="54">
        <v>0.1819616310928294</v>
      </c>
      <c r="AA689" s="15">
        <f t="shared" si="66"/>
        <v>1.5163469257735783E-2</v>
      </c>
      <c r="AB689" s="15">
        <f t="shared" si="67"/>
        <v>0.1819616310928294</v>
      </c>
      <c r="AC689" t="b">
        <f t="shared" si="68"/>
        <v>1</v>
      </c>
    </row>
    <row r="690" spans="1:29" x14ac:dyDescent="0.25">
      <c r="A690" s="52" t="s">
        <v>259</v>
      </c>
      <c r="B690" s="46">
        <v>30013</v>
      </c>
      <c r="C690" s="47">
        <v>45807</v>
      </c>
      <c r="D690" s="46">
        <v>311500</v>
      </c>
      <c r="E690" s="46">
        <v>2</v>
      </c>
      <c r="F690" s="52" t="s">
        <v>2330</v>
      </c>
      <c r="G690" s="46">
        <v>6</v>
      </c>
      <c r="H690" s="52" t="s">
        <v>784</v>
      </c>
      <c r="I690" s="46"/>
      <c r="J690" s="46">
        <v>0</v>
      </c>
      <c r="K690" s="46"/>
      <c r="L690" s="52" t="s">
        <v>261</v>
      </c>
      <c r="M690" s="55">
        <v>4470000</v>
      </c>
      <c r="N690" s="46">
        <v>60</v>
      </c>
      <c r="O690" s="46">
        <v>0</v>
      </c>
      <c r="P690" s="46">
        <v>1</v>
      </c>
      <c r="Q690" s="46">
        <v>12</v>
      </c>
      <c r="R690" s="55">
        <v>132871</v>
      </c>
      <c r="S690" s="46">
        <v>1</v>
      </c>
      <c r="T690" s="55">
        <v>177625</v>
      </c>
      <c r="U690" s="55">
        <f t="shared" si="70"/>
        <v>56400</v>
      </c>
      <c r="V690" s="55">
        <v>1</v>
      </c>
      <c r="W690" s="55">
        <v>104631</v>
      </c>
      <c r="X690" s="46">
        <v>1</v>
      </c>
      <c r="Y690" s="46">
        <v>1</v>
      </c>
      <c r="Z690" s="54">
        <v>0.18196511619620276</v>
      </c>
      <c r="AA690" s="15">
        <f t="shared" si="66"/>
        <v>1.5163759683016897E-2</v>
      </c>
      <c r="AB690" s="15">
        <f t="shared" si="67"/>
        <v>0.18196511619620276</v>
      </c>
      <c r="AC690" t="b">
        <f t="shared" si="68"/>
        <v>1</v>
      </c>
    </row>
    <row r="691" spans="1:29" x14ac:dyDescent="0.25">
      <c r="A691" s="52" t="s">
        <v>259</v>
      </c>
      <c r="B691" s="46">
        <v>30013</v>
      </c>
      <c r="C691" s="47">
        <v>45807</v>
      </c>
      <c r="D691" s="46">
        <v>321500</v>
      </c>
      <c r="E691" s="46">
        <v>2</v>
      </c>
      <c r="F691" s="52" t="s">
        <v>2331</v>
      </c>
      <c r="G691" s="46">
        <v>6</v>
      </c>
      <c r="H691" s="52" t="s">
        <v>1689</v>
      </c>
      <c r="I691" s="46"/>
      <c r="J691" s="46">
        <v>0</v>
      </c>
      <c r="K691" s="46"/>
      <c r="L691" s="52" t="s">
        <v>261</v>
      </c>
      <c r="M691" s="53">
        <v>470000</v>
      </c>
      <c r="N691" s="46">
        <v>12</v>
      </c>
      <c r="O691" s="46">
        <v>0</v>
      </c>
      <c r="P691" s="46">
        <v>1</v>
      </c>
      <c r="Q691" s="46">
        <v>10</v>
      </c>
      <c r="R691" s="53">
        <v>2794</v>
      </c>
      <c r="S691" s="46">
        <v>1</v>
      </c>
      <c r="T691" s="53">
        <v>0</v>
      </c>
      <c r="U691" s="55">
        <v>21700</v>
      </c>
      <c r="V691" s="53">
        <v>1</v>
      </c>
      <c r="W691" s="53">
        <v>41735</v>
      </c>
      <c r="X691" s="46">
        <v>1</v>
      </c>
      <c r="Y691" s="46">
        <v>1</v>
      </c>
      <c r="Z691" s="50">
        <v>0.22177849909354996</v>
      </c>
      <c r="AA691" s="15">
        <f t="shared" si="66"/>
        <v>1.8481541591129164E-2</v>
      </c>
      <c r="AB691" s="15">
        <f t="shared" si="67"/>
        <v>0.22177849909354996</v>
      </c>
      <c r="AC691" t="b">
        <f t="shared" si="68"/>
        <v>1</v>
      </c>
    </row>
    <row r="692" spans="1:29" x14ac:dyDescent="0.25">
      <c r="A692" s="46" t="s">
        <v>259</v>
      </c>
      <c r="B692" s="46">
        <v>30013</v>
      </c>
      <c r="C692" s="47">
        <v>45810</v>
      </c>
      <c r="D692" s="46">
        <v>311500</v>
      </c>
      <c r="E692" s="46">
        <v>2</v>
      </c>
      <c r="F692" s="46" t="s">
        <v>2332</v>
      </c>
      <c r="G692" s="46">
        <v>6</v>
      </c>
      <c r="H692" s="46" t="s">
        <v>784</v>
      </c>
      <c r="I692" s="46"/>
      <c r="J692" s="49">
        <v>0</v>
      </c>
      <c r="K692" s="46"/>
      <c r="L692" s="46" t="s">
        <v>261</v>
      </c>
      <c r="M692" s="53">
        <v>3100000</v>
      </c>
      <c r="N692" s="49">
        <v>48</v>
      </c>
      <c r="O692" s="49">
        <v>0</v>
      </c>
      <c r="P692" s="46">
        <v>1</v>
      </c>
      <c r="Q692" s="49">
        <v>12</v>
      </c>
      <c r="R692" s="53">
        <v>92148</v>
      </c>
      <c r="S692" s="46">
        <v>1</v>
      </c>
      <c r="T692" s="55">
        <v>103000</v>
      </c>
      <c r="U692" s="55">
        <f t="shared" ref="U692:U717" si="71">M692/100+11700</f>
        <v>42700</v>
      </c>
      <c r="V692" s="46">
        <v>1</v>
      </c>
      <c r="W692" s="53">
        <v>85129</v>
      </c>
      <c r="X692" s="46">
        <v>1</v>
      </c>
      <c r="Y692" s="46">
        <v>1</v>
      </c>
      <c r="Z692" s="50">
        <v>0.1870182791870158</v>
      </c>
      <c r="AA692" s="15">
        <f t="shared" si="66"/>
        <v>1.5584856598917982E-2</v>
      </c>
      <c r="AB692" s="15">
        <f t="shared" si="67"/>
        <v>0.1870182791870158</v>
      </c>
      <c r="AC692" t="b">
        <f t="shared" si="68"/>
        <v>1</v>
      </c>
    </row>
    <row r="693" spans="1:29" x14ac:dyDescent="0.25">
      <c r="A693" s="46" t="s">
        <v>259</v>
      </c>
      <c r="B693" s="46">
        <v>30013</v>
      </c>
      <c r="C693" s="47">
        <v>45810</v>
      </c>
      <c r="D693" s="46">
        <v>311500</v>
      </c>
      <c r="E693" s="46">
        <v>2</v>
      </c>
      <c r="F693" s="46" t="s">
        <v>2333</v>
      </c>
      <c r="G693" s="46">
        <v>6</v>
      </c>
      <c r="H693" s="46" t="s">
        <v>784</v>
      </c>
      <c r="I693" s="46"/>
      <c r="J693" s="49">
        <v>0</v>
      </c>
      <c r="K693" s="46"/>
      <c r="L693" s="46" t="s">
        <v>690</v>
      </c>
      <c r="M693" s="53">
        <v>3600000</v>
      </c>
      <c r="N693" s="49">
        <v>48</v>
      </c>
      <c r="O693" s="49">
        <v>0</v>
      </c>
      <c r="P693" s="46">
        <v>1</v>
      </c>
      <c r="Q693" s="49">
        <v>12</v>
      </c>
      <c r="R693" s="53">
        <v>107010</v>
      </c>
      <c r="S693" s="46">
        <v>1</v>
      </c>
      <c r="T693" s="55">
        <v>118000</v>
      </c>
      <c r="U693" s="55">
        <f t="shared" si="71"/>
        <v>47700</v>
      </c>
      <c r="V693" s="46">
        <v>1</v>
      </c>
      <c r="W693" s="53">
        <v>98860</v>
      </c>
      <c r="X693" s="46">
        <v>1</v>
      </c>
      <c r="Y693" s="46">
        <v>1</v>
      </c>
      <c r="Z693" s="50">
        <v>0.18642632813496268</v>
      </c>
      <c r="AA693" s="15">
        <f t="shared" si="66"/>
        <v>1.5535527344580224E-2</v>
      </c>
      <c r="AB693" s="15">
        <f t="shared" si="67"/>
        <v>0.18642632813496268</v>
      </c>
      <c r="AC693" t="b">
        <f t="shared" si="68"/>
        <v>1</v>
      </c>
    </row>
    <row r="694" spans="1:29" x14ac:dyDescent="0.25">
      <c r="A694" s="46" t="s">
        <v>259</v>
      </c>
      <c r="B694" s="46">
        <v>30013</v>
      </c>
      <c r="C694" s="47">
        <v>45810</v>
      </c>
      <c r="D694" s="46">
        <v>321300</v>
      </c>
      <c r="E694" s="46">
        <v>2</v>
      </c>
      <c r="F694" s="46" t="s">
        <v>2334</v>
      </c>
      <c r="G694" s="46">
        <v>6</v>
      </c>
      <c r="H694" s="46" t="s">
        <v>784</v>
      </c>
      <c r="I694" s="46"/>
      <c r="J694" s="49">
        <v>0</v>
      </c>
      <c r="K694" s="46"/>
      <c r="L694" s="46" t="s">
        <v>266</v>
      </c>
      <c r="M694" s="53">
        <v>4300000</v>
      </c>
      <c r="N694" s="49">
        <v>24</v>
      </c>
      <c r="O694" s="49">
        <v>0</v>
      </c>
      <c r="P694" s="46">
        <v>1</v>
      </c>
      <c r="Q694" s="49">
        <v>12</v>
      </c>
      <c r="R694" s="53">
        <v>127818</v>
      </c>
      <c r="S694" s="46">
        <v>1</v>
      </c>
      <c r="T694" s="55">
        <v>74500</v>
      </c>
      <c r="U694" s="55">
        <f t="shared" si="71"/>
        <v>54700</v>
      </c>
      <c r="V694" s="46">
        <v>1</v>
      </c>
      <c r="W694" s="53">
        <v>207000</v>
      </c>
      <c r="X694" s="46">
        <v>1</v>
      </c>
      <c r="Y694" s="46">
        <v>1</v>
      </c>
      <c r="Z694" s="50">
        <v>0.20621299178266189</v>
      </c>
      <c r="AA694" s="15">
        <f t="shared" si="66"/>
        <v>1.7184415981888492E-2</v>
      </c>
      <c r="AB694" s="15">
        <f t="shared" si="67"/>
        <v>0.20621299178266189</v>
      </c>
      <c r="AC694" t="b">
        <f t="shared" si="68"/>
        <v>1</v>
      </c>
    </row>
    <row r="695" spans="1:29" x14ac:dyDescent="0.25">
      <c r="A695" s="46" t="s">
        <v>259</v>
      </c>
      <c r="B695" s="46">
        <v>30013</v>
      </c>
      <c r="C695" s="47">
        <v>45810</v>
      </c>
      <c r="D695" s="46">
        <v>311500</v>
      </c>
      <c r="E695" s="46">
        <v>2</v>
      </c>
      <c r="F695" s="46" t="s">
        <v>2335</v>
      </c>
      <c r="G695" s="46">
        <v>6</v>
      </c>
      <c r="H695" s="46" t="s">
        <v>784</v>
      </c>
      <c r="I695" s="46"/>
      <c r="J695" s="49">
        <v>0</v>
      </c>
      <c r="K695" s="46"/>
      <c r="L695" s="46" t="s">
        <v>261</v>
      </c>
      <c r="M695" s="53">
        <v>4440000</v>
      </c>
      <c r="N695" s="49">
        <v>60</v>
      </c>
      <c r="O695" s="49">
        <v>0</v>
      </c>
      <c r="P695" s="46">
        <v>1</v>
      </c>
      <c r="Q695" s="49">
        <v>12</v>
      </c>
      <c r="R695" s="53">
        <v>131979</v>
      </c>
      <c r="S695" s="46">
        <v>1</v>
      </c>
      <c r="T695" s="55">
        <v>176500</v>
      </c>
      <c r="U695" s="55">
        <f t="shared" si="71"/>
        <v>56100</v>
      </c>
      <c r="V695" s="46">
        <v>1</v>
      </c>
      <c r="W695" s="53">
        <v>103929</v>
      </c>
      <c r="X695" s="46">
        <v>1</v>
      </c>
      <c r="Y695" s="46">
        <v>1</v>
      </c>
      <c r="Z695" s="50">
        <v>0.18198279782847374</v>
      </c>
      <c r="AA695" s="15">
        <f t="shared" si="66"/>
        <v>1.5165233152372811E-2</v>
      </c>
      <c r="AB695" s="15">
        <f t="shared" si="67"/>
        <v>0.18198279782847374</v>
      </c>
      <c r="AC695" t="b">
        <f t="shared" si="68"/>
        <v>1</v>
      </c>
    </row>
    <row r="696" spans="1:29" x14ac:dyDescent="0.25">
      <c r="A696" s="46" t="s">
        <v>259</v>
      </c>
      <c r="B696" s="46">
        <v>30013</v>
      </c>
      <c r="C696" s="47">
        <v>45810</v>
      </c>
      <c r="D696" s="46">
        <v>311500</v>
      </c>
      <c r="E696" s="46">
        <v>2</v>
      </c>
      <c r="F696" s="46" t="s">
        <v>2336</v>
      </c>
      <c r="G696" s="46">
        <v>6</v>
      </c>
      <c r="H696" s="46" t="s">
        <v>784</v>
      </c>
      <c r="I696" s="46"/>
      <c r="J696" s="49">
        <v>0</v>
      </c>
      <c r="K696" s="46"/>
      <c r="L696" s="46" t="s">
        <v>261</v>
      </c>
      <c r="M696" s="53">
        <v>2100000</v>
      </c>
      <c r="N696" s="49">
        <v>48</v>
      </c>
      <c r="O696" s="49">
        <v>0</v>
      </c>
      <c r="P696" s="46">
        <v>1</v>
      </c>
      <c r="Q696" s="49">
        <v>13</v>
      </c>
      <c r="R696" s="53">
        <v>62423</v>
      </c>
      <c r="S696" s="46">
        <v>1</v>
      </c>
      <c r="T696" s="55">
        <v>73000</v>
      </c>
      <c r="U696" s="55">
        <f t="shared" si="71"/>
        <v>32700</v>
      </c>
      <c r="V696" s="46">
        <v>1</v>
      </c>
      <c r="W696" s="53">
        <v>58932</v>
      </c>
      <c r="X696" s="46">
        <v>1</v>
      </c>
      <c r="Y696" s="46">
        <v>1</v>
      </c>
      <c r="Z696" s="50">
        <v>0.20140082915179919</v>
      </c>
      <c r="AA696" s="15">
        <f t="shared" si="66"/>
        <v>1.6783402429316599E-2</v>
      </c>
      <c r="AB696" s="15">
        <f t="shared" si="67"/>
        <v>0.20140082915179919</v>
      </c>
      <c r="AC696" t="b">
        <f t="shared" si="68"/>
        <v>1</v>
      </c>
    </row>
    <row r="697" spans="1:29" x14ac:dyDescent="0.25">
      <c r="A697" s="46" t="s">
        <v>259</v>
      </c>
      <c r="B697" s="46">
        <v>30013</v>
      </c>
      <c r="C697" s="47">
        <v>45810</v>
      </c>
      <c r="D697" s="46">
        <v>311500</v>
      </c>
      <c r="E697" s="46">
        <v>2</v>
      </c>
      <c r="F697" s="46" t="s">
        <v>2337</v>
      </c>
      <c r="G697" s="46">
        <v>6</v>
      </c>
      <c r="H697" s="46" t="s">
        <v>1650</v>
      </c>
      <c r="I697" s="46"/>
      <c r="J697" s="49">
        <v>0</v>
      </c>
      <c r="K697" s="46"/>
      <c r="L697" s="46" t="s">
        <v>702</v>
      </c>
      <c r="M697" s="53">
        <v>6000000</v>
      </c>
      <c r="N697" s="49">
        <v>36</v>
      </c>
      <c r="O697" s="49">
        <v>0</v>
      </c>
      <c r="P697" s="46">
        <v>1</v>
      </c>
      <c r="Q697" s="49">
        <v>8</v>
      </c>
      <c r="R697" s="53">
        <v>178350</v>
      </c>
      <c r="S697" s="46">
        <v>1</v>
      </c>
      <c r="T697" s="55">
        <v>145000</v>
      </c>
      <c r="U697" s="55">
        <f t="shared" si="71"/>
        <v>71700</v>
      </c>
      <c r="V697" s="46">
        <v>1</v>
      </c>
      <c r="W697" s="53">
        <v>192231</v>
      </c>
      <c r="X697" s="46">
        <v>1</v>
      </c>
      <c r="Y697" s="46">
        <v>1</v>
      </c>
      <c r="Z697" s="50">
        <v>0.14244802467303977</v>
      </c>
      <c r="AA697" s="15">
        <f t="shared" si="66"/>
        <v>1.1870668722753315E-2</v>
      </c>
      <c r="AB697" s="15">
        <f t="shared" si="67"/>
        <v>0.14244802467303977</v>
      </c>
      <c r="AC697" t="b">
        <f t="shared" si="68"/>
        <v>1</v>
      </c>
    </row>
    <row r="698" spans="1:29" x14ac:dyDescent="0.25">
      <c r="A698" s="46" t="s">
        <v>259</v>
      </c>
      <c r="B698" s="46">
        <v>30013</v>
      </c>
      <c r="C698" s="47">
        <v>45810</v>
      </c>
      <c r="D698" s="46">
        <v>311500</v>
      </c>
      <c r="E698" s="46">
        <v>2</v>
      </c>
      <c r="F698" s="46" t="s">
        <v>2338</v>
      </c>
      <c r="G698" s="46">
        <v>6</v>
      </c>
      <c r="H698" s="46" t="s">
        <v>784</v>
      </c>
      <c r="I698" s="46"/>
      <c r="J698" s="49">
        <v>0</v>
      </c>
      <c r="K698" s="46"/>
      <c r="L698" s="46" t="s">
        <v>700</v>
      </c>
      <c r="M698" s="53">
        <v>4560000</v>
      </c>
      <c r="N698" s="49">
        <v>60</v>
      </c>
      <c r="O698" s="49">
        <v>0</v>
      </c>
      <c r="P698" s="46">
        <v>1</v>
      </c>
      <c r="Q698" s="49">
        <v>12</v>
      </c>
      <c r="R698" s="53">
        <v>135546</v>
      </c>
      <c r="S698" s="46">
        <v>1</v>
      </c>
      <c r="T698" s="55">
        <v>181000</v>
      </c>
      <c r="U698" s="55">
        <f t="shared" si="71"/>
        <v>57300</v>
      </c>
      <c r="V698" s="46">
        <v>1</v>
      </c>
      <c r="W698" s="53">
        <v>106738</v>
      </c>
      <c r="X698" s="46">
        <v>1</v>
      </c>
      <c r="Y698" s="46">
        <v>1</v>
      </c>
      <c r="Z698" s="50">
        <v>0.1819177422410754</v>
      </c>
      <c r="AA698" s="15">
        <f t="shared" si="66"/>
        <v>1.5159811853422951E-2</v>
      </c>
      <c r="AB698" s="15">
        <f t="shared" si="67"/>
        <v>0.1819177422410754</v>
      </c>
      <c r="AC698" t="b">
        <f t="shared" si="68"/>
        <v>1</v>
      </c>
    </row>
    <row r="699" spans="1:29" x14ac:dyDescent="0.25">
      <c r="A699" s="46" t="s">
        <v>259</v>
      </c>
      <c r="B699" s="46">
        <v>30013</v>
      </c>
      <c r="C699" s="47">
        <v>45810</v>
      </c>
      <c r="D699" s="46">
        <v>311500</v>
      </c>
      <c r="E699" s="46">
        <v>2</v>
      </c>
      <c r="F699" s="46" t="s">
        <v>2339</v>
      </c>
      <c r="G699" s="46">
        <v>6</v>
      </c>
      <c r="H699" s="46" t="s">
        <v>784</v>
      </c>
      <c r="I699" s="46"/>
      <c r="J699" s="49">
        <v>0</v>
      </c>
      <c r="K699" s="46"/>
      <c r="L699" s="46" t="s">
        <v>261</v>
      </c>
      <c r="M699" s="53">
        <v>4750000</v>
      </c>
      <c r="N699" s="49">
        <v>60</v>
      </c>
      <c r="O699" s="49">
        <v>0</v>
      </c>
      <c r="P699" s="46">
        <v>1</v>
      </c>
      <c r="Q699" s="49">
        <v>12</v>
      </c>
      <c r="R699" s="53">
        <v>141194</v>
      </c>
      <c r="S699" s="46">
        <v>1</v>
      </c>
      <c r="T699" s="55">
        <v>188125</v>
      </c>
      <c r="U699" s="55">
        <f t="shared" si="71"/>
        <v>59200</v>
      </c>
      <c r="V699" s="46">
        <v>1</v>
      </c>
      <c r="W699" s="53">
        <v>111185</v>
      </c>
      <c r="X699" s="46">
        <v>1</v>
      </c>
      <c r="Y699" s="46">
        <v>1</v>
      </c>
      <c r="Z699" s="50">
        <v>0.18181905786657448</v>
      </c>
      <c r="AA699" s="15">
        <f t="shared" si="66"/>
        <v>1.5151588155547874E-2</v>
      </c>
      <c r="AB699" s="15">
        <f t="shared" si="67"/>
        <v>0.18181905786657448</v>
      </c>
      <c r="AC699" t="b">
        <f t="shared" si="68"/>
        <v>1</v>
      </c>
    </row>
    <row r="700" spans="1:29" x14ac:dyDescent="0.25">
      <c r="A700" s="46" t="s">
        <v>259</v>
      </c>
      <c r="B700" s="46">
        <v>30013</v>
      </c>
      <c r="C700" s="47">
        <v>45811</v>
      </c>
      <c r="D700" s="46">
        <v>311500</v>
      </c>
      <c r="E700" s="46">
        <v>2</v>
      </c>
      <c r="F700" s="46" t="s">
        <v>2340</v>
      </c>
      <c r="G700" s="46">
        <v>6</v>
      </c>
      <c r="H700" s="46" t="s">
        <v>1650</v>
      </c>
      <c r="I700" s="46"/>
      <c r="J700" s="49">
        <v>0</v>
      </c>
      <c r="K700" s="46"/>
      <c r="L700" s="46" t="s">
        <v>261</v>
      </c>
      <c r="M700" s="53">
        <v>12000000</v>
      </c>
      <c r="N700" s="49">
        <v>60</v>
      </c>
      <c r="O700" s="49">
        <v>0</v>
      </c>
      <c r="P700" s="46">
        <v>1</v>
      </c>
      <c r="Q700" s="49">
        <v>9</v>
      </c>
      <c r="R700" s="53">
        <v>356700</v>
      </c>
      <c r="S700" s="46">
        <v>1</v>
      </c>
      <c r="T700" s="55">
        <v>465000</v>
      </c>
      <c r="U700" s="55">
        <f t="shared" si="71"/>
        <v>131700</v>
      </c>
      <c r="V700" s="46">
        <v>1</v>
      </c>
      <c r="W700" s="53">
        <v>259123</v>
      </c>
      <c r="X700" s="46">
        <v>1</v>
      </c>
      <c r="Y700" s="46">
        <v>1</v>
      </c>
      <c r="Z700" s="50">
        <v>0.14363751464748403</v>
      </c>
      <c r="AA700" s="15">
        <f t="shared" si="66"/>
        <v>1.1969792887290337E-2</v>
      </c>
      <c r="AB700" s="15">
        <f t="shared" si="67"/>
        <v>0.14363751464748403</v>
      </c>
      <c r="AC700" t="b">
        <f t="shared" si="68"/>
        <v>1</v>
      </c>
    </row>
    <row r="701" spans="1:29" x14ac:dyDescent="0.25">
      <c r="A701" s="46" t="s">
        <v>259</v>
      </c>
      <c r="B701" s="46">
        <v>30013</v>
      </c>
      <c r="C701" s="47">
        <v>45811</v>
      </c>
      <c r="D701" s="46">
        <v>311500</v>
      </c>
      <c r="E701" s="46">
        <v>2</v>
      </c>
      <c r="F701" s="46" t="s">
        <v>2341</v>
      </c>
      <c r="G701" s="46">
        <v>6</v>
      </c>
      <c r="H701" s="46" t="s">
        <v>784</v>
      </c>
      <c r="I701" s="46"/>
      <c r="J701" s="49">
        <v>0</v>
      </c>
      <c r="K701" s="46"/>
      <c r="L701" s="46" t="s">
        <v>687</v>
      </c>
      <c r="M701" s="53">
        <v>5000000</v>
      </c>
      <c r="N701" s="49">
        <v>60</v>
      </c>
      <c r="O701" s="49">
        <v>0</v>
      </c>
      <c r="P701" s="46">
        <v>1</v>
      </c>
      <c r="Q701" s="49">
        <v>12</v>
      </c>
      <c r="R701" s="53">
        <v>148625</v>
      </c>
      <c r="S701" s="46">
        <v>1</v>
      </c>
      <c r="T701" s="55">
        <v>197500</v>
      </c>
      <c r="U701" s="55">
        <f t="shared" si="71"/>
        <v>61700</v>
      </c>
      <c r="V701" s="46">
        <v>1</v>
      </c>
      <c r="W701" s="53">
        <v>117037</v>
      </c>
      <c r="X701" s="46">
        <v>1</v>
      </c>
      <c r="Y701" s="46">
        <v>1</v>
      </c>
      <c r="Z701" s="50">
        <v>0.18170335041994667</v>
      </c>
      <c r="AA701" s="15">
        <f t="shared" si="66"/>
        <v>1.5141945868328888E-2</v>
      </c>
      <c r="AB701" s="15">
        <f t="shared" si="67"/>
        <v>0.18170335041994667</v>
      </c>
      <c r="AC701" t="b">
        <f t="shared" si="68"/>
        <v>1</v>
      </c>
    </row>
    <row r="702" spans="1:29" x14ac:dyDescent="0.25">
      <c r="A702" s="46" t="s">
        <v>259</v>
      </c>
      <c r="B702" s="46">
        <v>30013</v>
      </c>
      <c r="C702" s="47">
        <v>45811</v>
      </c>
      <c r="D702" s="46">
        <v>311500</v>
      </c>
      <c r="E702" s="46">
        <v>2</v>
      </c>
      <c r="F702" s="46" t="s">
        <v>2342</v>
      </c>
      <c r="G702" s="46">
        <v>6</v>
      </c>
      <c r="H702" s="46" t="s">
        <v>784</v>
      </c>
      <c r="I702" s="46"/>
      <c r="J702" s="49">
        <v>0</v>
      </c>
      <c r="K702" s="46"/>
      <c r="L702" s="46" t="s">
        <v>261</v>
      </c>
      <c r="M702" s="53">
        <v>4105000</v>
      </c>
      <c r="N702" s="49">
        <v>60</v>
      </c>
      <c r="O702" s="49">
        <v>0</v>
      </c>
      <c r="P702" s="46">
        <v>1</v>
      </c>
      <c r="Q702" s="49">
        <v>12</v>
      </c>
      <c r="R702" s="53">
        <v>122021</v>
      </c>
      <c r="S702" s="46">
        <v>1</v>
      </c>
      <c r="T702" s="55">
        <v>163938</v>
      </c>
      <c r="U702" s="55">
        <f t="shared" si="71"/>
        <v>52750</v>
      </c>
      <c r="V702" s="46">
        <v>1</v>
      </c>
      <c r="W702" s="53">
        <v>96087</v>
      </c>
      <c r="X702" s="46">
        <v>1</v>
      </c>
      <c r="Y702" s="46">
        <v>1</v>
      </c>
      <c r="Z702" s="50">
        <v>0.18218365882785925</v>
      </c>
      <c r="AA702" s="15">
        <f t="shared" si="66"/>
        <v>1.5181971568988272E-2</v>
      </c>
      <c r="AB702" s="15">
        <f t="shared" si="67"/>
        <v>0.18218365882785925</v>
      </c>
      <c r="AC702" t="b">
        <f t="shared" si="68"/>
        <v>1</v>
      </c>
    </row>
    <row r="703" spans="1:29" x14ac:dyDescent="0.25">
      <c r="A703" s="46" t="s">
        <v>259</v>
      </c>
      <c r="B703" s="46">
        <v>30013</v>
      </c>
      <c r="C703" s="47">
        <v>45811</v>
      </c>
      <c r="D703" s="46">
        <v>321300</v>
      </c>
      <c r="E703" s="46">
        <v>2</v>
      </c>
      <c r="F703" s="46" t="s">
        <v>2343</v>
      </c>
      <c r="G703" s="46">
        <v>6</v>
      </c>
      <c r="H703" s="46" t="s">
        <v>1642</v>
      </c>
      <c r="I703" s="46"/>
      <c r="J703" s="49">
        <v>0</v>
      </c>
      <c r="K703" s="46"/>
      <c r="L703" s="46" t="s">
        <v>231</v>
      </c>
      <c r="M703" s="53">
        <v>2500000</v>
      </c>
      <c r="N703" s="49">
        <v>24</v>
      </c>
      <c r="O703" s="49">
        <v>0</v>
      </c>
      <c r="P703" s="46">
        <v>1</v>
      </c>
      <c r="Q703" s="49">
        <v>10</v>
      </c>
      <c r="R703" s="53">
        <v>74313</v>
      </c>
      <c r="S703" s="46">
        <v>1</v>
      </c>
      <c r="T703" s="55">
        <v>47500</v>
      </c>
      <c r="U703" s="55">
        <f t="shared" si="71"/>
        <v>36700</v>
      </c>
      <c r="V703" s="46">
        <v>1</v>
      </c>
      <c r="W703" s="53">
        <v>117555</v>
      </c>
      <c r="X703" s="46">
        <v>1</v>
      </c>
      <c r="Y703" s="46">
        <v>1</v>
      </c>
      <c r="Z703" s="50">
        <v>0.18580991019580156</v>
      </c>
      <c r="AA703" s="15">
        <f t="shared" si="66"/>
        <v>1.5484159182983463E-2</v>
      </c>
      <c r="AB703" s="15">
        <f t="shared" si="67"/>
        <v>0.18580991019580156</v>
      </c>
      <c r="AC703" t="b">
        <f t="shared" si="68"/>
        <v>1</v>
      </c>
    </row>
    <row r="704" spans="1:29" x14ac:dyDescent="0.25">
      <c r="A704" s="46" t="s">
        <v>259</v>
      </c>
      <c r="B704" s="46">
        <v>30013</v>
      </c>
      <c r="C704" s="47">
        <v>45811</v>
      </c>
      <c r="D704" s="46">
        <v>311500</v>
      </c>
      <c r="E704" s="46">
        <v>2</v>
      </c>
      <c r="F704" s="46" t="s">
        <v>2344</v>
      </c>
      <c r="G704" s="46">
        <v>6</v>
      </c>
      <c r="H704" s="46" t="s">
        <v>784</v>
      </c>
      <c r="I704" s="46"/>
      <c r="J704" s="49">
        <v>0</v>
      </c>
      <c r="K704" s="46"/>
      <c r="L704" s="46" t="s">
        <v>261</v>
      </c>
      <c r="M704" s="53">
        <v>3400000</v>
      </c>
      <c r="N704" s="49">
        <v>60</v>
      </c>
      <c r="O704" s="49">
        <v>0</v>
      </c>
      <c r="P704" s="46">
        <v>1</v>
      </c>
      <c r="Q704" s="49">
        <v>12</v>
      </c>
      <c r="R704" s="53">
        <v>101065</v>
      </c>
      <c r="S704" s="46">
        <v>1</v>
      </c>
      <c r="T704" s="55">
        <v>137500</v>
      </c>
      <c r="U704" s="55">
        <f t="shared" si="71"/>
        <v>45700</v>
      </c>
      <c r="V704" s="46">
        <v>1</v>
      </c>
      <c r="W704" s="53">
        <v>79585</v>
      </c>
      <c r="X704" s="46">
        <v>1</v>
      </c>
      <c r="Y704" s="46">
        <v>1</v>
      </c>
      <c r="Z704" s="50">
        <v>0.18274387664845429</v>
      </c>
      <c r="AA704" s="15">
        <f t="shared" si="66"/>
        <v>1.5228656387371191E-2</v>
      </c>
      <c r="AB704" s="15">
        <f t="shared" si="67"/>
        <v>0.18274387664845429</v>
      </c>
      <c r="AC704" t="b">
        <f t="shared" si="68"/>
        <v>1</v>
      </c>
    </row>
    <row r="705" spans="1:29" x14ac:dyDescent="0.25">
      <c r="A705" s="46" t="s">
        <v>259</v>
      </c>
      <c r="B705" s="46">
        <v>30013</v>
      </c>
      <c r="C705" s="47">
        <v>45811</v>
      </c>
      <c r="D705" s="46">
        <v>311500</v>
      </c>
      <c r="E705" s="46">
        <v>2</v>
      </c>
      <c r="F705" s="46" t="s">
        <v>2345</v>
      </c>
      <c r="G705" s="46">
        <v>6</v>
      </c>
      <c r="H705" s="46" t="s">
        <v>784</v>
      </c>
      <c r="I705" s="46"/>
      <c r="J705" s="49">
        <v>0</v>
      </c>
      <c r="K705" s="46"/>
      <c r="L705" s="46" t="s">
        <v>261</v>
      </c>
      <c r="M705" s="53">
        <v>4280000</v>
      </c>
      <c r="N705" s="49">
        <v>60</v>
      </c>
      <c r="O705" s="49">
        <v>0</v>
      </c>
      <c r="P705" s="46">
        <v>1</v>
      </c>
      <c r="Q705" s="49">
        <v>12</v>
      </c>
      <c r="R705" s="53">
        <v>127223</v>
      </c>
      <c r="S705" s="46">
        <v>1</v>
      </c>
      <c r="T705" s="55">
        <v>170500</v>
      </c>
      <c r="U705" s="55">
        <f t="shared" si="71"/>
        <v>54500</v>
      </c>
      <c r="V705" s="46">
        <v>1</v>
      </c>
      <c r="W705" s="53">
        <v>100184</v>
      </c>
      <c r="X705" s="46">
        <v>1</v>
      </c>
      <c r="Y705" s="46">
        <v>1</v>
      </c>
      <c r="Z705" s="50">
        <v>0.18207679255026926</v>
      </c>
      <c r="AA705" s="15">
        <f t="shared" si="66"/>
        <v>1.5173066045855773E-2</v>
      </c>
      <c r="AB705" s="15">
        <f t="shared" si="67"/>
        <v>0.18207679255026926</v>
      </c>
      <c r="AC705" t="b">
        <f t="shared" si="68"/>
        <v>1</v>
      </c>
    </row>
    <row r="706" spans="1:29" x14ac:dyDescent="0.25">
      <c r="A706" s="46" t="s">
        <v>259</v>
      </c>
      <c r="B706" s="46">
        <v>30013</v>
      </c>
      <c r="C706" s="47">
        <v>45811</v>
      </c>
      <c r="D706" s="46">
        <v>311500</v>
      </c>
      <c r="E706" s="46">
        <v>2</v>
      </c>
      <c r="F706" s="46" t="s">
        <v>2346</v>
      </c>
      <c r="G706" s="46">
        <v>6</v>
      </c>
      <c r="H706" s="46" t="s">
        <v>784</v>
      </c>
      <c r="I706" s="46"/>
      <c r="J706" s="49">
        <v>0</v>
      </c>
      <c r="K706" s="46"/>
      <c r="L706" s="46" t="s">
        <v>261</v>
      </c>
      <c r="M706" s="53">
        <v>4730000</v>
      </c>
      <c r="N706" s="49">
        <v>60</v>
      </c>
      <c r="O706" s="49">
        <v>0</v>
      </c>
      <c r="P706" s="46">
        <v>1</v>
      </c>
      <c r="Q706" s="49">
        <v>12</v>
      </c>
      <c r="R706" s="53">
        <v>140599</v>
      </c>
      <c r="S706" s="46">
        <v>1</v>
      </c>
      <c r="T706" s="55">
        <v>187375</v>
      </c>
      <c r="U706" s="55">
        <f t="shared" si="71"/>
        <v>59000</v>
      </c>
      <c r="V706" s="46">
        <v>1</v>
      </c>
      <c r="W706" s="53">
        <v>110717</v>
      </c>
      <c r="X706" s="46">
        <v>1</v>
      </c>
      <c r="Y706" s="46">
        <v>1</v>
      </c>
      <c r="Z706" s="50">
        <v>0.18182946459224827</v>
      </c>
      <c r="AA706" s="15">
        <f t="shared" si="66"/>
        <v>1.5152455382687356E-2</v>
      </c>
      <c r="AB706" s="15">
        <f t="shared" si="67"/>
        <v>0.18182946459224827</v>
      </c>
      <c r="AC706" t="b">
        <f t="shared" si="68"/>
        <v>1</v>
      </c>
    </row>
    <row r="707" spans="1:29" x14ac:dyDescent="0.25">
      <c r="A707" s="46" t="s">
        <v>259</v>
      </c>
      <c r="B707" s="46">
        <v>30013</v>
      </c>
      <c r="C707" s="47">
        <v>45811</v>
      </c>
      <c r="D707" s="46">
        <v>311500</v>
      </c>
      <c r="E707" s="46">
        <v>2</v>
      </c>
      <c r="F707" s="46" t="s">
        <v>2347</v>
      </c>
      <c r="G707" s="46">
        <v>6</v>
      </c>
      <c r="H707" s="46" t="s">
        <v>784</v>
      </c>
      <c r="I707" s="46"/>
      <c r="J707" s="49">
        <v>0</v>
      </c>
      <c r="K707" s="46"/>
      <c r="L707" s="46" t="s">
        <v>270</v>
      </c>
      <c r="M707" s="53">
        <v>5000000</v>
      </c>
      <c r="N707" s="49">
        <v>48</v>
      </c>
      <c r="O707" s="49">
        <v>0</v>
      </c>
      <c r="P707" s="46">
        <v>1</v>
      </c>
      <c r="Q707" s="49">
        <v>8</v>
      </c>
      <c r="R707" s="53">
        <v>148625</v>
      </c>
      <c r="S707" s="46">
        <v>1</v>
      </c>
      <c r="T707" s="55">
        <v>160000</v>
      </c>
      <c r="U707" s="55">
        <f t="shared" si="71"/>
        <v>61700</v>
      </c>
      <c r="V707" s="46">
        <v>1</v>
      </c>
      <c r="W707" s="53">
        <v>125644</v>
      </c>
      <c r="X707" s="46">
        <v>1</v>
      </c>
      <c r="Y707" s="46">
        <v>1</v>
      </c>
      <c r="Z707" s="50">
        <v>0.13625201976121146</v>
      </c>
      <c r="AA707" s="15">
        <f t="shared" si="66"/>
        <v>1.1354334980100954E-2</v>
      </c>
      <c r="AB707" s="15">
        <f t="shared" si="67"/>
        <v>0.13625201976121146</v>
      </c>
      <c r="AC707" t="b">
        <f t="shared" si="68"/>
        <v>1</v>
      </c>
    </row>
    <row r="708" spans="1:29" x14ac:dyDescent="0.25">
      <c r="A708" s="46" t="s">
        <v>259</v>
      </c>
      <c r="B708" s="46">
        <v>30013</v>
      </c>
      <c r="C708" s="47">
        <v>45811</v>
      </c>
      <c r="D708" s="46">
        <v>311500</v>
      </c>
      <c r="E708" s="46">
        <v>2</v>
      </c>
      <c r="F708" s="46" t="s">
        <v>2348</v>
      </c>
      <c r="G708" s="46">
        <v>6</v>
      </c>
      <c r="H708" s="46" t="s">
        <v>784</v>
      </c>
      <c r="I708" s="46"/>
      <c r="J708" s="49">
        <v>0</v>
      </c>
      <c r="K708" s="46"/>
      <c r="L708" s="46" t="s">
        <v>261</v>
      </c>
      <c r="M708" s="53">
        <v>4700000</v>
      </c>
      <c r="N708" s="49">
        <v>60</v>
      </c>
      <c r="O708" s="49">
        <v>0</v>
      </c>
      <c r="P708" s="46">
        <v>1</v>
      </c>
      <c r="Q708" s="49">
        <v>13</v>
      </c>
      <c r="R708" s="53">
        <v>139708</v>
      </c>
      <c r="S708" s="46">
        <v>1</v>
      </c>
      <c r="T708" s="55">
        <v>186250</v>
      </c>
      <c r="U708" s="55">
        <f t="shared" si="71"/>
        <v>58700</v>
      </c>
      <c r="V708" s="46">
        <v>1</v>
      </c>
      <c r="W708" s="53">
        <v>112943</v>
      </c>
      <c r="X708" s="46">
        <v>1</v>
      </c>
      <c r="Y708" s="46">
        <v>1</v>
      </c>
      <c r="Z708" s="50">
        <v>0.19420424792847685</v>
      </c>
      <c r="AA708" s="15">
        <f t="shared" ref="AA708:AA718" si="72">RATE(N708,-W708,M708-R708-T708-U708)</f>
        <v>1.6183687327373072E-2</v>
      </c>
      <c r="AB708" s="15">
        <f t="shared" ref="AB708:AB718" si="73">IF(P708=1,AA708*12,IF(P708=2,AA708*4,IF(P708=3,AA708*2,AA708)))</f>
        <v>0.19420424792847685</v>
      </c>
      <c r="AC708" t="b">
        <f t="shared" ref="AC708:AC718" si="74">AB708=Z708</f>
        <v>1</v>
      </c>
    </row>
    <row r="709" spans="1:29" x14ac:dyDescent="0.25">
      <c r="A709" s="46" t="s">
        <v>259</v>
      </c>
      <c r="B709" s="46">
        <v>30013</v>
      </c>
      <c r="C709" s="47">
        <v>45811</v>
      </c>
      <c r="D709" s="46">
        <v>311500</v>
      </c>
      <c r="E709" s="46">
        <v>2</v>
      </c>
      <c r="F709" s="46" t="s">
        <v>2349</v>
      </c>
      <c r="G709" s="46">
        <v>6</v>
      </c>
      <c r="H709" s="46" t="s">
        <v>1689</v>
      </c>
      <c r="I709" s="46"/>
      <c r="J709" s="49">
        <v>0</v>
      </c>
      <c r="K709" s="46"/>
      <c r="L709" s="46" t="s">
        <v>688</v>
      </c>
      <c r="M709" s="53">
        <v>3400000</v>
      </c>
      <c r="N709" s="49">
        <v>48</v>
      </c>
      <c r="O709" s="49">
        <v>0</v>
      </c>
      <c r="P709" s="46">
        <v>1</v>
      </c>
      <c r="Q709" s="49">
        <v>8</v>
      </c>
      <c r="R709" s="53">
        <v>101065</v>
      </c>
      <c r="S709" s="46">
        <v>1</v>
      </c>
      <c r="T709" s="55">
        <v>96365</v>
      </c>
      <c r="U709" s="55">
        <f t="shared" si="71"/>
        <v>45700</v>
      </c>
      <c r="V709" s="46">
        <v>1</v>
      </c>
      <c r="W709" s="53">
        <v>85438</v>
      </c>
      <c r="X709" s="46">
        <v>1</v>
      </c>
      <c r="Y709" s="46">
        <v>1</v>
      </c>
      <c r="Z709" s="50">
        <v>0.13475599210269662</v>
      </c>
      <c r="AA709" s="15">
        <f t="shared" si="72"/>
        <v>1.1229666008558051E-2</v>
      </c>
      <c r="AB709" s="15">
        <f t="shared" si="73"/>
        <v>0.13475599210269662</v>
      </c>
      <c r="AC709" t="b">
        <f t="shared" si="74"/>
        <v>1</v>
      </c>
    </row>
    <row r="710" spans="1:29" x14ac:dyDescent="0.25">
      <c r="A710" s="46" t="s">
        <v>259</v>
      </c>
      <c r="B710" s="46">
        <v>30013</v>
      </c>
      <c r="C710" s="47">
        <v>45812</v>
      </c>
      <c r="D710" s="46">
        <v>311500</v>
      </c>
      <c r="E710" s="46">
        <v>2</v>
      </c>
      <c r="F710" s="46" t="s">
        <v>2350</v>
      </c>
      <c r="G710" s="46">
        <v>6</v>
      </c>
      <c r="H710" s="46" t="s">
        <v>784</v>
      </c>
      <c r="I710" s="46"/>
      <c r="J710" s="49">
        <v>0</v>
      </c>
      <c r="K710" s="46"/>
      <c r="L710" s="46" t="s">
        <v>261</v>
      </c>
      <c r="M710" s="53">
        <v>2250000</v>
      </c>
      <c r="N710" s="49">
        <v>48</v>
      </c>
      <c r="O710" s="49">
        <v>0</v>
      </c>
      <c r="P710" s="46">
        <v>1</v>
      </c>
      <c r="Q710" s="49">
        <v>13</v>
      </c>
      <c r="R710" s="53">
        <v>66881</v>
      </c>
      <c r="S710" s="46">
        <v>1</v>
      </c>
      <c r="T710" s="55">
        <v>77500</v>
      </c>
      <c r="U710" s="55">
        <f t="shared" si="71"/>
        <v>34200</v>
      </c>
      <c r="V710" s="46">
        <v>1</v>
      </c>
      <c r="W710" s="53">
        <v>63142</v>
      </c>
      <c r="X710" s="46">
        <v>1</v>
      </c>
      <c r="Y710" s="46">
        <v>1</v>
      </c>
      <c r="Z710" s="50">
        <v>0.20097784412258846</v>
      </c>
      <c r="AA710" s="15">
        <f t="shared" si="72"/>
        <v>1.6748153676882371E-2</v>
      </c>
      <c r="AB710" s="15">
        <f t="shared" si="73"/>
        <v>0.20097784412258846</v>
      </c>
      <c r="AC710" t="b">
        <f t="shared" si="74"/>
        <v>1</v>
      </c>
    </row>
    <row r="711" spans="1:29" x14ac:dyDescent="0.25">
      <c r="A711" s="46" t="s">
        <v>259</v>
      </c>
      <c r="B711" s="46">
        <v>30013</v>
      </c>
      <c r="C711" s="47">
        <v>45812</v>
      </c>
      <c r="D711" s="46">
        <v>311500</v>
      </c>
      <c r="E711" s="46">
        <v>2</v>
      </c>
      <c r="F711" s="46" t="s">
        <v>2351</v>
      </c>
      <c r="G711" s="46">
        <v>6</v>
      </c>
      <c r="H711" s="46" t="s">
        <v>784</v>
      </c>
      <c r="I711" s="46"/>
      <c r="J711" s="49">
        <v>0</v>
      </c>
      <c r="K711" s="46"/>
      <c r="L711" s="46" t="s">
        <v>261</v>
      </c>
      <c r="M711" s="53">
        <v>4300000</v>
      </c>
      <c r="N711" s="49">
        <v>60</v>
      </c>
      <c r="O711" s="49">
        <v>0</v>
      </c>
      <c r="P711" s="46">
        <v>1</v>
      </c>
      <c r="Q711" s="49">
        <v>12</v>
      </c>
      <c r="R711" s="53">
        <v>127818</v>
      </c>
      <c r="S711" s="46">
        <v>1</v>
      </c>
      <c r="T711" s="55">
        <v>171250</v>
      </c>
      <c r="U711" s="55">
        <f t="shared" si="71"/>
        <v>54700</v>
      </c>
      <c r="V711" s="46">
        <v>1</v>
      </c>
      <c r="W711" s="53">
        <v>100652</v>
      </c>
      <c r="X711" s="46">
        <v>1</v>
      </c>
      <c r="Y711" s="46">
        <v>1</v>
      </c>
      <c r="Z711" s="50">
        <v>0.18206413750872019</v>
      </c>
      <c r="AA711" s="15">
        <f t="shared" si="72"/>
        <v>1.5172011459060017E-2</v>
      </c>
      <c r="AB711" s="15">
        <f t="shared" si="73"/>
        <v>0.18206413750872019</v>
      </c>
      <c r="AC711" t="b">
        <f t="shared" si="74"/>
        <v>1</v>
      </c>
    </row>
    <row r="712" spans="1:29" x14ac:dyDescent="0.25">
      <c r="A712" s="46" t="s">
        <v>259</v>
      </c>
      <c r="B712" s="46">
        <v>30013</v>
      </c>
      <c r="C712" s="47">
        <v>45812</v>
      </c>
      <c r="D712" s="46">
        <v>311500</v>
      </c>
      <c r="E712" s="46">
        <v>2</v>
      </c>
      <c r="F712" s="46" t="s">
        <v>2352</v>
      </c>
      <c r="G712" s="46">
        <v>6</v>
      </c>
      <c r="H712" s="46" t="s">
        <v>784</v>
      </c>
      <c r="I712" s="46"/>
      <c r="J712" s="49">
        <v>0</v>
      </c>
      <c r="K712" s="46"/>
      <c r="L712" s="46" t="s">
        <v>231</v>
      </c>
      <c r="M712" s="53">
        <v>6000000</v>
      </c>
      <c r="N712" s="49">
        <v>60</v>
      </c>
      <c r="O712" s="49">
        <v>0</v>
      </c>
      <c r="P712" s="46">
        <v>1</v>
      </c>
      <c r="Q712" s="49">
        <v>8</v>
      </c>
      <c r="R712" s="53">
        <v>178350</v>
      </c>
      <c r="S712" s="46">
        <v>1</v>
      </c>
      <c r="T712" s="55">
        <v>235000</v>
      </c>
      <c r="U712" s="55">
        <f t="shared" si="71"/>
        <v>71700</v>
      </c>
      <c r="V712" s="46">
        <v>1</v>
      </c>
      <c r="W712" s="53">
        <v>126046</v>
      </c>
      <c r="X712" s="46">
        <v>1</v>
      </c>
      <c r="Y712" s="46">
        <v>1</v>
      </c>
      <c r="Z712" s="50">
        <v>0.1319950040808425</v>
      </c>
      <c r="AA712" s="15">
        <f t="shared" si="72"/>
        <v>1.0999583673403542E-2</v>
      </c>
      <c r="AB712" s="15">
        <f t="shared" si="73"/>
        <v>0.1319950040808425</v>
      </c>
      <c r="AC712" t="b">
        <f t="shared" si="74"/>
        <v>1</v>
      </c>
    </row>
    <row r="713" spans="1:29" x14ac:dyDescent="0.25">
      <c r="A713" s="46" t="s">
        <v>259</v>
      </c>
      <c r="B713" s="46">
        <v>30013</v>
      </c>
      <c r="C713" s="47">
        <v>45812</v>
      </c>
      <c r="D713" s="46">
        <v>311500</v>
      </c>
      <c r="E713" s="46">
        <v>2</v>
      </c>
      <c r="F713" s="46" t="s">
        <v>2353</v>
      </c>
      <c r="G713" s="46">
        <v>6</v>
      </c>
      <c r="H713" s="46" t="s">
        <v>784</v>
      </c>
      <c r="I713" s="46"/>
      <c r="J713" s="49">
        <v>0</v>
      </c>
      <c r="K713" s="46"/>
      <c r="L713" s="46" t="s">
        <v>261</v>
      </c>
      <c r="M713" s="53">
        <v>4870000</v>
      </c>
      <c r="N713" s="49">
        <v>60</v>
      </c>
      <c r="O713" s="49">
        <v>0</v>
      </c>
      <c r="P713" s="46">
        <v>1</v>
      </c>
      <c r="Q713" s="49">
        <v>12</v>
      </c>
      <c r="R713" s="53">
        <v>144761</v>
      </c>
      <c r="S713" s="46">
        <v>1</v>
      </c>
      <c r="T713" s="55">
        <v>192625</v>
      </c>
      <c r="U713" s="55">
        <f t="shared" si="71"/>
        <v>60400</v>
      </c>
      <c r="V713" s="46">
        <v>1</v>
      </c>
      <c r="W713" s="53">
        <v>113994</v>
      </c>
      <c r="X713" s="46">
        <v>1</v>
      </c>
      <c r="Y713" s="46">
        <v>1</v>
      </c>
      <c r="Z713" s="50">
        <v>0.18176220707120336</v>
      </c>
      <c r="AA713" s="15">
        <f t="shared" si="72"/>
        <v>1.5146850589266946E-2</v>
      </c>
      <c r="AB713" s="15">
        <f t="shared" si="73"/>
        <v>0.18176220707120336</v>
      </c>
      <c r="AC713" t="b">
        <f t="shared" si="74"/>
        <v>1</v>
      </c>
    </row>
    <row r="714" spans="1:29" x14ac:dyDescent="0.25">
      <c r="A714" s="46" t="s">
        <v>259</v>
      </c>
      <c r="B714" s="46">
        <v>30013</v>
      </c>
      <c r="C714" s="47">
        <v>45812</v>
      </c>
      <c r="D714" s="46">
        <v>311500</v>
      </c>
      <c r="E714" s="46">
        <v>2</v>
      </c>
      <c r="F714" s="46" t="s">
        <v>2354</v>
      </c>
      <c r="G714" s="46">
        <v>6</v>
      </c>
      <c r="H714" s="46" t="s">
        <v>784</v>
      </c>
      <c r="I714" s="46"/>
      <c r="J714" s="49">
        <v>0</v>
      </c>
      <c r="K714" s="46"/>
      <c r="L714" s="46" t="s">
        <v>261</v>
      </c>
      <c r="M714" s="53">
        <v>4700000</v>
      </c>
      <c r="N714" s="49">
        <v>60</v>
      </c>
      <c r="O714" s="49">
        <v>0</v>
      </c>
      <c r="P714" s="46">
        <v>1</v>
      </c>
      <c r="Q714" s="49">
        <v>12</v>
      </c>
      <c r="R714" s="53">
        <v>139708</v>
      </c>
      <c r="S714" s="46">
        <v>1</v>
      </c>
      <c r="T714" s="55">
        <v>186250</v>
      </c>
      <c r="U714" s="55">
        <f t="shared" si="71"/>
        <v>58700</v>
      </c>
      <c r="V714" s="46">
        <v>1</v>
      </c>
      <c r="W714" s="53">
        <v>110015</v>
      </c>
      <c r="X714" s="46">
        <v>1</v>
      </c>
      <c r="Y714" s="46">
        <v>1</v>
      </c>
      <c r="Z714" s="50">
        <v>0.18184540389109152</v>
      </c>
      <c r="AA714" s="15">
        <f t="shared" si="72"/>
        <v>1.515378365759096E-2</v>
      </c>
      <c r="AB714" s="15">
        <f t="shared" si="73"/>
        <v>0.18184540389109152</v>
      </c>
      <c r="AC714" t="b">
        <f t="shared" si="74"/>
        <v>1</v>
      </c>
    </row>
    <row r="715" spans="1:29" x14ac:dyDescent="0.25">
      <c r="A715" s="46" t="s">
        <v>259</v>
      </c>
      <c r="B715" s="46">
        <v>30013</v>
      </c>
      <c r="C715" s="47">
        <v>45812</v>
      </c>
      <c r="D715" s="46">
        <v>311500</v>
      </c>
      <c r="E715" s="46">
        <v>2</v>
      </c>
      <c r="F715" s="46" t="s">
        <v>2355</v>
      </c>
      <c r="G715" s="46">
        <v>6</v>
      </c>
      <c r="H715" s="46" t="s">
        <v>784</v>
      </c>
      <c r="I715" s="46"/>
      <c r="J715" s="49">
        <v>0</v>
      </c>
      <c r="K715" s="46"/>
      <c r="L715" s="46" t="s">
        <v>687</v>
      </c>
      <c r="M715" s="53">
        <v>2250000</v>
      </c>
      <c r="N715" s="49">
        <v>48</v>
      </c>
      <c r="O715" s="49">
        <v>0</v>
      </c>
      <c r="P715" s="46">
        <v>1</v>
      </c>
      <c r="Q715" s="49">
        <v>13</v>
      </c>
      <c r="R715" s="53">
        <v>66881</v>
      </c>
      <c r="S715" s="46">
        <v>1</v>
      </c>
      <c r="T715" s="55">
        <v>77500</v>
      </c>
      <c r="U715" s="55">
        <f t="shared" si="71"/>
        <v>34200</v>
      </c>
      <c r="V715" s="46">
        <v>1</v>
      </c>
      <c r="W715" s="53">
        <v>63142</v>
      </c>
      <c r="X715" s="46">
        <v>1</v>
      </c>
      <c r="Y715" s="46">
        <v>1</v>
      </c>
      <c r="Z715" s="50">
        <v>0.20097784412258846</v>
      </c>
      <c r="AA715" s="15">
        <f t="shared" si="72"/>
        <v>1.6748153676882371E-2</v>
      </c>
      <c r="AB715" s="15">
        <f t="shared" si="73"/>
        <v>0.20097784412258846</v>
      </c>
      <c r="AC715" t="b">
        <f t="shared" si="74"/>
        <v>1</v>
      </c>
    </row>
    <row r="716" spans="1:29" x14ac:dyDescent="0.25">
      <c r="A716" s="46" t="s">
        <v>259</v>
      </c>
      <c r="B716" s="46">
        <v>30013</v>
      </c>
      <c r="C716" s="47">
        <v>45812</v>
      </c>
      <c r="D716" s="46">
        <v>311500</v>
      </c>
      <c r="E716" s="46">
        <v>2</v>
      </c>
      <c r="F716" s="46" t="s">
        <v>2356</v>
      </c>
      <c r="G716" s="46">
        <v>6</v>
      </c>
      <c r="H716" s="46" t="s">
        <v>784</v>
      </c>
      <c r="I716" s="46"/>
      <c r="J716" s="49">
        <v>0</v>
      </c>
      <c r="K716" s="46"/>
      <c r="L716" s="46" t="s">
        <v>261</v>
      </c>
      <c r="M716" s="53">
        <v>1420000</v>
      </c>
      <c r="N716" s="49">
        <v>48</v>
      </c>
      <c r="O716" s="49">
        <v>0</v>
      </c>
      <c r="P716" s="46">
        <v>1</v>
      </c>
      <c r="Q716" s="49">
        <v>12</v>
      </c>
      <c r="R716" s="53">
        <v>42210</v>
      </c>
      <c r="S716" s="46">
        <v>1</v>
      </c>
      <c r="T716" s="55">
        <v>52600</v>
      </c>
      <c r="U716" s="55">
        <f t="shared" si="71"/>
        <v>25900</v>
      </c>
      <c r="V716" s="46">
        <v>1</v>
      </c>
      <c r="W716" s="53">
        <v>38995</v>
      </c>
      <c r="X716" s="46">
        <v>1</v>
      </c>
      <c r="Y716" s="46">
        <v>1</v>
      </c>
      <c r="Z716" s="50">
        <v>0.192128363422227</v>
      </c>
      <c r="AA716" s="15">
        <f t="shared" si="72"/>
        <v>1.6010696951852251E-2</v>
      </c>
      <c r="AB716" s="15">
        <f t="shared" si="73"/>
        <v>0.192128363422227</v>
      </c>
      <c r="AC716" t="b">
        <f t="shared" si="74"/>
        <v>1</v>
      </c>
    </row>
    <row r="717" spans="1:29" x14ac:dyDescent="0.25">
      <c r="A717" s="46" t="s">
        <v>259</v>
      </c>
      <c r="B717" s="46">
        <v>30013</v>
      </c>
      <c r="C717" s="47">
        <v>45812</v>
      </c>
      <c r="D717" s="46">
        <v>311500</v>
      </c>
      <c r="E717" s="46">
        <v>2</v>
      </c>
      <c r="F717" s="46" t="s">
        <v>2357</v>
      </c>
      <c r="G717" s="46">
        <v>6</v>
      </c>
      <c r="H717" s="46" t="s">
        <v>1689</v>
      </c>
      <c r="I717" s="46"/>
      <c r="J717" s="49">
        <v>0</v>
      </c>
      <c r="K717" s="46"/>
      <c r="L717" s="46" t="s">
        <v>261</v>
      </c>
      <c r="M717" s="53">
        <v>4300000</v>
      </c>
      <c r="N717" s="49">
        <v>60</v>
      </c>
      <c r="O717" s="49">
        <v>0</v>
      </c>
      <c r="P717" s="46">
        <v>1</v>
      </c>
      <c r="Q717" s="49">
        <v>12</v>
      </c>
      <c r="R717" s="53">
        <v>127818</v>
      </c>
      <c r="S717" s="46">
        <v>1</v>
      </c>
      <c r="T717" s="55">
        <v>171250</v>
      </c>
      <c r="U717" s="55">
        <f t="shared" si="71"/>
        <v>54700</v>
      </c>
      <c r="V717" s="46">
        <v>1</v>
      </c>
      <c r="W717" s="53">
        <v>100652</v>
      </c>
      <c r="X717" s="46">
        <v>1</v>
      </c>
      <c r="Y717" s="46">
        <v>1</v>
      </c>
      <c r="Z717" s="50">
        <v>0.18206413750872019</v>
      </c>
      <c r="AA717" s="15">
        <f t="shared" si="72"/>
        <v>1.5172011459060017E-2</v>
      </c>
      <c r="AB717" s="15">
        <f t="shared" si="73"/>
        <v>0.18206413750872019</v>
      </c>
      <c r="AC717" t="b">
        <f t="shared" si="74"/>
        <v>1</v>
      </c>
    </row>
    <row r="718" spans="1:29" x14ac:dyDescent="0.25">
      <c r="A718" s="46" t="s">
        <v>259</v>
      </c>
      <c r="B718" s="46">
        <v>30013</v>
      </c>
      <c r="C718" s="47">
        <v>45812</v>
      </c>
      <c r="D718" s="46">
        <v>321500</v>
      </c>
      <c r="E718" s="46">
        <v>2</v>
      </c>
      <c r="F718" s="46" t="s">
        <v>2358</v>
      </c>
      <c r="G718" s="46">
        <v>6</v>
      </c>
      <c r="H718" s="46" t="s">
        <v>784</v>
      </c>
      <c r="I718" s="46"/>
      <c r="J718" s="49">
        <v>0</v>
      </c>
      <c r="K718" s="46"/>
      <c r="L718" s="46" t="s">
        <v>261</v>
      </c>
      <c r="M718" s="53">
        <v>350000</v>
      </c>
      <c r="N718" s="49">
        <v>12</v>
      </c>
      <c r="O718" s="49">
        <v>0</v>
      </c>
      <c r="P718" s="46">
        <v>1</v>
      </c>
      <c r="Q718" s="49">
        <v>10</v>
      </c>
      <c r="R718" s="53">
        <v>832</v>
      </c>
      <c r="S718" s="46">
        <v>1</v>
      </c>
      <c r="T718" s="55">
        <v>0</v>
      </c>
      <c r="U718" s="55">
        <v>21700</v>
      </c>
      <c r="V718" s="46">
        <v>1</v>
      </c>
      <c r="W718" s="53">
        <v>31079</v>
      </c>
      <c r="X718" s="46">
        <v>1</v>
      </c>
      <c r="Y718" s="46">
        <v>1</v>
      </c>
      <c r="Z718" s="50">
        <v>0.24717120924053398</v>
      </c>
      <c r="AA718" s="15">
        <f t="shared" si="72"/>
        <v>2.0597600770044498E-2</v>
      </c>
      <c r="AB718" s="15">
        <f t="shared" si="73"/>
        <v>0.24717120924053398</v>
      </c>
      <c r="AC718" t="b">
        <f t="shared" si="74"/>
        <v>1</v>
      </c>
    </row>
  </sheetData>
  <autoFilter ref="A1:AC7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CREDIT Amortissable</vt:lpstr>
      <vt:lpstr>DECOUVERTS</vt:lpstr>
      <vt:lpstr>CAUTIONS</vt:lpstr>
      <vt:lpstr>Effets escomptés</vt:lpstr>
      <vt:lpstr>Affacturage</vt:lpstr>
      <vt:lpstr>Spot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Prévis Croire</dc:creator>
  <cp:lastModifiedBy>ANTOINE PATERNE OSSOUNGOU</cp:lastModifiedBy>
  <dcterms:created xsi:type="dcterms:W3CDTF">2025-10-07T20:55:15Z</dcterms:created>
  <dcterms:modified xsi:type="dcterms:W3CDTF">2025-10-29T09:44:58Z</dcterms:modified>
</cp:coreProperties>
</file>